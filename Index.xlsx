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uoccl0-my.sharepoint.com/personal/and_diaz_duocuc_cl/Documents/Escritorio/TARIFARIOS BX Y COTIZADOR/"/>
    </mc:Choice>
  </mc:AlternateContent>
  <xr:revisionPtr revIDLastSave="4" documentId="13_ncr:1_{9E206BCB-D5FE-452F-B0ED-3D68D5244E7B}" xr6:coauthVersionLast="47" xr6:coauthVersionMax="47" xr10:uidLastSave="{5E488E53-D425-4299-97C5-EC4CDBEB49CD}"/>
  <bookViews>
    <workbookView xWindow="-108" yWindow="-108" windowWidth="23256" windowHeight="12456" firstSheet="3" activeTab="3" xr2:uid="{00000000-000D-0000-FFFF-FFFF00000000}"/>
  </bookViews>
  <sheets>
    <sheet name="TARIFAS Home Delivery" sheetId="1" state="hidden" r:id="rId1"/>
    <sheet name="COMUNAS - HOME DELIVERY 2026" sheetId="2" state="hidden" r:id="rId2"/>
    <sheet name="COMUNAS - HOME DELIVERY 2026(2)" sheetId="10" state="hidden" r:id="rId3"/>
    <sheet name="CALCULADORA TELONES" sheetId="6" r:id="rId4"/>
    <sheet name="CALCULADORA GRAL" sheetId="8" r:id="rId5"/>
    <sheet name="TARIFAS PickUpPoint Delivery" sheetId="3" state="hidden" r:id="rId6"/>
    <sheet name="COMUNAS - HOME DELIVERY 2025" sheetId="7" state="hidden" r:id="rId7"/>
    <sheet name="COMUNAS - PickUpPoint Delivery" sheetId="4" state="hidden" r:id="rId8"/>
    <sheet name="DICCIONARIO COMUNAS" sheetId="5" state="hidden" r:id="rId9"/>
  </sheets>
  <calcPr calcId="191029"/>
  <extLst>
    <ext uri="GoogleSheetsCustomDataVersion2">
      <go:sheetsCustomData xmlns:go="http://customooxmlschemas.google.com/" r:id="rId10" roundtripDataChecksum="w71f+xMEr9kOvUw4teEEr5bqBDwsAoI0b6uYeIjWa9o="/>
    </ext>
  </extLst>
</workbook>
</file>

<file path=xl/calcChain.xml><?xml version="1.0" encoding="utf-8"?>
<calcChain xmlns="http://schemas.openxmlformats.org/spreadsheetml/2006/main">
  <c r="C20" i="8" l="1"/>
  <c r="C14" i="8"/>
  <c r="H25" i="6"/>
  <c r="H24" i="6"/>
  <c r="H23" i="6"/>
  <c r="I23" i="6" s="1"/>
  <c r="J23" i="6" s="1"/>
  <c r="H8" i="6"/>
  <c r="I8" i="6" s="1"/>
  <c r="J8" i="6" s="1"/>
  <c r="H7" i="6"/>
  <c r="H6" i="6"/>
  <c r="I6" i="6" s="1"/>
  <c r="J6" i="6" s="1"/>
  <c r="G401" i="10"/>
  <c r="H401" i="10"/>
  <c r="I401" i="10"/>
  <c r="J401" i="10"/>
  <c r="K401" i="10"/>
  <c r="L401" i="10"/>
  <c r="M401" i="10"/>
  <c r="N401" i="10"/>
  <c r="F401" i="10"/>
  <c r="F314" i="10"/>
  <c r="G314" i="10"/>
  <c r="H314" i="10"/>
  <c r="I314" i="10"/>
  <c r="J314" i="10"/>
  <c r="K314" i="10"/>
  <c r="L314" i="10"/>
  <c r="M314" i="10"/>
  <c r="N314" i="10"/>
  <c r="F315" i="10"/>
  <c r="G315" i="10"/>
  <c r="H315" i="10"/>
  <c r="I315" i="10"/>
  <c r="J315" i="10"/>
  <c r="K315" i="10"/>
  <c r="L315" i="10"/>
  <c r="M315" i="10"/>
  <c r="N315" i="10"/>
  <c r="F316" i="10"/>
  <c r="G316" i="10"/>
  <c r="H316" i="10"/>
  <c r="I316" i="10"/>
  <c r="J316" i="10"/>
  <c r="K316" i="10"/>
  <c r="L316" i="10"/>
  <c r="M316" i="10"/>
  <c r="N316" i="10"/>
  <c r="F317" i="10"/>
  <c r="G317" i="10"/>
  <c r="H317" i="10"/>
  <c r="I317" i="10"/>
  <c r="J317" i="10"/>
  <c r="K317" i="10"/>
  <c r="L317" i="10"/>
  <c r="M317" i="10"/>
  <c r="N317" i="10"/>
  <c r="F318" i="10"/>
  <c r="G318" i="10"/>
  <c r="H318" i="10"/>
  <c r="I318" i="10"/>
  <c r="J318" i="10"/>
  <c r="K318" i="10"/>
  <c r="L318" i="10"/>
  <c r="M318" i="10"/>
  <c r="N318" i="10"/>
  <c r="F319" i="10"/>
  <c r="G319" i="10"/>
  <c r="H319" i="10"/>
  <c r="I319" i="10"/>
  <c r="J319" i="10"/>
  <c r="K319" i="10"/>
  <c r="L319" i="10"/>
  <c r="M319" i="10"/>
  <c r="N319" i="10"/>
  <c r="F320" i="10"/>
  <c r="G320" i="10"/>
  <c r="H320" i="10"/>
  <c r="I320" i="10"/>
  <c r="J320" i="10"/>
  <c r="K320" i="10"/>
  <c r="L320" i="10"/>
  <c r="M320" i="10"/>
  <c r="N320" i="10"/>
  <c r="F321" i="10"/>
  <c r="G321" i="10"/>
  <c r="H321" i="10"/>
  <c r="I321" i="10"/>
  <c r="J321" i="10"/>
  <c r="K321" i="10"/>
  <c r="L321" i="10"/>
  <c r="M321" i="10"/>
  <c r="N321" i="10"/>
  <c r="F322" i="10"/>
  <c r="G322" i="10"/>
  <c r="H322" i="10"/>
  <c r="I322" i="10"/>
  <c r="J322" i="10"/>
  <c r="K322" i="10"/>
  <c r="L322" i="10"/>
  <c r="M322" i="10"/>
  <c r="N322" i="10"/>
  <c r="F323" i="10"/>
  <c r="G323" i="10"/>
  <c r="H323" i="10"/>
  <c r="I323" i="10"/>
  <c r="J323" i="10"/>
  <c r="K323" i="10"/>
  <c r="L323" i="10"/>
  <c r="M323" i="10"/>
  <c r="N323" i="10"/>
  <c r="F324" i="10"/>
  <c r="G324" i="10"/>
  <c r="H324" i="10"/>
  <c r="I324" i="10"/>
  <c r="J324" i="10"/>
  <c r="K324" i="10"/>
  <c r="L324" i="10"/>
  <c r="M324" i="10"/>
  <c r="N324" i="10"/>
  <c r="F325" i="10"/>
  <c r="G325" i="10"/>
  <c r="H325" i="10"/>
  <c r="I325" i="10"/>
  <c r="J325" i="10"/>
  <c r="K325" i="10"/>
  <c r="L325" i="10"/>
  <c r="M325" i="10"/>
  <c r="N325" i="10"/>
  <c r="F326" i="10"/>
  <c r="G326" i="10"/>
  <c r="H326" i="10"/>
  <c r="I326" i="10"/>
  <c r="J326" i="10"/>
  <c r="K326" i="10"/>
  <c r="L326" i="10"/>
  <c r="M326" i="10"/>
  <c r="N326" i="10"/>
  <c r="F327" i="10"/>
  <c r="G327" i="10"/>
  <c r="H327" i="10"/>
  <c r="I327" i="10"/>
  <c r="J327" i="10"/>
  <c r="K327" i="10"/>
  <c r="L327" i="10"/>
  <c r="M327" i="10"/>
  <c r="N327" i="10"/>
  <c r="F328" i="10"/>
  <c r="G328" i="10"/>
  <c r="H328" i="10"/>
  <c r="I328" i="10"/>
  <c r="J328" i="10"/>
  <c r="K328" i="10"/>
  <c r="L328" i="10"/>
  <c r="M328" i="10"/>
  <c r="N328" i="10"/>
  <c r="F329" i="10"/>
  <c r="G329" i="10"/>
  <c r="H329" i="10"/>
  <c r="I329" i="10"/>
  <c r="J329" i="10"/>
  <c r="K329" i="10"/>
  <c r="L329" i="10"/>
  <c r="M329" i="10"/>
  <c r="N329" i="10"/>
  <c r="F330" i="10"/>
  <c r="G330" i="10"/>
  <c r="H330" i="10"/>
  <c r="I330" i="10"/>
  <c r="J330" i="10"/>
  <c r="K330" i="10"/>
  <c r="L330" i="10"/>
  <c r="M330" i="10"/>
  <c r="N330" i="10"/>
  <c r="F331" i="10"/>
  <c r="G331" i="10"/>
  <c r="H331" i="10"/>
  <c r="I331" i="10"/>
  <c r="J331" i="10"/>
  <c r="K331" i="10"/>
  <c r="L331" i="10"/>
  <c r="M331" i="10"/>
  <c r="N331" i="10"/>
  <c r="F332" i="10"/>
  <c r="G332" i="10"/>
  <c r="H332" i="10"/>
  <c r="I332" i="10"/>
  <c r="J332" i="10"/>
  <c r="K332" i="10"/>
  <c r="L332" i="10"/>
  <c r="M332" i="10"/>
  <c r="N332" i="10"/>
  <c r="F333" i="10"/>
  <c r="G333" i="10"/>
  <c r="H333" i="10"/>
  <c r="I333" i="10"/>
  <c r="J333" i="10"/>
  <c r="K333" i="10"/>
  <c r="L333" i="10"/>
  <c r="M333" i="10"/>
  <c r="N333" i="10"/>
  <c r="F334" i="10"/>
  <c r="G334" i="10"/>
  <c r="H334" i="10"/>
  <c r="I334" i="10"/>
  <c r="J334" i="10"/>
  <c r="K334" i="10"/>
  <c r="L334" i="10"/>
  <c r="M334" i="10"/>
  <c r="N334" i="10"/>
  <c r="F335" i="10"/>
  <c r="G335" i="10"/>
  <c r="H335" i="10"/>
  <c r="I335" i="10"/>
  <c r="J335" i="10"/>
  <c r="K335" i="10"/>
  <c r="L335" i="10"/>
  <c r="M335" i="10"/>
  <c r="N335" i="10"/>
  <c r="F336" i="10"/>
  <c r="G336" i="10"/>
  <c r="H336" i="10"/>
  <c r="I336" i="10"/>
  <c r="J336" i="10"/>
  <c r="K336" i="10"/>
  <c r="L336" i="10"/>
  <c r="M336" i="10"/>
  <c r="N336" i="10"/>
  <c r="F337" i="10"/>
  <c r="G337" i="10"/>
  <c r="H337" i="10"/>
  <c r="I337" i="10"/>
  <c r="J337" i="10"/>
  <c r="K337" i="10"/>
  <c r="L337" i="10"/>
  <c r="M337" i="10"/>
  <c r="N337" i="10"/>
  <c r="F338" i="10"/>
  <c r="G338" i="10"/>
  <c r="H338" i="10"/>
  <c r="I338" i="10"/>
  <c r="J338" i="10"/>
  <c r="K338" i="10"/>
  <c r="L338" i="10"/>
  <c r="M338" i="10"/>
  <c r="N338" i="10"/>
  <c r="F339" i="10"/>
  <c r="G339" i="10"/>
  <c r="H339" i="10"/>
  <c r="I339" i="10"/>
  <c r="J339" i="10"/>
  <c r="K339" i="10"/>
  <c r="L339" i="10"/>
  <c r="M339" i="10"/>
  <c r="N339" i="10"/>
  <c r="F340" i="10"/>
  <c r="G340" i="10"/>
  <c r="H340" i="10"/>
  <c r="I340" i="10"/>
  <c r="J340" i="10"/>
  <c r="K340" i="10"/>
  <c r="L340" i="10"/>
  <c r="M340" i="10"/>
  <c r="N340" i="10"/>
  <c r="F341" i="10"/>
  <c r="G341" i="10"/>
  <c r="H341" i="10"/>
  <c r="I341" i="10"/>
  <c r="J341" i="10"/>
  <c r="K341" i="10"/>
  <c r="L341" i="10"/>
  <c r="M341" i="10"/>
  <c r="N341" i="10"/>
  <c r="F342" i="10"/>
  <c r="G342" i="10"/>
  <c r="H342" i="10"/>
  <c r="I342" i="10"/>
  <c r="J342" i="10"/>
  <c r="K342" i="10"/>
  <c r="L342" i="10"/>
  <c r="M342" i="10"/>
  <c r="N342" i="10"/>
  <c r="F343" i="10"/>
  <c r="G343" i="10"/>
  <c r="H343" i="10"/>
  <c r="I343" i="10"/>
  <c r="J343" i="10"/>
  <c r="K343" i="10"/>
  <c r="L343" i="10"/>
  <c r="M343" i="10"/>
  <c r="N343" i="10"/>
  <c r="F344" i="10"/>
  <c r="G344" i="10"/>
  <c r="H344" i="10"/>
  <c r="I344" i="10"/>
  <c r="J344" i="10"/>
  <c r="K344" i="10"/>
  <c r="L344" i="10"/>
  <c r="M344" i="10"/>
  <c r="N344" i="10"/>
  <c r="F345" i="10"/>
  <c r="G345" i="10"/>
  <c r="H345" i="10"/>
  <c r="I345" i="10"/>
  <c r="J345" i="10"/>
  <c r="K345" i="10"/>
  <c r="L345" i="10"/>
  <c r="M345" i="10"/>
  <c r="N345" i="10"/>
  <c r="F346" i="10"/>
  <c r="G346" i="10"/>
  <c r="H346" i="10"/>
  <c r="I346" i="10"/>
  <c r="J346" i="10"/>
  <c r="K346" i="10"/>
  <c r="L346" i="10"/>
  <c r="M346" i="10"/>
  <c r="N346" i="10"/>
  <c r="F347" i="10"/>
  <c r="G347" i="10"/>
  <c r="H347" i="10"/>
  <c r="I347" i="10"/>
  <c r="J347" i="10"/>
  <c r="K347" i="10"/>
  <c r="L347" i="10"/>
  <c r="M347" i="10"/>
  <c r="N347" i="10"/>
  <c r="F348" i="10"/>
  <c r="G348" i="10"/>
  <c r="H348" i="10"/>
  <c r="I348" i="10"/>
  <c r="J348" i="10"/>
  <c r="K348" i="10"/>
  <c r="L348" i="10"/>
  <c r="M348" i="10"/>
  <c r="N348" i="10"/>
  <c r="F349" i="10"/>
  <c r="G349" i="10"/>
  <c r="H349" i="10"/>
  <c r="I349" i="10"/>
  <c r="J349" i="10"/>
  <c r="K349" i="10"/>
  <c r="L349" i="10"/>
  <c r="M349" i="10"/>
  <c r="N349" i="10"/>
  <c r="F350" i="10"/>
  <c r="G350" i="10"/>
  <c r="H350" i="10"/>
  <c r="I350" i="10"/>
  <c r="J350" i="10"/>
  <c r="K350" i="10"/>
  <c r="L350" i="10"/>
  <c r="M350" i="10"/>
  <c r="N350" i="10"/>
  <c r="F351" i="10"/>
  <c r="G351" i="10"/>
  <c r="H351" i="10"/>
  <c r="I351" i="10"/>
  <c r="J351" i="10"/>
  <c r="K351" i="10"/>
  <c r="L351" i="10"/>
  <c r="M351" i="10"/>
  <c r="N351" i="10"/>
  <c r="F352" i="10"/>
  <c r="G352" i="10"/>
  <c r="H352" i="10"/>
  <c r="I352" i="10"/>
  <c r="J352" i="10"/>
  <c r="K352" i="10"/>
  <c r="L352" i="10"/>
  <c r="M352" i="10"/>
  <c r="N352" i="10"/>
  <c r="F353" i="10"/>
  <c r="G353" i="10"/>
  <c r="H353" i="10"/>
  <c r="I353" i="10"/>
  <c r="J353" i="10"/>
  <c r="K353" i="10"/>
  <c r="L353" i="10"/>
  <c r="M353" i="10"/>
  <c r="N353" i="10"/>
  <c r="G313" i="10"/>
  <c r="H313" i="10"/>
  <c r="I313" i="10"/>
  <c r="J313" i="10"/>
  <c r="K313" i="10"/>
  <c r="L313" i="10"/>
  <c r="M313" i="10"/>
  <c r="N313" i="10"/>
  <c r="F313" i="10"/>
  <c r="F358" i="10"/>
  <c r="G358" i="10"/>
  <c r="H358" i="10"/>
  <c r="I358" i="10"/>
  <c r="J358" i="10"/>
  <c r="K358" i="10"/>
  <c r="L358" i="10"/>
  <c r="M358" i="10"/>
  <c r="N358" i="10"/>
  <c r="F359" i="10"/>
  <c r="G359" i="10"/>
  <c r="H359" i="10"/>
  <c r="I359" i="10"/>
  <c r="J359" i="10"/>
  <c r="K359" i="10"/>
  <c r="L359" i="10"/>
  <c r="M359" i="10"/>
  <c r="N359" i="10"/>
  <c r="F360" i="10"/>
  <c r="G360" i="10"/>
  <c r="H360" i="10"/>
  <c r="I360" i="10"/>
  <c r="J360" i="10"/>
  <c r="K360" i="10"/>
  <c r="L360" i="10"/>
  <c r="M360" i="10"/>
  <c r="N360" i="10"/>
  <c r="F361" i="10"/>
  <c r="G361" i="10"/>
  <c r="H361" i="10"/>
  <c r="I361" i="10"/>
  <c r="J361" i="10"/>
  <c r="K361" i="10"/>
  <c r="L361" i="10"/>
  <c r="M361" i="10"/>
  <c r="N361" i="10"/>
  <c r="F362" i="10"/>
  <c r="G362" i="10"/>
  <c r="H362" i="10"/>
  <c r="I362" i="10"/>
  <c r="J362" i="10"/>
  <c r="K362" i="10"/>
  <c r="L362" i="10"/>
  <c r="M362" i="10"/>
  <c r="N362" i="10"/>
  <c r="F363" i="10"/>
  <c r="G363" i="10"/>
  <c r="H363" i="10"/>
  <c r="I363" i="10"/>
  <c r="J363" i="10"/>
  <c r="K363" i="10"/>
  <c r="L363" i="10"/>
  <c r="M363" i="10"/>
  <c r="N363" i="10"/>
  <c r="F364" i="10"/>
  <c r="G364" i="10"/>
  <c r="H364" i="10"/>
  <c r="I364" i="10"/>
  <c r="J364" i="10"/>
  <c r="K364" i="10"/>
  <c r="L364" i="10"/>
  <c r="M364" i="10"/>
  <c r="N364" i="10"/>
  <c r="F365" i="10"/>
  <c r="G365" i="10"/>
  <c r="H365" i="10"/>
  <c r="I365" i="10"/>
  <c r="J365" i="10"/>
  <c r="K365" i="10"/>
  <c r="L365" i="10"/>
  <c r="M365" i="10"/>
  <c r="N365" i="10"/>
  <c r="F366" i="10"/>
  <c r="G366" i="10"/>
  <c r="H366" i="10"/>
  <c r="I366" i="10"/>
  <c r="J366" i="10"/>
  <c r="K366" i="10"/>
  <c r="L366" i="10"/>
  <c r="M366" i="10"/>
  <c r="N366" i="10"/>
  <c r="F367" i="10"/>
  <c r="G367" i="10"/>
  <c r="H367" i="10"/>
  <c r="I367" i="10"/>
  <c r="J367" i="10"/>
  <c r="K367" i="10"/>
  <c r="L367" i="10"/>
  <c r="M367" i="10"/>
  <c r="N367" i="10"/>
  <c r="F368" i="10"/>
  <c r="G368" i="10"/>
  <c r="H368" i="10"/>
  <c r="I368" i="10"/>
  <c r="J368" i="10"/>
  <c r="K368" i="10"/>
  <c r="L368" i="10"/>
  <c r="M368" i="10"/>
  <c r="N368" i="10"/>
  <c r="F369" i="10"/>
  <c r="G369" i="10"/>
  <c r="H369" i="10"/>
  <c r="I369" i="10"/>
  <c r="J369" i="10"/>
  <c r="K369" i="10"/>
  <c r="L369" i="10"/>
  <c r="M369" i="10"/>
  <c r="N369" i="10"/>
  <c r="F370" i="10"/>
  <c r="G370" i="10"/>
  <c r="H370" i="10"/>
  <c r="I370" i="10"/>
  <c r="J370" i="10"/>
  <c r="K370" i="10"/>
  <c r="L370" i="10"/>
  <c r="M370" i="10"/>
  <c r="N370" i="10"/>
  <c r="F371" i="10"/>
  <c r="G371" i="10"/>
  <c r="H371" i="10"/>
  <c r="I371" i="10"/>
  <c r="J371" i="10"/>
  <c r="K371" i="10"/>
  <c r="L371" i="10"/>
  <c r="M371" i="10"/>
  <c r="N371" i="10"/>
  <c r="F372" i="10"/>
  <c r="G372" i="10"/>
  <c r="H372" i="10"/>
  <c r="I372" i="10"/>
  <c r="J372" i="10"/>
  <c r="K372" i="10"/>
  <c r="L372" i="10"/>
  <c r="M372" i="10"/>
  <c r="N372" i="10"/>
  <c r="F373" i="10"/>
  <c r="G373" i="10"/>
  <c r="H373" i="10"/>
  <c r="I373" i="10"/>
  <c r="J373" i="10"/>
  <c r="K373" i="10"/>
  <c r="L373" i="10"/>
  <c r="M373" i="10"/>
  <c r="N373" i="10"/>
  <c r="F374" i="10"/>
  <c r="G374" i="10"/>
  <c r="H374" i="10"/>
  <c r="I374" i="10"/>
  <c r="J374" i="10"/>
  <c r="K374" i="10"/>
  <c r="L374" i="10"/>
  <c r="M374" i="10"/>
  <c r="N374" i="10"/>
  <c r="F375" i="10"/>
  <c r="G375" i="10"/>
  <c r="H375" i="10"/>
  <c r="I375" i="10"/>
  <c r="J375" i="10"/>
  <c r="K375" i="10"/>
  <c r="L375" i="10"/>
  <c r="M375" i="10"/>
  <c r="N375" i="10"/>
  <c r="F376" i="10"/>
  <c r="G376" i="10"/>
  <c r="H376" i="10"/>
  <c r="I376" i="10"/>
  <c r="J376" i="10"/>
  <c r="K376" i="10"/>
  <c r="L376" i="10"/>
  <c r="M376" i="10"/>
  <c r="N376" i="10"/>
  <c r="F377" i="10"/>
  <c r="G377" i="10"/>
  <c r="H377" i="10"/>
  <c r="I377" i="10"/>
  <c r="J377" i="10"/>
  <c r="K377" i="10"/>
  <c r="L377" i="10"/>
  <c r="M377" i="10"/>
  <c r="N377" i="10"/>
  <c r="F378" i="10"/>
  <c r="G378" i="10"/>
  <c r="H378" i="10"/>
  <c r="I378" i="10"/>
  <c r="J378" i="10"/>
  <c r="K378" i="10"/>
  <c r="L378" i="10"/>
  <c r="M378" i="10"/>
  <c r="N378" i="10"/>
  <c r="F379" i="10"/>
  <c r="G379" i="10"/>
  <c r="H379" i="10"/>
  <c r="I379" i="10"/>
  <c r="J379" i="10"/>
  <c r="K379" i="10"/>
  <c r="L379" i="10"/>
  <c r="M379" i="10"/>
  <c r="N379" i="10"/>
  <c r="F380" i="10"/>
  <c r="G380" i="10"/>
  <c r="H380" i="10"/>
  <c r="I380" i="10"/>
  <c r="J380" i="10"/>
  <c r="K380" i="10"/>
  <c r="L380" i="10"/>
  <c r="M380" i="10"/>
  <c r="N380" i="10"/>
  <c r="F381" i="10"/>
  <c r="G381" i="10"/>
  <c r="H381" i="10"/>
  <c r="I381" i="10"/>
  <c r="J381" i="10"/>
  <c r="K381" i="10"/>
  <c r="L381" i="10"/>
  <c r="M381" i="10"/>
  <c r="N381" i="10"/>
  <c r="F382" i="10"/>
  <c r="G382" i="10"/>
  <c r="H382" i="10"/>
  <c r="I382" i="10"/>
  <c r="J382" i="10"/>
  <c r="K382" i="10"/>
  <c r="L382" i="10"/>
  <c r="M382" i="10"/>
  <c r="N382" i="10"/>
  <c r="F383" i="10"/>
  <c r="G383" i="10"/>
  <c r="H383" i="10"/>
  <c r="I383" i="10"/>
  <c r="J383" i="10"/>
  <c r="K383" i="10"/>
  <c r="L383" i="10"/>
  <c r="M383" i="10"/>
  <c r="N383" i="10"/>
  <c r="F384" i="10"/>
  <c r="G384" i="10"/>
  <c r="H384" i="10"/>
  <c r="I384" i="10"/>
  <c r="J384" i="10"/>
  <c r="K384" i="10"/>
  <c r="L384" i="10"/>
  <c r="M384" i="10"/>
  <c r="N384" i="10"/>
  <c r="F385" i="10"/>
  <c r="G385" i="10"/>
  <c r="H385" i="10"/>
  <c r="I385" i="10"/>
  <c r="J385" i="10"/>
  <c r="K385" i="10"/>
  <c r="L385" i="10"/>
  <c r="M385" i="10"/>
  <c r="N385" i="10"/>
  <c r="F386" i="10"/>
  <c r="G386" i="10"/>
  <c r="H386" i="10"/>
  <c r="I386" i="10"/>
  <c r="J386" i="10"/>
  <c r="K386" i="10"/>
  <c r="L386" i="10"/>
  <c r="M386" i="10"/>
  <c r="N386" i="10"/>
  <c r="F387" i="10"/>
  <c r="G387" i="10"/>
  <c r="H387" i="10"/>
  <c r="I387" i="10"/>
  <c r="J387" i="10"/>
  <c r="K387" i="10"/>
  <c r="L387" i="10"/>
  <c r="M387" i="10"/>
  <c r="N387" i="10"/>
  <c r="F388" i="10"/>
  <c r="G388" i="10"/>
  <c r="H388" i="10"/>
  <c r="I388" i="10"/>
  <c r="J388" i="10"/>
  <c r="K388" i="10"/>
  <c r="L388" i="10"/>
  <c r="M388" i="10"/>
  <c r="N388" i="10"/>
  <c r="F389" i="10"/>
  <c r="G389" i="10"/>
  <c r="H389" i="10"/>
  <c r="I389" i="10"/>
  <c r="J389" i="10"/>
  <c r="K389" i="10"/>
  <c r="L389" i="10"/>
  <c r="M389" i="10"/>
  <c r="N389" i="10"/>
  <c r="F390" i="10"/>
  <c r="G390" i="10"/>
  <c r="H390" i="10"/>
  <c r="I390" i="10"/>
  <c r="J390" i="10"/>
  <c r="K390" i="10"/>
  <c r="L390" i="10"/>
  <c r="M390" i="10"/>
  <c r="N390" i="10"/>
  <c r="F391" i="10"/>
  <c r="G391" i="10"/>
  <c r="H391" i="10"/>
  <c r="I391" i="10"/>
  <c r="J391" i="10"/>
  <c r="K391" i="10"/>
  <c r="L391" i="10"/>
  <c r="M391" i="10"/>
  <c r="N391" i="10"/>
  <c r="F392" i="10"/>
  <c r="G392" i="10"/>
  <c r="H392" i="10"/>
  <c r="I392" i="10"/>
  <c r="J392" i="10"/>
  <c r="K392" i="10"/>
  <c r="L392" i="10"/>
  <c r="M392" i="10"/>
  <c r="N392" i="10"/>
  <c r="F393" i="10"/>
  <c r="G393" i="10"/>
  <c r="H393" i="10"/>
  <c r="I393" i="10"/>
  <c r="J393" i="10"/>
  <c r="K393" i="10"/>
  <c r="L393" i="10"/>
  <c r="M393" i="10"/>
  <c r="N393" i="10"/>
  <c r="F394" i="10"/>
  <c r="G394" i="10"/>
  <c r="H394" i="10"/>
  <c r="I394" i="10"/>
  <c r="J394" i="10"/>
  <c r="K394" i="10"/>
  <c r="L394" i="10"/>
  <c r="M394" i="10"/>
  <c r="N394" i="10"/>
  <c r="F395" i="10"/>
  <c r="G395" i="10"/>
  <c r="H395" i="10"/>
  <c r="I395" i="10"/>
  <c r="J395" i="10"/>
  <c r="K395" i="10"/>
  <c r="L395" i="10"/>
  <c r="M395" i="10"/>
  <c r="N395" i="10"/>
  <c r="F396" i="10"/>
  <c r="G396" i="10"/>
  <c r="H396" i="10"/>
  <c r="I396" i="10"/>
  <c r="J396" i="10"/>
  <c r="K396" i="10"/>
  <c r="L396" i="10"/>
  <c r="M396" i="10"/>
  <c r="N396" i="10"/>
  <c r="F397" i="10"/>
  <c r="G397" i="10"/>
  <c r="H397" i="10"/>
  <c r="I397" i="10"/>
  <c r="J397" i="10"/>
  <c r="K397" i="10"/>
  <c r="L397" i="10"/>
  <c r="M397" i="10"/>
  <c r="N397" i="10"/>
  <c r="G357" i="10"/>
  <c r="H357" i="10"/>
  <c r="I357" i="10"/>
  <c r="J357" i="10"/>
  <c r="K357" i="10"/>
  <c r="L357" i="10"/>
  <c r="M357" i="10"/>
  <c r="N357" i="10"/>
  <c r="F357" i="10"/>
  <c r="F7" i="10"/>
  <c r="G7" i="10"/>
  <c r="H7" i="10"/>
  <c r="I7" i="10"/>
  <c r="J7" i="10"/>
  <c r="K7" i="10"/>
  <c r="L7" i="10"/>
  <c r="M7" i="10"/>
  <c r="N7" i="10"/>
  <c r="F8" i="10"/>
  <c r="G8" i="10"/>
  <c r="H8" i="10"/>
  <c r="I8" i="10"/>
  <c r="J8" i="10"/>
  <c r="K8" i="10"/>
  <c r="L8" i="10"/>
  <c r="M8" i="10"/>
  <c r="N8" i="10"/>
  <c r="F9" i="10"/>
  <c r="G9" i="10"/>
  <c r="H9" i="10"/>
  <c r="I9" i="10"/>
  <c r="J9" i="10"/>
  <c r="K9" i="10"/>
  <c r="L9" i="10"/>
  <c r="M9" i="10"/>
  <c r="N9" i="10"/>
  <c r="F10" i="10"/>
  <c r="G10" i="10"/>
  <c r="H10" i="10"/>
  <c r="I10" i="10"/>
  <c r="J10" i="10"/>
  <c r="K10" i="10"/>
  <c r="L10" i="10"/>
  <c r="M10" i="10"/>
  <c r="N10" i="10"/>
  <c r="F11" i="10"/>
  <c r="G11" i="10"/>
  <c r="H11" i="10"/>
  <c r="I11" i="10"/>
  <c r="J11" i="10"/>
  <c r="K11" i="10"/>
  <c r="L11" i="10"/>
  <c r="M11" i="10"/>
  <c r="N11" i="10"/>
  <c r="F12" i="10"/>
  <c r="G12" i="10"/>
  <c r="H12" i="10"/>
  <c r="I12" i="10"/>
  <c r="J12" i="10"/>
  <c r="K12" i="10"/>
  <c r="L12" i="10"/>
  <c r="M12" i="10"/>
  <c r="N12" i="10"/>
  <c r="F13" i="10"/>
  <c r="G13" i="10"/>
  <c r="H13" i="10"/>
  <c r="I13" i="10"/>
  <c r="J13" i="10"/>
  <c r="K13" i="10"/>
  <c r="L13" i="10"/>
  <c r="M13" i="10"/>
  <c r="N13" i="10"/>
  <c r="F14" i="10"/>
  <c r="G14" i="10"/>
  <c r="H14" i="10"/>
  <c r="I14" i="10"/>
  <c r="J14" i="10"/>
  <c r="K14" i="10"/>
  <c r="L14" i="10"/>
  <c r="M14" i="10"/>
  <c r="N14" i="10"/>
  <c r="F15" i="10"/>
  <c r="G15" i="10"/>
  <c r="H15" i="10"/>
  <c r="I15" i="10"/>
  <c r="J15" i="10"/>
  <c r="K15" i="10"/>
  <c r="L15" i="10"/>
  <c r="M15" i="10"/>
  <c r="N15" i="10"/>
  <c r="F16" i="10"/>
  <c r="G16" i="10"/>
  <c r="H16" i="10"/>
  <c r="I16" i="10"/>
  <c r="J16" i="10"/>
  <c r="K16" i="10"/>
  <c r="L16" i="10"/>
  <c r="M16" i="10"/>
  <c r="N16" i="10"/>
  <c r="F17" i="10"/>
  <c r="G17" i="10"/>
  <c r="H17" i="10"/>
  <c r="I17" i="10"/>
  <c r="J17" i="10"/>
  <c r="K17" i="10"/>
  <c r="L17" i="10"/>
  <c r="M17" i="10"/>
  <c r="N17" i="10"/>
  <c r="F18" i="10"/>
  <c r="G18" i="10"/>
  <c r="H18" i="10"/>
  <c r="I18" i="10"/>
  <c r="J18" i="10"/>
  <c r="K18" i="10"/>
  <c r="L18" i="10"/>
  <c r="M18" i="10"/>
  <c r="N18" i="10"/>
  <c r="F19" i="10"/>
  <c r="G19" i="10"/>
  <c r="H19" i="10"/>
  <c r="I19" i="10"/>
  <c r="J19" i="10"/>
  <c r="K19" i="10"/>
  <c r="L19" i="10"/>
  <c r="M19" i="10"/>
  <c r="N19" i="10"/>
  <c r="F20" i="10"/>
  <c r="G20" i="10"/>
  <c r="H20" i="10"/>
  <c r="I20" i="10"/>
  <c r="J20" i="10"/>
  <c r="K20" i="10"/>
  <c r="L20" i="10"/>
  <c r="M20" i="10"/>
  <c r="N20" i="10"/>
  <c r="F21" i="10"/>
  <c r="G21" i="10"/>
  <c r="H21" i="10"/>
  <c r="I21" i="10"/>
  <c r="J21" i="10"/>
  <c r="K21" i="10"/>
  <c r="L21" i="10"/>
  <c r="M21" i="10"/>
  <c r="N21" i="10"/>
  <c r="F22" i="10"/>
  <c r="G22" i="10"/>
  <c r="H22" i="10"/>
  <c r="I22" i="10"/>
  <c r="J22" i="10"/>
  <c r="K22" i="10"/>
  <c r="L22" i="10"/>
  <c r="M22" i="10"/>
  <c r="N22" i="10"/>
  <c r="F23" i="10"/>
  <c r="G23" i="10"/>
  <c r="H23" i="10"/>
  <c r="I23" i="10"/>
  <c r="J23" i="10"/>
  <c r="K23" i="10"/>
  <c r="L23" i="10"/>
  <c r="M23" i="10"/>
  <c r="N23" i="10"/>
  <c r="F24" i="10"/>
  <c r="G24" i="10"/>
  <c r="H24" i="10"/>
  <c r="I24" i="10"/>
  <c r="J24" i="10"/>
  <c r="K24" i="10"/>
  <c r="L24" i="10"/>
  <c r="M24" i="10"/>
  <c r="N24" i="10"/>
  <c r="F25" i="10"/>
  <c r="G25" i="10"/>
  <c r="H25" i="10"/>
  <c r="I25" i="10"/>
  <c r="J25" i="10"/>
  <c r="K25" i="10"/>
  <c r="L25" i="10"/>
  <c r="M25" i="10"/>
  <c r="N25" i="10"/>
  <c r="F26" i="10"/>
  <c r="G26" i="10"/>
  <c r="H26" i="10"/>
  <c r="I26" i="10"/>
  <c r="J26" i="10"/>
  <c r="K26" i="10"/>
  <c r="L26" i="10"/>
  <c r="M26" i="10"/>
  <c r="N26" i="10"/>
  <c r="F27" i="10"/>
  <c r="G27" i="10"/>
  <c r="H27" i="10"/>
  <c r="I27" i="10"/>
  <c r="J27" i="10"/>
  <c r="K27" i="10"/>
  <c r="L27" i="10"/>
  <c r="M27" i="10"/>
  <c r="N27" i="10"/>
  <c r="F28" i="10"/>
  <c r="G28" i="10"/>
  <c r="H28" i="10"/>
  <c r="I28" i="10"/>
  <c r="J28" i="10"/>
  <c r="K28" i="10"/>
  <c r="L28" i="10"/>
  <c r="M28" i="10"/>
  <c r="N28" i="10"/>
  <c r="F29" i="10"/>
  <c r="G29" i="10"/>
  <c r="H29" i="10"/>
  <c r="I29" i="10"/>
  <c r="J29" i="10"/>
  <c r="K29" i="10"/>
  <c r="L29" i="10"/>
  <c r="M29" i="10"/>
  <c r="N29" i="10"/>
  <c r="F30" i="10"/>
  <c r="G30" i="10"/>
  <c r="H30" i="10"/>
  <c r="I30" i="10"/>
  <c r="J30" i="10"/>
  <c r="K30" i="10"/>
  <c r="L30" i="10"/>
  <c r="M30" i="10"/>
  <c r="N30" i="10"/>
  <c r="F31" i="10"/>
  <c r="G31" i="10"/>
  <c r="H31" i="10"/>
  <c r="I31" i="10"/>
  <c r="J31" i="10"/>
  <c r="K31" i="10"/>
  <c r="L31" i="10"/>
  <c r="M31" i="10"/>
  <c r="N31" i="10"/>
  <c r="F32" i="10"/>
  <c r="G32" i="10"/>
  <c r="H32" i="10"/>
  <c r="I32" i="10"/>
  <c r="J32" i="10"/>
  <c r="K32" i="10"/>
  <c r="L32" i="10"/>
  <c r="M32" i="10"/>
  <c r="N32" i="10"/>
  <c r="F33" i="10"/>
  <c r="G33" i="10"/>
  <c r="H33" i="10"/>
  <c r="I33" i="10"/>
  <c r="J33" i="10"/>
  <c r="K33" i="10"/>
  <c r="L33" i="10"/>
  <c r="M33" i="10"/>
  <c r="N33" i="10"/>
  <c r="F34" i="10"/>
  <c r="G34" i="10"/>
  <c r="H34" i="10"/>
  <c r="I34" i="10"/>
  <c r="J34" i="10"/>
  <c r="K34" i="10"/>
  <c r="L34" i="10"/>
  <c r="M34" i="10"/>
  <c r="N34" i="10"/>
  <c r="F35" i="10"/>
  <c r="G35" i="10"/>
  <c r="H35" i="10"/>
  <c r="I35" i="10"/>
  <c r="J35" i="10"/>
  <c r="K35" i="10"/>
  <c r="L35" i="10"/>
  <c r="M35" i="10"/>
  <c r="N35" i="10"/>
  <c r="F36" i="10"/>
  <c r="G36" i="10"/>
  <c r="H36" i="10"/>
  <c r="I36" i="10"/>
  <c r="J36" i="10"/>
  <c r="K36" i="10"/>
  <c r="L36" i="10"/>
  <c r="M36" i="10"/>
  <c r="N36" i="10"/>
  <c r="F37" i="10"/>
  <c r="G37" i="10"/>
  <c r="H37" i="10"/>
  <c r="I37" i="10"/>
  <c r="J37" i="10"/>
  <c r="K37" i="10"/>
  <c r="L37" i="10"/>
  <c r="M37" i="10"/>
  <c r="N37" i="10"/>
  <c r="F38" i="10"/>
  <c r="G38" i="10"/>
  <c r="H38" i="10"/>
  <c r="I38" i="10"/>
  <c r="J38" i="10"/>
  <c r="K38" i="10"/>
  <c r="L38" i="10"/>
  <c r="M38" i="10"/>
  <c r="N38" i="10"/>
  <c r="F39" i="10"/>
  <c r="G39" i="10"/>
  <c r="H39" i="10"/>
  <c r="I39" i="10"/>
  <c r="J39" i="10"/>
  <c r="K39" i="10"/>
  <c r="L39" i="10"/>
  <c r="M39" i="10"/>
  <c r="N39" i="10"/>
  <c r="F40" i="10"/>
  <c r="G40" i="10"/>
  <c r="H40" i="10"/>
  <c r="I40" i="10"/>
  <c r="J40" i="10"/>
  <c r="K40" i="10"/>
  <c r="L40" i="10"/>
  <c r="M40" i="10"/>
  <c r="N40" i="10"/>
  <c r="F41" i="10"/>
  <c r="G41" i="10"/>
  <c r="H41" i="10"/>
  <c r="I41" i="10"/>
  <c r="J41" i="10"/>
  <c r="K41" i="10"/>
  <c r="L41" i="10"/>
  <c r="M41" i="10"/>
  <c r="N41" i="10"/>
  <c r="F42" i="10"/>
  <c r="G42" i="10"/>
  <c r="H42" i="10"/>
  <c r="I42" i="10"/>
  <c r="J42" i="10"/>
  <c r="K42" i="10"/>
  <c r="L42" i="10"/>
  <c r="M42" i="10"/>
  <c r="N42" i="10"/>
  <c r="F43" i="10"/>
  <c r="G43" i="10"/>
  <c r="H43" i="10"/>
  <c r="I43" i="10"/>
  <c r="J43" i="10"/>
  <c r="K43" i="10"/>
  <c r="L43" i="10"/>
  <c r="M43" i="10"/>
  <c r="N43" i="10"/>
  <c r="F44" i="10"/>
  <c r="G44" i="10"/>
  <c r="H44" i="10"/>
  <c r="I44" i="10"/>
  <c r="J44" i="10"/>
  <c r="K44" i="10"/>
  <c r="L44" i="10"/>
  <c r="M44" i="10"/>
  <c r="N44" i="10"/>
  <c r="F45" i="10"/>
  <c r="G45" i="10"/>
  <c r="H45" i="10"/>
  <c r="I45" i="10"/>
  <c r="J45" i="10"/>
  <c r="K45" i="10"/>
  <c r="L45" i="10"/>
  <c r="M45" i="10"/>
  <c r="N45" i="10"/>
  <c r="F46" i="10"/>
  <c r="G46" i="10"/>
  <c r="H46" i="10"/>
  <c r="I46" i="10"/>
  <c r="J46" i="10"/>
  <c r="K46" i="10"/>
  <c r="L46" i="10"/>
  <c r="M46" i="10"/>
  <c r="N46" i="10"/>
  <c r="F47" i="10"/>
  <c r="G47" i="10"/>
  <c r="H47" i="10"/>
  <c r="I47" i="10"/>
  <c r="J47" i="10"/>
  <c r="K47" i="10"/>
  <c r="L47" i="10"/>
  <c r="M47" i="10"/>
  <c r="N47" i="10"/>
  <c r="F48" i="10"/>
  <c r="G48" i="10"/>
  <c r="H48" i="10"/>
  <c r="I48" i="10"/>
  <c r="J48" i="10"/>
  <c r="K48" i="10"/>
  <c r="L48" i="10"/>
  <c r="M48" i="10"/>
  <c r="N48" i="10"/>
  <c r="F49" i="10"/>
  <c r="G49" i="10"/>
  <c r="H49" i="10"/>
  <c r="I49" i="10"/>
  <c r="J49" i="10"/>
  <c r="K49" i="10"/>
  <c r="L49" i="10"/>
  <c r="M49" i="10"/>
  <c r="N49" i="10"/>
  <c r="F50" i="10"/>
  <c r="G50" i="10"/>
  <c r="H50" i="10"/>
  <c r="I50" i="10"/>
  <c r="J50" i="10"/>
  <c r="K50" i="10"/>
  <c r="L50" i="10"/>
  <c r="M50" i="10"/>
  <c r="N50" i="10"/>
  <c r="F51" i="10"/>
  <c r="G51" i="10"/>
  <c r="H51" i="10"/>
  <c r="I51" i="10"/>
  <c r="J51" i="10"/>
  <c r="K51" i="10"/>
  <c r="L51" i="10"/>
  <c r="M51" i="10"/>
  <c r="N51" i="10"/>
  <c r="F52" i="10"/>
  <c r="G52" i="10"/>
  <c r="H52" i="10"/>
  <c r="I52" i="10"/>
  <c r="J52" i="10"/>
  <c r="K52" i="10"/>
  <c r="L52" i="10"/>
  <c r="M52" i="10"/>
  <c r="N52" i="10"/>
  <c r="F53" i="10"/>
  <c r="G53" i="10"/>
  <c r="H53" i="10"/>
  <c r="I53" i="10"/>
  <c r="J53" i="10"/>
  <c r="K53" i="10"/>
  <c r="L53" i="10"/>
  <c r="M53" i="10"/>
  <c r="N53" i="10"/>
  <c r="F54" i="10"/>
  <c r="G54" i="10"/>
  <c r="H54" i="10"/>
  <c r="I54" i="10"/>
  <c r="J54" i="10"/>
  <c r="K54" i="10"/>
  <c r="L54" i="10"/>
  <c r="M54" i="10"/>
  <c r="N54" i="10"/>
  <c r="F55" i="10"/>
  <c r="G55" i="10"/>
  <c r="H55" i="10"/>
  <c r="I55" i="10"/>
  <c r="J55" i="10"/>
  <c r="K55" i="10"/>
  <c r="L55" i="10"/>
  <c r="M55" i="10"/>
  <c r="N55" i="10"/>
  <c r="F56" i="10"/>
  <c r="G56" i="10"/>
  <c r="H56" i="10"/>
  <c r="I56" i="10"/>
  <c r="J56" i="10"/>
  <c r="K56" i="10"/>
  <c r="L56" i="10"/>
  <c r="M56" i="10"/>
  <c r="N56" i="10"/>
  <c r="F57" i="10"/>
  <c r="G57" i="10"/>
  <c r="H57" i="10"/>
  <c r="I57" i="10"/>
  <c r="J57" i="10"/>
  <c r="K57" i="10"/>
  <c r="L57" i="10"/>
  <c r="M57" i="10"/>
  <c r="N57" i="10"/>
  <c r="F58" i="10"/>
  <c r="G58" i="10"/>
  <c r="H58" i="10"/>
  <c r="I58" i="10"/>
  <c r="J58" i="10"/>
  <c r="K58" i="10"/>
  <c r="L58" i="10"/>
  <c r="M58" i="10"/>
  <c r="N58" i="10"/>
  <c r="F59" i="10"/>
  <c r="G59" i="10"/>
  <c r="H59" i="10"/>
  <c r="I59" i="10"/>
  <c r="J59" i="10"/>
  <c r="K59" i="10"/>
  <c r="L59" i="10"/>
  <c r="M59" i="10"/>
  <c r="N59" i="10"/>
  <c r="F60" i="10"/>
  <c r="G60" i="10"/>
  <c r="H60" i="10"/>
  <c r="I60" i="10"/>
  <c r="J60" i="10"/>
  <c r="K60" i="10"/>
  <c r="L60" i="10"/>
  <c r="M60" i="10"/>
  <c r="N60" i="10"/>
  <c r="F61" i="10"/>
  <c r="G61" i="10"/>
  <c r="H61" i="10"/>
  <c r="I61" i="10"/>
  <c r="J61" i="10"/>
  <c r="K61" i="10"/>
  <c r="L61" i="10"/>
  <c r="M61" i="10"/>
  <c r="N61" i="10"/>
  <c r="F62" i="10"/>
  <c r="G62" i="10"/>
  <c r="H62" i="10"/>
  <c r="I62" i="10"/>
  <c r="J62" i="10"/>
  <c r="K62" i="10"/>
  <c r="L62" i="10"/>
  <c r="M62" i="10"/>
  <c r="N62" i="10"/>
  <c r="F63" i="10"/>
  <c r="G63" i="10"/>
  <c r="H63" i="10"/>
  <c r="I63" i="10"/>
  <c r="J63" i="10"/>
  <c r="K63" i="10"/>
  <c r="L63" i="10"/>
  <c r="M63" i="10"/>
  <c r="N63" i="10"/>
  <c r="F64" i="10"/>
  <c r="G64" i="10"/>
  <c r="H64" i="10"/>
  <c r="I64" i="10"/>
  <c r="J64" i="10"/>
  <c r="K64" i="10"/>
  <c r="L64" i="10"/>
  <c r="M64" i="10"/>
  <c r="N64" i="10"/>
  <c r="F65" i="10"/>
  <c r="G65" i="10"/>
  <c r="H65" i="10"/>
  <c r="I65" i="10"/>
  <c r="J65" i="10"/>
  <c r="K65" i="10"/>
  <c r="L65" i="10"/>
  <c r="M65" i="10"/>
  <c r="N65" i="10"/>
  <c r="F66" i="10"/>
  <c r="G66" i="10"/>
  <c r="H66" i="10"/>
  <c r="I66" i="10"/>
  <c r="J66" i="10"/>
  <c r="K66" i="10"/>
  <c r="L66" i="10"/>
  <c r="M66" i="10"/>
  <c r="N66" i="10"/>
  <c r="F67" i="10"/>
  <c r="G67" i="10"/>
  <c r="H67" i="10"/>
  <c r="I67" i="10"/>
  <c r="J67" i="10"/>
  <c r="K67" i="10"/>
  <c r="L67" i="10"/>
  <c r="M67" i="10"/>
  <c r="N67" i="10"/>
  <c r="F68" i="10"/>
  <c r="G68" i="10"/>
  <c r="H68" i="10"/>
  <c r="I68" i="10"/>
  <c r="J68" i="10"/>
  <c r="K68" i="10"/>
  <c r="L68" i="10"/>
  <c r="M68" i="10"/>
  <c r="N68" i="10"/>
  <c r="F69" i="10"/>
  <c r="G69" i="10"/>
  <c r="H69" i="10"/>
  <c r="I69" i="10"/>
  <c r="J69" i="10"/>
  <c r="K69" i="10"/>
  <c r="L69" i="10"/>
  <c r="M69" i="10"/>
  <c r="N69" i="10"/>
  <c r="F70" i="10"/>
  <c r="G70" i="10"/>
  <c r="H70" i="10"/>
  <c r="I70" i="10"/>
  <c r="J70" i="10"/>
  <c r="K70" i="10"/>
  <c r="L70" i="10"/>
  <c r="M70" i="10"/>
  <c r="N70" i="10"/>
  <c r="F71" i="10"/>
  <c r="G71" i="10"/>
  <c r="H71" i="10"/>
  <c r="I71" i="10"/>
  <c r="J71" i="10"/>
  <c r="K71" i="10"/>
  <c r="L71" i="10"/>
  <c r="M71" i="10"/>
  <c r="N71" i="10"/>
  <c r="F72" i="10"/>
  <c r="G72" i="10"/>
  <c r="H72" i="10"/>
  <c r="I72" i="10"/>
  <c r="J72" i="10"/>
  <c r="K72" i="10"/>
  <c r="L72" i="10"/>
  <c r="M72" i="10"/>
  <c r="N72" i="10"/>
  <c r="F73" i="10"/>
  <c r="G73" i="10"/>
  <c r="H73" i="10"/>
  <c r="I73" i="10"/>
  <c r="J73" i="10"/>
  <c r="K73" i="10"/>
  <c r="L73" i="10"/>
  <c r="M73" i="10"/>
  <c r="N73" i="10"/>
  <c r="F74" i="10"/>
  <c r="G74" i="10"/>
  <c r="H74" i="10"/>
  <c r="I74" i="10"/>
  <c r="J74" i="10"/>
  <c r="K74" i="10"/>
  <c r="L74" i="10"/>
  <c r="M74" i="10"/>
  <c r="N74" i="10"/>
  <c r="F75" i="10"/>
  <c r="G75" i="10"/>
  <c r="H75" i="10"/>
  <c r="I75" i="10"/>
  <c r="J75" i="10"/>
  <c r="K75" i="10"/>
  <c r="L75" i="10"/>
  <c r="M75" i="10"/>
  <c r="N75" i="10"/>
  <c r="F76" i="10"/>
  <c r="G76" i="10"/>
  <c r="H76" i="10"/>
  <c r="I76" i="10"/>
  <c r="J76" i="10"/>
  <c r="K76" i="10"/>
  <c r="L76" i="10"/>
  <c r="M76" i="10"/>
  <c r="N76" i="10"/>
  <c r="F77" i="10"/>
  <c r="G77" i="10"/>
  <c r="H77" i="10"/>
  <c r="I77" i="10"/>
  <c r="J77" i="10"/>
  <c r="K77" i="10"/>
  <c r="L77" i="10"/>
  <c r="M77" i="10"/>
  <c r="N77" i="10"/>
  <c r="F78" i="10"/>
  <c r="G78" i="10"/>
  <c r="H78" i="10"/>
  <c r="I78" i="10"/>
  <c r="J78" i="10"/>
  <c r="K78" i="10"/>
  <c r="L78" i="10"/>
  <c r="M78" i="10"/>
  <c r="N78" i="10"/>
  <c r="F79" i="10"/>
  <c r="G79" i="10"/>
  <c r="H79" i="10"/>
  <c r="I79" i="10"/>
  <c r="J79" i="10"/>
  <c r="K79" i="10"/>
  <c r="L79" i="10"/>
  <c r="M79" i="10"/>
  <c r="N79" i="10"/>
  <c r="F80" i="10"/>
  <c r="G80" i="10"/>
  <c r="H80" i="10"/>
  <c r="I80" i="10"/>
  <c r="J80" i="10"/>
  <c r="K80" i="10"/>
  <c r="L80" i="10"/>
  <c r="M80" i="10"/>
  <c r="N80" i="10"/>
  <c r="F81" i="10"/>
  <c r="G81" i="10"/>
  <c r="H81" i="10"/>
  <c r="I81" i="10"/>
  <c r="J81" i="10"/>
  <c r="K81" i="10"/>
  <c r="L81" i="10"/>
  <c r="M81" i="10"/>
  <c r="N81" i="10"/>
  <c r="F82" i="10"/>
  <c r="G82" i="10"/>
  <c r="H82" i="10"/>
  <c r="I82" i="10"/>
  <c r="J82" i="10"/>
  <c r="K82" i="10"/>
  <c r="L82" i="10"/>
  <c r="M82" i="10"/>
  <c r="N82" i="10"/>
  <c r="F83" i="10"/>
  <c r="G83" i="10"/>
  <c r="H83" i="10"/>
  <c r="I83" i="10"/>
  <c r="J83" i="10"/>
  <c r="K83" i="10"/>
  <c r="L83" i="10"/>
  <c r="M83" i="10"/>
  <c r="N83" i="10"/>
  <c r="F84" i="10"/>
  <c r="G84" i="10"/>
  <c r="H84" i="10"/>
  <c r="I84" i="10"/>
  <c r="J84" i="10"/>
  <c r="K84" i="10"/>
  <c r="L84" i="10"/>
  <c r="M84" i="10"/>
  <c r="N84" i="10"/>
  <c r="F85" i="10"/>
  <c r="G85" i="10"/>
  <c r="H85" i="10"/>
  <c r="I85" i="10"/>
  <c r="J85" i="10"/>
  <c r="K85" i="10"/>
  <c r="L85" i="10"/>
  <c r="M85" i="10"/>
  <c r="N85" i="10"/>
  <c r="F86" i="10"/>
  <c r="G86" i="10"/>
  <c r="H86" i="10"/>
  <c r="I86" i="10"/>
  <c r="J86" i="10"/>
  <c r="K86" i="10"/>
  <c r="L86" i="10"/>
  <c r="M86" i="10"/>
  <c r="N86" i="10"/>
  <c r="F87" i="10"/>
  <c r="G87" i="10"/>
  <c r="H87" i="10"/>
  <c r="I87" i="10"/>
  <c r="J87" i="10"/>
  <c r="K87" i="10"/>
  <c r="L87" i="10"/>
  <c r="M87" i="10"/>
  <c r="N87" i="10"/>
  <c r="F88" i="10"/>
  <c r="G88" i="10"/>
  <c r="H88" i="10"/>
  <c r="I88" i="10"/>
  <c r="J88" i="10"/>
  <c r="K88" i="10"/>
  <c r="L88" i="10"/>
  <c r="M88" i="10"/>
  <c r="N88" i="10"/>
  <c r="F89" i="10"/>
  <c r="G89" i="10"/>
  <c r="H89" i="10"/>
  <c r="I89" i="10"/>
  <c r="J89" i="10"/>
  <c r="K89" i="10"/>
  <c r="L89" i="10"/>
  <c r="M89" i="10"/>
  <c r="N89" i="10"/>
  <c r="F90" i="10"/>
  <c r="G90" i="10"/>
  <c r="H90" i="10"/>
  <c r="I90" i="10"/>
  <c r="J90" i="10"/>
  <c r="K90" i="10"/>
  <c r="L90" i="10"/>
  <c r="M90" i="10"/>
  <c r="N90" i="10"/>
  <c r="F91" i="10"/>
  <c r="G91" i="10"/>
  <c r="H91" i="10"/>
  <c r="I91" i="10"/>
  <c r="J91" i="10"/>
  <c r="K91" i="10"/>
  <c r="L91" i="10"/>
  <c r="M91" i="10"/>
  <c r="N91" i="10"/>
  <c r="F92" i="10"/>
  <c r="G92" i="10"/>
  <c r="H92" i="10"/>
  <c r="I92" i="10"/>
  <c r="J92" i="10"/>
  <c r="K92" i="10"/>
  <c r="L92" i="10"/>
  <c r="M92" i="10"/>
  <c r="N92" i="10"/>
  <c r="F93" i="10"/>
  <c r="G93" i="10"/>
  <c r="H93" i="10"/>
  <c r="I93" i="10"/>
  <c r="J93" i="10"/>
  <c r="K93" i="10"/>
  <c r="L93" i="10"/>
  <c r="M93" i="10"/>
  <c r="N93" i="10"/>
  <c r="F94" i="10"/>
  <c r="G94" i="10"/>
  <c r="H94" i="10"/>
  <c r="I94" i="10"/>
  <c r="J94" i="10"/>
  <c r="K94" i="10"/>
  <c r="L94" i="10"/>
  <c r="M94" i="10"/>
  <c r="N94" i="10"/>
  <c r="F95" i="10"/>
  <c r="G95" i="10"/>
  <c r="H95" i="10"/>
  <c r="I95" i="10"/>
  <c r="J95" i="10"/>
  <c r="K95" i="10"/>
  <c r="L95" i="10"/>
  <c r="M95" i="10"/>
  <c r="N95" i="10"/>
  <c r="F96" i="10"/>
  <c r="G96" i="10"/>
  <c r="H96" i="10"/>
  <c r="I96" i="10"/>
  <c r="J96" i="10"/>
  <c r="K96" i="10"/>
  <c r="L96" i="10"/>
  <c r="M96" i="10"/>
  <c r="N96" i="10"/>
  <c r="F97" i="10"/>
  <c r="G97" i="10"/>
  <c r="H97" i="10"/>
  <c r="I97" i="10"/>
  <c r="J97" i="10"/>
  <c r="K97" i="10"/>
  <c r="L97" i="10"/>
  <c r="M97" i="10"/>
  <c r="N97" i="10"/>
  <c r="F98" i="10"/>
  <c r="G98" i="10"/>
  <c r="H98" i="10"/>
  <c r="I98" i="10"/>
  <c r="J98" i="10"/>
  <c r="K98" i="10"/>
  <c r="L98" i="10"/>
  <c r="M98" i="10"/>
  <c r="N98" i="10"/>
  <c r="F99" i="10"/>
  <c r="G99" i="10"/>
  <c r="H99" i="10"/>
  <c r="I99" i="10"/>
  <c r="J99" i="10"/>
  <c r="K99" i="10"/>
  <c r="L99" i="10"/>
  <c r="M99" i="10"/>
  <c r="N99" i="10"/>
  <c r="F100" i="10"/>
  <c r="G100" i="10"/>
  <c r="H100" i="10"/>
  <c r="I100" i="10"/>
  <c r="J100" i="10"/>
  <c r="K100" i="10"/>
  <c r="L100" i="10"/>
  <c r="M100" i="10"/>
  <c r="N100" i="10"/>
  <c r="F101" i="10"/>
  <c r="G101" i="10"/>
  <c r="H101" i="10"/>
  <c r="I101" i="10"/>
  <c r="J101" i="10"/>
  <c r="K101" i="10"/>
  <c r="L101" i="10"/>
  <c r="M101" i="10"/>
  <c r="N101" i="10"/>
  <c r="F102" i="10"/>
  <c r="G102" i="10"/>
  <c r="H102" i="10"/>
  <c r="I102" i="10"/>
  <c r="J102" i="10"/>
  <c r="K102" i="10"/>
  <c r="L102" i="10"/>
  <c r="M102" i="10"/>
  <c r="N102" i="10"/>
  <c r="F103" i="10"/>
  <c r="G103" i="10"/>
  <c r="H103" i="10"/>
  <c r="I103" i="10"/>
  <c r="J103" i="10"/>
  <c r="K103" i="10"/>
  <c r="L103" i="10"/>
  <c r="M103" i="10"/>
  <c r="N103" i="10"/>
  <c r="F104" i="10"/>
  <c r="G104" i="10"/>
  <c r="H104" i="10"/>
  <c r="I104" i="10"/>
  <c r="J104" i="10"/>
  <c r="K104" i="10"/>
  <c r="L104" i="10"/>
  <c r="M104" i="10"/>
  <c r="N104" i="10"/>
  <c r="F105" i="10"/>
  <c r="G105" i="10"/>
  <c r="H105" i="10"/>
  <c r="I105" i="10"/>
  <c r="J105" i="10"/>
  <c r="K105" i="10"/>
  <c r="L105" i="10"/>
  <c r="M105" i="10"/>
  <c r="N105" i="10"/>
  <c r="F106" i="10"/>
  <c r="G106" i="10"/>
  <c r="H106" i="10"/>
  <c r="I106" i="10"/>
  <c r="J106" i="10"/>
  <c r="K106" i="10"/>
  <c r="L106" i="10"/>
  <c r="M106" i="10"/>
  <c r="N106" i="10"/>
  <c r="F107" i="10"/>
  <c r="G107" i="10"/>
  <c r="H107" i="10"/>
  <c r="I107" i="10"/>
  <c r="J107" i="10"/>
  <c r="K107" i="10"/>
  <c r="L107" i="10"/>
  <c r="M107" i="10"/>
  <c r="N107" i="10"/>
  <c r="F108" i="10"/>
  <c r="G108" i="10"/>
  <c r="H108" i="10"/>
  <c r="I108" i="10"/>
  <c r="J108" i="10"/>
  <c r="K108" i="10"/>
  <c r="L108" i="10"/>
  <c r="M108" i="10"/>
  <c r="N108" i="10"/>
  <c r="F109" i="10"/>
  <c r="G109" i="10"/>
  <c r="H109" i="10"/>
  <c r="I109" i="10"/>
  <c r="J109" i="10"/>
  <c r="K109" i="10"/>
  <c r="L109" i="10"/>
  <c r="M109" i="10"/>
  <c r="N109" i="10"/>
  <c r="F110" i="10"/>
  <c r="G110" i="10"/>
  <c r="H110" i="10"/>
  <c r="I110" i="10"/>
  <c r="J110" i="10"/>
  <c r="K110" i="10"/>
  <c r="L110" i="10"/>
  <c r="M110" i="10"/>
  <c r="N110" i="10"/>
  <c r="F111" i="10"/>
  <c r="G111" i="10"/>
  <c r="H111" i="10"/>
  <c r="I111" i="10"/>
  <c r="J111" i="10"/>
  <c r="K111" i="10"/>
  <c r="L111" i="10"/>
  <c r="M111" i="10"/>
  <c r="N111" i="10"/>
  <c r="F112" i="10"/>
  <c r="G112" i="10"/>
  <c r="H112" i="10"/>
  <c r="I112" i="10"/>
  <c r="J112" i="10"/>
  <c r="K112" i="10"/>
  <c r="L112" i="10"/>
  <c r="M112" i="10"/>
  <c r="N112" i="10"/>
  <c r="F113" i="10"/>
  <c r="G113" i="10"/>
  <c r="H113" i="10"/>
  <c r="I113" i="10"/>
  <c r="J113" i="10"/>
  <c r="K113" i="10"/>
  <c r="L113" i="10"/>
  <c r="M113" i="10"/>
  <c r="N113" i="10"/>
  <c r="F114" i="10"/>
  <c r="G114" i="10"/>
  <c r="H114" i="10"/>
  <c r="I114" i="10"/>
  <c r="J114" i="10"/>
  <c r="K114" i="10"/>
  <c r="L114" i="10"/>
  <c r="M114" i="10"/>
  <c r="N114" i="10"/>
  <c r="F115" i="10"/>
  <c r="G115" i="10"/>
  <c r="H115" i="10"/>
  <c r="I115" i="10"/>
  <c r="J115" i="10"/>
  <c r="K115" i="10"/>
  <c r="L115" i="10"/>
  <c r="M115" i="10"/>
  <c r="N115" i="10"/>
  <c r="F116" i="10"/>
  <c r="G116" i="10"/>
  <c r="H116" i="10"/>
  <c r="I116" i="10"/>
  <c r="J116" i="10"/>
  <c r="K116" i="10"/>
  <c r="L116" i="10"/>
  <c r="M116" i="10"/>
  <c r="N116" i="10"/>
  <c r="F117" i="10"/>
  <c r="G117" i="10"/>
  <c r="H117" i="10"/>
  <c r="I117" i="10"/>
  <c r="J117" i="10"/>
  <c r="K117" i="10"/>
  <c r="L117" i="10"/>
  <c r="M117" i="10"/>
  <c r="N117" i="10"/>
  <c r="F118" i="10"/>
  <c r="G118" i="10"/>
  <c r="H118" i="10"/>
  <c r="I118" i="10"/>
  <c r="J118" i="10"/>
  <c r="K118" i="10"/>
  <c r="L118" i="10"/>
  <c r="M118" i="10"/>
  <c r="N118" i="10"/>
  <c r="F119" i="10"/>
  <c r="G119" i="10"/>
  <c r="H119" i="10"/>
  <c r="I119" i="10"/>
  <c r="J119" i="10"/>
  <c r="K119" i="10"/>
  <c r="L119" i="10"/>
  <c r="M119" i="10"/>
  <c r="N119" i="10"/>
  <c r="F120" i="10"/>
  <c r="G120" i="10"/>
  <c r="H120" i="10"/>
  <c r="I120" i="10"/>
  <c r="J120" i="10"/>
  <c r="K120" i="10"/>
  <c r="L120" i="10"/>
  <c r="M120" i="10"/>
  <c r="N120" i="10"/>
  <c r="F121" i="10"/>
  <c r="G121" i="10"/>
  <c r="H121" i="10"/>
  <c r="I121" i="10"/>
  <c r="J121" i="10"/>
  <c r="K121" i="10"/>
  <c r="L121" i="10"/>
  <c r="M121" i="10"/>
  <c r="N121" i="10"/>
  <c r="F122" i="10"/>
  <c r="G122" i="10"/>
  <c r="H122" i="10"/>
  <c r="I122" i="10"/>
  <c r="J122" i="10"/>
  <c r="K122" i="10"/>
  <c r="L122" i="10"/>
  <c r="M122" i="10"/>
  <c r="N122" i="10"/>
  <c r="F123" i="10"/>
  <c r="G123" i="10"/>
  <c r="H123" i="10"/>
  <c r="I123" i="10"/>
  <c r="J123" i="10"/>
  <c r="K123" i="10"/>
  <c r="L123" i="10"/>
  <c r="M123" i="10"/>
  <c r="N123" i="10"/>
  <c r="F124" i="10"/>
  <c r="G124" i="10"/>
  <c r="H124" i="10"/>
  <c r="I124" i="10"/>
  <c r="J124" i="10"/>
  <c r="K124" i="10"/>
  <c r="L124" i="10"/>
  <c r="M124" i="10"/>
  <c r="N124" i="10"/>
  <c r="F125" i="10"/>
  <c r="G125" i="10"/>
  <c r="H125" i="10"/>
  <c r="I125" i="10"/>
  <c r="J125" i="10"/>
  <c r="K125" i="10"/>
  <c r="L125" i="10"/>
  <c r="M125" i="10"/>
  <c r="N125" i="10"/>
  <c r="F126" i="10"/>
  <c r="G126" i="10"/>
  <c r="H126" i="10"/>
  <c r="I126" i="10"/>
  <c r="J126" i="10"/>
  <c r="K126" i="10"/>
  <c r="L126" i="10"/>
  <c r="M126" i="10"/>
  <c r="N126" i="10"/>
  <c r="F127" i="10"/>
  <c r="G127" i="10"/>
  <c r="H127" i="10"/>
  <c r="I127" i="10"/>
  <c r="J127" i="10"/>
  <c r="K127" i="10"/>
  <c r="L127" i="10"/>
  <c r="M127" i="10"/>
  <c r="N127" i="10"/>
  <c r="F128" i="10"/>
  <c r="G128" i="10"/>
  <c r="H128" i="10"/>
  <c r="I128" i="10"/>
  <c r="J128" i="10"/>
  <c r="K128" i="10"/>
  <c r="L128" i="10"/>
  <c r="M128" i="10"/>
  <c r="N128" i="10"/>
  <c r="F129" i="10"/>
  <c r="G129" i="10"/>
  <c r="H129" i="10"/>
  <c r="I129" i="10"/>
  <c r="J129" i="10"/>
  <c r="K129" i="10"/>
  <c r="L129" i="10"/>
  <c r="M129" i="10"/>
  <c r="N129" i="10"/>
  <c r="F130" i="10"/>
  <c r="G130" i="10"/>
  <c r="H130" i="10"/>
  <c r="I130" i="10"/>
  <c r="J130" i="10"/>
  <c r="K130" i="10"/>
  <c r="L130" i="10"/>
  <c r="M130" i="10"/>
  <c r="N130" i="10"/>
  <c r="F131" i="10"/>
  <c r="G131" i="10"/>
  <c r="H131" i="10"/>
  <c r="I131" i="10"/>
  <c r="J131" i="10"/>
  <c r="K131" i="10"/>
  <c r="L131" i="10"/>
  <c r="M131" i="10"/>
  <c r="N131" i="10"/>
  <c r="F132" i="10"/>
  <c r="G132" i="10"/>
  <c r="H132" i="10"/>
  <c r="I132" i="10"/>
  <c r="J132" i="10"/>
  <c r="K132" i="10"/>
  <c r="L132" i="10"/>
  <c r="M132" i="10"/>
  <c r="N132" i="10"/>
  <c r="F133" i="10"/>
  <c r="G133" i="10"/>
  <c r="H133" i="10"/>
  <c r="I133" i="10"/>
  <c r="J133" i="10"/>
  <c r="K133" i="10"/>
  <c r="L133" i="10"/>
  <c r="M133" i="10"/>
  <c r="N133" i="10"/>
  <c r="F134" i="10"/>
  <c r="G134" i="10"/>
  <c r="H134" i="10"/>
  <c r="I134" i="10"/>
  <c r="J134" i="10"/>
  <c r="K134" i="10"/>
  <c r="L134" i="10"/>
  <c r="M134" i="10"/>
  <c r="N134" i="10"/>
  <c r="F135" i="10"/>
  <c r="G135" i="10"/>
  <c r="H135" i="10"/>
  <c r="I135" i="10"/>
  <c r="J135" i="10"/>
  <c r="K135" i="10"/>
  <c r="L135" i="10"/>
  <c r="M135" i="10"/>
  <c r="N135" i="10"/>
  <c r="F136" i="10"/>
  <c r="G136" i="10"/>
  <c r="H136" i="10"/>
  <c r="I136" i="10"/>
  <c r="J136" i="10"/>
  <c r="K136" i="10"/>
  <c r="L136" i="10"/>
  <c r="M136" i="10"/>
  <c r="N136" i="10"/>
  <c r="F137" i="10"/>
  <c r="G137" i="10"/>
  <c r="H137" i="10"/>
  <c r="I137" i="10"/>
  <c r="J137" i="10"/>
  <c r="K137" i="10"/>
  <c r="L137" i="10"/>
  <c r="M137" i="10"/>
  <c r="N137" i="10"/>
  <c r="F138" i="10"/>
  <c r="G138" i="10"/>
  <c r="H138" i="10"/>
  <c r="I138" i="10"/>
  <c r="J138" i="10"/>
  <c r="K138" i="10"/>
  <c r="L138" i="10"/>
  <c r="M138" i="10"/>
  <c r="N138" i="10"/>
  <c r="F139" i="10"/>
  <c r="G139" i="10"/>
  <c r="H139" i="10"/>
  <c r="I139" i="10"/>
  <c r="J139" i="10"/>
  <c r="K139" i="10"/>
  <c r="L139" i="10"/>
  <c r="M139" i="10"/>
  <c r="N139" i="10"/>
  <c r="F140" i="10"/>
  <c r="G140" i="10"/>
  <c r="H140" i="10"/>
  <c r="I140" i="10"/>
  <c r="J140" i="10"/>
  <c r="K140" i="10"/>
  <c r="L140" i="10"/>
  <c r="M140" i="10"/>
  <c r="N140" i="10"/>
  <c r="F141" i="10"/>
  <c r="G141" i="10"/>
  <c r="H141" i="10"/>
  <c r="I141" i="10"/>
  <c r="J141" i="10"/>
  <c r="K141" i="10"/>
  <c r="L141" i="10"/>
  <c r="M141" i="10"/>
  <c r="N141" i="10"/>
  <c r="F142" i="10"/>
  <c r="G142" i="10"/>
  <c r="H142" i="10"/>
  <c r="I142" i="10"/>
  <c r="J142" i="10"/>
  <c r="K142" i="10"/>
  <c r="L142" i="10"/>
  <c r="M142" i="10"/>
  <c r="N142" i="10"/>
  <c r="F143" i="10"/>
  <c r="G143" i="10"/>
  <c r="H143" i="10"/>
  <c r="I143" i="10"/>
  <c r="J143" i="10"/>
  <c r="K143" i="10"/>
  <c r="L143" i="10"/>
  <c r="M143" i="10"/>
  <c r="N143" i="10"/>
  <c r="F144" i="10"/>
  <c r="G144" i="10"/>
  <c r="H144" i="10"/>
  <c r="I144" i="10"/>
  <c r="J144" i="10"/>
  <c r="K144" i="10"/>
  <c r="L144" i="10"/>
  <c r="M144" i="10"/>
  <c r="N144" i="10"/>
  <c r="F145" i="10"/>
  <c r="G145" i="10"/>
  <c r="H145" i="10"/>
  <c r="I145" i="10"/>
  <c r="J145" i="10"/>
  <c r="K145" i="10"/>
  <c r="L145" i="10"/>
  <c r="M145" i="10"/>
  <c r="N145" i="10"/>
  <c r="F146" i="10"/>
  <c r="G146" i="10"/>
  <c r="H146" i="10"/>
  <c r="I146" i="10"/>
  <c r="J146" i="10"/>
  <c r="K146" i="10"/>
  <c r="L146" i="10"/>
  <c r="M146" i="10"/>
  <c r="N146" i="10"/>
  <c r="F147" i="10"/>
  <c r="G147" i="10"/>
  <c r="H147" i="10"/>
  <c r="I147" i="10"/>
  <c r="J147" i="10"/>
  <c r="K147" i="10"/>
  <c r="L147" i="10"/>
  <c r="M147" i="10"/>
  <c r="N147" i="10"/>
  <c r="F148" i="10"/>
  <c r="G148" i="10"/>
  <c r="H148" i="10"/>
  <c r="I148" i="10"/>
  <c r="J148" i="10"/>
  <c r="K148" i="10"/>
  <c r="L148" i="10"/>
  <c r="M148" i="10"/>
  <c r="N148" i="10"/>
  <c r="F149" i="10"/>
  <c r="G149" i="10"/>
  <c r="H149" i="10"/>
  <c r="I149" i="10"/>
  <c r="J149" i="10"/>
  <c r="K149" i="10"/>
  <c r="L149" i="10"/>
  <c r="M149" i="10"/>
  <c r="N149" i="10"/>
  <c r="F150" i="10"/>
  <c r="G150" i="10"/>
  <c r="H150" i="10"/>
  <c r="I150" i="10"/>
  <c r="J150" i="10"/>
  <c r="K150" i="10"/>
  <c r="L150" i="10"/>
  <c r="M150" i="10"/>
  <c r="N150" i="10"/>
  <c r="F151" i="10"/>
  <c r="G151" i="10"/>
  <c r="H151" i="10"/>
  <c r="I151" i="10"/>
  <c r="J151" i="10"/>
  <c r="K151" i="10"/>
  <c r="L151" i="10"/>
  <c r="M151" i="10"/>
  <c r="N151" i="10"/>
  <c r="F152" i="10"/>
  <c r="G152" i="10"/>
  <c r="H152" i="10"/>
  <c r="I152" i="10"/>
  <c r="J152" i="10"/>
  <c r="K152" i="10"/>
  <c r="L152" i="10"/>
  <c r="M152" i="10"/>
  <c r="N152" i="10"/>
  <c r="F153" i="10"/>
  <c r="G153" i="10"/>
  <c r="H153" i="10"/>
  <c r="I153" i="10"/>
  <c r="J153" i="10"/>
  <c r="K153" i="10"/>
  <c r="L153" i="10"/>
  <c r="M153" i="10"/>
  <c r="N153" i="10"/>
  <c r="F154" i="10"/>
  <c r="G154" i="10"/>
  <c r="H154" i="10"/>
  <c r="I154" i="10"/>
  <c r="J154" i="10"/>
  <c r="K154" i="10"/>
  <c r="L154" i="10"/>
  <c r="M154" i="10"/>
  <c r="N154" i="10"/>
  <c r="F155" i="10"/>
  <c r="G155" i="10"/>
  <c r="H155" i="10"/>
  <c r="I155" i="10"/>
  <c r="J155" i="10"/>
  <c r="K155" i="10"/>
  <c r="L155" i="10"/>
  <c r="M155" i="10"/>
  <c r="N155" i="10"/>
  <c r="F156" i="10"/>
  <c r="G156" i="10"/>
  <c r="H156" i="10"/>
  <c r="I156" i="10"/>
  <c r="J156" i="10"/>
  <c r="K156" i="10"/>
  <c r="L156" i="10"/>
  <c r="M156" i="10"/>
  <c r="N156" i="10"/>
  <c r="F157" i="10"/>
  <c r="G157" i="10"/>
  <c r="H157" i="10"/>
  <c r="I157" i="10"/>
  <c r="J157" i="10"/>
  <c r="K157" i="10"/>
  <c r="L157" i="10"/>
  <c r="M157" i="10"/>
  <c r="N157" i="10"/>
  <c r="F158" i="10"/>
  <c r="G158" i="10"/>
  <c r="H158" i="10"/>
  <c r="I158" i="10"/>
  <c r="J158" i="10"/>
  <c r="K158" i="10"/>
  <c r="L158" i="10"/>
  <c r="M158" i="10"/>
  <c r="N158" i="10"/>
  <c r="F159" i="10"/>
  <c r="G159" i="10"/>
  <c r="H159" i="10"/>
  <c r="I159" i="10"/>
  <c r="J159" i="10"/>
  <c r="K159" i="10"/>
  <c r="L159" i="10"/>
  <c r="M159" i="10"/>
  <c r="N159" i="10"/>
  <c r="F160" i="10"/>
  <c r="G160" i="10"/>
  <c r="H160" i="10"/>
  <c r="I160" i="10"/>
  <c r="J160" i="10"/>
  <c r="K160" i="10"/>
  <c r="L160" i="10"/>
  <c r="M160" i="10"/>
  <c r="N160" i="10"/>
  <c r="F161" i="10"/>
  <c r="G161" i="10"/>
  <c r="H161" i="10"/>
  <c r="I161" i="10"/>
  <c r="J161" i="10"/>
  <c r="K161" i="10"/>
  <c r="L161" i="10"/>
  <c r="M161" i="10"/>
  <c r="N161" i="10"/>
  <c r="F162" i="10"/>
  <c r="G162" i="10"/>
  <c r="H162" i="10"/>
  <c r="I162" i="10"/>
  <c r="J162" i="10"/>
  <c r="K162" i="10"/>
  <c r="L162" i="10"/>
  <c r="M162" i="10"/>
  <c r="N162" i="10"/>
  <c r="F163" i="10"/>
  <c r="G163" i="10"/>
  <c r="H163" i="10"/>
  <c r="I163" i="10"/>
  <c r="J163" i="10"/>
  <c r="K163" i="10"/>
  <c r="L163" i="10"/>
  <c r="M163" i="10"/>
  <c r="N163" i="10"/>
  <c r="F164" i="10"/>
  <c r="G164" i="10"/>
  <c r="H164" i="10"/>
  <c r="I164" i="10"/>
  <c r="J164" i="10"/>
  <c r="K164" i="10"/>
  <c r="L164" i="10"/>
  <c r="M164" i="10"/>
  <c r="N164" i="10"/>
  <c r="F165" i="10"/>
  <c r="G165" i="10"/>
  <c r="H165" i="10"/>
  <c r="I165" i="10"/>
  <c r="J165" i="10"/>
  <c r="K165" i="10"/>
  <c r="L165" i="10"/>
  <c r="M165" i="10"/>
  <c r="N165" i="10"/>
  <c r="F166" i="10"/>
  <c r="G166" i="10"/>
  <c r="H166" i="10"/>
  <c r="I166" i="10"/>
  <c r="J166" i="10"/>
  <c r="K166" i="10"/>
  <c r="L166" i="10"/>
  <c r="M166" i="10"/>
  <c r="N166" i="10"/>
  <c r="F167" i="10"/>
  <c r="G167" i="10"/>
  <c r="H167" i="10"/>
  <c r="I167" i="10"/>
  <c r="J167" i="10"/>
  <c r="K167" i="10"/>
  <c r="L167" i="10"/>
  <c r="M167" i="10"/>
  <c r="N167" i="10"/>
  <c r="F168" i="10"/>
  <c r="G168" i="10"/>
  <c r="H168" i="10"/>
  <c r="I168" i="10"/>
  <c r="J168" i="10"/>
  <c r="K168" i="10"/>
  <c r="L168" i="10"/>
  <c r="M168" i="10"/>
  <c r="N168" i="10"/>
  <c r="F169" i="10"/>
  <c r="G169" i="10"/>
  <c r="H169" i="10"/>
  <c r="I169" i="10"/>
  <c r="J169" i="10"/>
  <c r="K169" i="10"/>
  <c r="L169" i="10"/>
  <c r="M169" i="10"/>
  <c r="N169" i="10"/>
  <c r="F170" i="10"/>
  <c r="G170" i="10"/>
  <c r="H170" i="10"/>
  <c r="I170" i="10"/>
  <c r="J170" i="10"/>
  <c r="K170" i="10"/>
  <c r="L170" i="10"/>
  <c r="M170" i="10"/>
  <c r="N170" i="10"/>
  <c r="F171" i="10"/>
  <c r="G171" i="10"/>
  <c r="H171" i="10"/>
  <c r="I171" i="10"/>
  <c r="J171" i="10"/>
  <c r="K171" i="10"/>
  <c r="L171" i="10"/>
  <c r="M171" i="10"/>
  <c r="N171" i="10"/>
  <c r="F172" i="10"/>
  <c r="G172" i="10"/>
  <c r="H172" i="10"/>
  <c r="I172" i="10"/>
  <c r="J172" i="10"/>
  <c r="K172" i="10"/>
  <c r="L172" i="10"/>
  <c r="M172" i="10"/>
  <c r="N172" i="10"/>
  <c r="F173" i="10"/>
  <c r="G173" i="10"/>
  <c r="H173" i="10"/>
  <c r="I173" i="10"/>
  <c r="J173" i="10"/>
  <c r="K173" i="10"/>
  <c r="L173" i="10"/>
  <c r="M173" i="10"/>
  <c r="N173" i="10"/>
  <c r="F174" i="10"/>
  <c r="G174" i="10"/>
  <c r="H174" i="10"/>
  <c r="I174" i="10"/>
  <c r="J174" i="10"/>
  <c r="K174" i="10"/>
  <c r="L174" i="10"/>
  <c r="M174" i="10"/>
  <c r="N174" i="10"/>
  <c r="F175" i="10"/>
  <c r="G175" i="10"/>
  <c r="H175" i="10"/>
  <c r="I175" i="10"/>
  <c r="J175" i="10"/>
  <c r="K175" i="10"/>
  <c r="L175" i="10"/>
  <c r="M175" i="10"/>
  <c r="N175" i="10"/>
  <c r="F176" i="10"/>
  <c r="G176" i="10"/>
  <c r="H176" i="10"/>
  <c r="I176" i="10"/>
  <c r="J176" i="10"/>
  <c r="K176" i="10"/>
  <c r="L176" i="10"/>
  <c r="M176" i="10"/>
  <c r="N176" i="10"/>
  <c r="F177" i="10"/>
  <c r="G177" i="10"/>
  <c r="H177" i="10"/>
  <c r="I177" i="10"/>
  <c r="J177" i="10"/>
  <c r="K177" i="10"/>
  <c r="L177" i="10"/>
  <c r="M177" i="10"/>
  <c r="N177" i="10"/>
  <c r="F178" i="10"/>
  <c r="G178" i="10"/>
  <c r="H178" i="10"/>
  <c r="I178" i="10"/>
  <c r="J178" i="10"/>
  <c r="K178" i="10"/>
  <c r="L178" i="10"/>
  <c r="M178" i="10"/>
  <c r="N178" i="10"/>
  <c r="F179" i="10"/>
  <c r="G179" i="10"/>
  <c r="H179" i="10"/>
  <c r="I179" i="10"/>
  <c r="J179" i="10"/>
  <c r="K179" i="10"/>
  <c r="L179" i="10"/>
  <c r="M179" i="10"/>
  <c r="N179" i="10"/>
  <c r="F180" i="10"/>
  <c r="G180" i="10"/>
  <c r="H180" i="10"/>
  <c r="I180" i="10"/>
  <c r="J180" i="10"/>
  <c r="K180" i="10"/>
  <c r="L180" i="10"/>
  <c r="M180" i="10"/>
  <c r="N180" i="10"/>
  <c r="F181" i="10"/>
  <c r="G181" i="10"/>
  <c r="H181" i="10"/>
  <c r="I181" i="10"/>
  <c r="J181" i="10"/>
  <c r="K181" i="10"/>
  <c r="L181" i="10"/>
  <c r="M181" i="10"/>
  <c r="N181" i="10"/>
  <c r="F182" i="10"/>
  <c r="G182" i="10"/>
  <c r="H182" i="10"/>
  <c r="I182" i="10"/>
  <c r="J182" i="10"/>
  <c r="K182" i="10"/>
  <c r="L182" i="10"/>
  <c r="M182" i="10"/>
  <c r="N182" i="10"/>
  <c r="F183" i="10"/>
  <c r="G183" i="10"/>
  <c r="H183" i="10"/>
  <c r="I183" i="10"/>
  <c r="J183" i="10"/>
  <c r="K183" i="10"/>
  <c r="L183" i="10"/>
  <c r="M183" i="10"/>
  <c r="N183" i="10"/>
  <c r="F184" i="10"/>
  <c r="G184" i="10"/>
  <c r="H184" i="10"/>
  <c r="I184" i="10"/>
  <c r="J184" i="10"/>
  <c r="K184" i="10"/>
  <c r="L184" i="10"/>
  <c r="M184" i="10"/>
  <c r="N184" i="10"/>
  <c r="F185" i="10"/>
  <c r="G185" i="10"/>
  <c r="H185" i="10"/>
  <c r="I185" i="10"/>
  <c r="J185" i="10"/>
  <c r="K185" i="10"/>
  <c r="L185" i="10"/>
  <c r="M185" i="10"/>
  <c r="N185" i="10"/>
  <c r="F186" i="10"/>
  <c r="G186" i="10"/>
  <c r="H186" i="10"/>
  <c r="I186" i="10"/>
  <c r="J186" i="10"/>
  <c r="K186" i="10"/>
  <c r="L186" i="10"/>
  <c r="M186" i="10"/>
  <c r="N186" i="10"/>
  <c r="F187" i="10"/>
  <c r="G187" i="10"/>
  <c r="H187" i="10"/>
  <c r="I187" i="10"/>
  <c r="J187" i="10"/>
  <c r="K187" i="10"/>
  <c r="L187" i="10"/>
  <c r="M187" i="10"/>
  <c r="N187" i="10"/>
  <c r="F188" i="10"/>
  <c r="G188" i="10"/>
  <c r="H188" i="10"/>
  <c r="I188" i="10"/>
  <c r="J188" i="10"/>
  <c r="K188" i="10"/>
  <c r="L188" i="10"/>
  <c r="M188" i="10"/>
  <c r="N188" i="10"/>
  <c r="F189" i="10"/>
  <c r="G189" i="10"/>
  <c r="H189" i="10"/>
  <c r="I189" i="10"/>
  <c r="J189" i="10"/>
  <c r="K189" i="10"/>
  <c r="L189" i="10"/>
  <c r="M189" i="10"/>
  <c r="N189" i="10"/>
  <c r="F190" i="10"/>
  <c r="G190" i="10"/>
  <c r="H190" i="10"/>
  <c r="I190" i="10"/>
  <c r="J190" i="10"/>
  <c r="K190" i="10"/>
  <c r="L190" i="10"/>
  <c r="M190" i="10"/>
  <c r="N190" i="10"/>
  <c r="F191" i="10"/>
  <c r="G191" i="10"/>
  <c r="H191" i="10"/>
  <c r="I191" i="10"/>
  <c r="J191" i="10"/>
  <c r="K191" i="10"/>
  <c r="L191" i="10"/>
  <c r="M191" i="10"/>
  <c r="N191" i="10"/>
  <c r="F192" i="10"/>
  <c r="G192" i="10"/>
  <c r="H192" i="10"/>
  <c r="I192" i="10"/>
  <c r="J192" i="10"/>
  <c r="K192" i="10"/>
  <c r="L192" i="10"/>
  <c r="M192" i="10"/>
  <c r="N192" i="10"/>
  <c r="F193" i="10"/>
  <c r="G193" i="10"/>
  <c r="H193" i="10"/>
  <c r="I193" i="10"/>
  <c r="J193" i="10"/>
  <c r="K193" i="10"/>
  <c r="L193" i="10"/>
  <c r="M193" i="10"/>
  <c r="N193" i="10"/>
  <c r="F194" i="10"/>
  <c r="G194" i="10"/>
  <c r="H194" i="10"/>
  <c r="I194" i="10"/>
  <c r="J194" i="10"/>
  <c r="K194" i="10"/>
  <c r="L194" i="10"/>
  <c r="M194" i="10"/>
  <c r="N194" i="10"/>
  <c r="F195" i="10"/>
  <c r="G195" i="10"/>
  <c r="H195" i="10"/>
  <c r="I195" i="10"/>
  <c r="J195" i="10"/>
  <c r="K195" i="10"/>
  <c r="L195" i="10"/>
  <c r="M195" i="10"/>
  <c r="N195" i="10"/>
  <c r="F196" i="10"/>
  <c r="G196" i="10"/>
  <c r="H196" i="10"/>
  <c r="I196" i="10"/>
  <c r="J196" i="10"/>
  <c r="K196" i="10"/>
  <c r="L196" i="10"/>
  <c r="M196" i="10"/>
  <c r="N196" i="10"/>
  <c r="F197" i="10"/>
  <c r="G197" i="10"/>
  <c r="H197" i="10"/>
  <c r="I197" i="10"/>
  <c r="J197" i="10"/>
  <c r="K197" i="10"/>
  <c r="L197" i="10"/>
  <c r="M197" i="10"/>
  <c r="N197" i="10"/>
  <c r="F198" i="10"/>
  <c r="G198" i="10"/>
  <c r="H198" i="10"/>
  <c r="I198" i="10"/>
  <c r="J198" i="10"/>
  <c r="K198" i="10"/>
  <c r="L198" i="10"/>
  <c r="M198" i="10"/>
  <c r="N198" i="10"/>
  <c r="F199" i="10"/>
  <c r="G199" i="10"/>
  <c r="H199" i="10"/>
  <c r="I199" i="10"/>
  <c r="J199" i="10"/>
  <c r="K199" i="10"/>
  <c r="L199" i="10"/>
  <c r="M199" i="10"/>
  <c r="N199" i="10"/>
  <c r="F200" i="10"/>
  <c r="G200" i="10"/>
  <c r="H200" i="10"/>
  <c r="I200" i="10"/>
  <c r="J200" i="10"/>
  <c r="K200" i="10"/>
  <c r="L200" i="10"/>
  <c r="M200" i="10"/>
  <c r="N200" i="10"/>
  <c r="F201" i="10"/>
  <c r="G201" i="10"/>
  <c r="H201" i="10"/>
  <c r="I201" i="10"/>
  <c r="J201" i="10"/>
  <c r="K201" i="10"/>
  <c r="L201" i="10"/>
  <c r="M201" i="10"/>
  <c r="N201" i="10"/>
  <c r="F202" i="10"/>
  <c r="G202" i="10"/>
  <c r="H202" i="10"/>
  <c r="I202" i="10"/>
  <c r="J202" i="10"/>
  <c r="K202" i="10"/>
  <c r="L202" i="10"/>
  <c r="M202" i="10"/>
  <c r="N202" i="10"/>
  <c r="F203" i="10"/>
  <c r="G203" i="10"/>
  <c r="H203" i="10"/>
  <c r="I203" i="10"/>
  <c r="J203" i="10"/>
  <c r="K203" i="10"/>
  <c r="L203" i="10"/>
  <c r="M203" i="10"/>
  <c r="N203" i="10"/>
  <c r="F204" i="10"/>
  <c r="G204" i="10"/>
  <c r="H204" i="10"/>
  <c r="I204" i="10"/>
  <c r="J204" i="10"/>
  <c r="K204" i="10"/>
  <c r="L204" i="10"/>
  <c r="M204" i="10"/>
  <c r="N204" i="10"/>
  <c r="F205" i="10"/>
  <c r="G205" i="10"/>
  <c r="H205" i="10"/>
  <c r="I205" i="10"/>
  <c r="J205" i="10"/>
  <c r="K205" i="10"/>
  <c r="L205" i="10"/>
  <c r="M205" i="10"/>
  <c r="N205" i="10"/>
  <c r="F206" i="10"/>
  <c r="G206" i="10"/>
  <c r="H206" i="10"/>
  <c r="I206" i="10"/>
  <c r="J206" i="10"/>
  <c r="K206" i="10"/>
  <c r="L206" i="10"/>
  <c r="M206" i="10"/>
  <c r="N206" i="10"/>
  <c r="F207" i="10"/>
  <c r="G207" i="10"/>
  <c r="H207" i="10"/>
  <c r="I207" i="10"/>
  <c r="J207" i="10"/>
  <c r="K207" i="10"/>
  <c r="L207" i="10"/>
  <c r="M207" i="10"/>
  <c r="N207" i="10"/>
  <c r="F208" i="10"/>
  <c r="G208" i="10"/>
  <c r="H208" i="10"/>
  <c r="I208" i="10"/>
  <c r="J208" i="10"/>
  <c r="K208" i="10"/>
  <c r="L208" i="10"/>
  <c r="M208" i="10"/>
  <c r="N208" i="10"/>
  <c r="F209" i="10"/>
  <c r="G209" i="10"/>
  <c r="H209" i="10"/>
  <c r="I209" i="10"/>
  <c r="J209" i="10"/>
  <c r="K209" i="10"/>
  <c r="L209" i="10"/>
  <c r="M209" i="10"/>
  <c r="N209" i="10"/>
  <c r="F210" i="10"/>
  <c r="G210" i="10"/>
  <c r="H210" i="10"/>
  <c r="I210" i="10"/>
  <c r="J210" i="10"/>
  <c r="K210" i="10"/>
  <c r="L210" i="10"/>
  <c r="M210" i="10"/>
  <c r="N210" i="10"/>
  <c r="F211" i="10"/>
  <c r="G211" i="10"/>
  <c r="H211" i="10"/>
  <c r="I211" i="10"/>
  <c r="J211" i="10"/>
  <c r="K211" i="10"/>
  <c r="L211" i="10"/>
  <c r="M211" i="10"/>
  <c r="N211" i="10"/>
  <c r="F212" i="10"/>
  <c r="G212" i="10"/>
  <c r="H212" i="10"/>
  <c r="I212" i="10"/>
  <c r="J212" i="10"/>
  <c r="K212" i="10"/>
  <c r="L212" i="10"/>
  <c r="M212" i="10"/>
  <c r="N212" i="10"/>
  <c r="F213" i="10"/>
  <c r="G213" i="10"/>
  <c r="H213" i="10"/>
  <c r="I213" i="10"/>
  <c r="J213" i="10"/>
  <c r="K213" i="10"/>
  <c r="L213" i="10"/>
  <c r="M213" i="10"/>
  <c r="N213" i="10"/>
  <c r="F214" i="10"/>
  <c r="G214" i="10"/>
  <c r="H214" i="10"/>
  <c r="I214" i="10"/>
  <c r="J214" i="10"/>
  <c r="K214" i="10"/>
  <c r="L214" i="10"/>
  <c r="M214" i="10"/>
  <c r="N214" i="10"/>
  <c r="F215" i="10"/>
  <c r="G215" i="10"/>
  <c r="H215" i="10"/>
  <c r="I215" i="10"/>
  <c r="J215" i="10"/>
  <c r="K215" i="10"/>
  <c r="L215" i="10"/>
  <c r="M215" i="10"/>
  <c r="N215" i="10"/>
  <c r="F216" i="10"/>
  <c r="G216" i="10"/>
  <c r="H216" i="10"/>
  <c r="I216" i="10"/>
  <c r="J216" i="10"/>
  <c r="K216" i="10"/>
  <c r="L216" i="10"/>
  <c r="M216" i="10"/>
  <c r="N216" i="10"/>
  <c r="F217" i="10"/>
  <c r="G217" i="10"/>
  <c r="H217" i="10"/>
  <c r="I217" i="10"/>
  <c r="J217" i="10"/>
  <c r="K217" i="10"/>
  <c r="L217" i="10"/>
  <c r="M217" i="10"/>
  <c r="N217" i="10"/>
  <c r="F218" i="10"/>
  <c r="G218" i="10"/>
  <c r="H218" i="10"/>
  <c r="I218" i="10"/>
  <c r="J218" i="10"/>
  <c r="K218" i="10"/>
  <c r="L218" i="10"/>
  <c r="M218" i="10"/>
  <c r="N218" i="10"/>
  <c r="F219" i="10"/>
  <c r="G219" i="10"/>
  <c r="H219" i="10"/>
  <c r="I219" i="10"/>
  <c r="J219" i="10"/>
  <c r="K219" i="10"/>
  <c r="L219" i="10"/>
  <c r="M219" i="10"/>
  <c r="N219" i="10"/>
  <c r="F220" i="10"/>
  <c r="G220" i="10"/>
  <c r="H220" i="10"/>
  <c r="I220" i="10"/>
  <c r="J220" i="10"/>
  <c r="K220" i="10"/>
  <c r="L220" i="10"/>
  <c r="M220" i="10"/>
  <c r="N220" i="10"/>
  <c r="F221" i="10"/>
  <c r="G221" i="10"/>
  <c r="H221" i="10"/>
  <c r="I221" i="10"/>
  <c r="J221" i="10"/>
  <c r="K221" i="10"/>
  <c r="L221" i="10"/>
  <c r="M221" i="10"/>
  <c r="N221" i="10"/>
  <c r="F222" i="10"/>
  <c r="G222" i="10"/>
  <c r="H222" i="10"/>
  <c r="I222" i="10"/>
  <c r="J222" i="10"/>
  <c r="K222" i="10"/>
  <c r="L222" i="10"/>
  <c r="M222" i="10"/>
  <c r="N222" i="10"/>
  <c r="F223" i="10"/>
  <c r="G223" i="10"/>
  <c r="H223" i="10"/>
  <c r="I223" i="10"/>
  <c r="J223" i="10"/>
  <c r="K223" i="10"/>
  <c r="L223" i="10"/>
  <c r="M223" i="10"/>
  <c r="N223" i="10"/>
  <c r="F224" i="10"/>
  <c r="G224" i="10"/>
  <c r="H224" i="10"/>
  <c r="I224" i="10"/>
  <c r="J224" i="10"/>
  <c r="K224" i="10"/>
  <c r="L224" i="10"/>
  <c r="M224" i="10"/>
  <c r="N224" i="10"/>
  <c r="F225" i="10"/>
  <c r="G225" i="10"/>
  <c r="H225" i="10"/>
  <c r="I225" i="10"/>
  <c r="J225" i="10"/>
  <c r="K225" i="10"/>
  <c r="L225" i="10"/>
  <c r="M225" i="10"/>
  <c r="N225" i="10"/>
  <c r="F226" i="10"/>
  <c r="G226" i="10"/>
  <c r="H226" i="10"/>
  <c r="I226" i="10"/>
  <c r="J226" i="10"/>
  <c r="K226" i="10"/>
  <c r="L226" i="10"/>
  <c r="M226" i="10"/>
  <c r="N226" i="10"/>
  <c r="F227" i="10"/>
  <c r="G227" i="10"/>
  <c r="H227" i="10"/>
  <c r="I227" i="10"/>
  <c r="J227" i="10"/>
  <c r="K227" i="10"/>
  <c r="L227" i="10"/>
  <c r="M227" i="10"/>
  <c r="N227" i="10"/>
  <c r="F228" i="10"/>
  <c r="G228" i="10"/>
  <c r="H228" i="10"/>
  <c r="I228" i="10"/>
  <c r="J228" i="10"/>
  <c r="K228" i="10"/>
  <c r="L228" i="10"/>
  <c r="M228" i="10"/>
  <c r="N228" i="10"/>
  <c r="F229" i="10"/>
  <c r="G229" i="10"/>
  <c r="H229" i="10"/>
  <c r="I229" i="10"/>
  <c r="J229" i="10"/>
  <c r="K229" i="10"/>
  <c r="L229" i="10"/>
  <c r="M229" i="10"/>
  <c r="N229" i="10"/>
  <c r="F230" i="10"/>
  <c r="G230" i="10"/>
  <c r="H230" i="10"/>
  <c r="I230" i="10"/>
  <c r="J230" i="10"/>
  <c r="K230" i="10"/>
  <c r="L230" i="10"/>
  <c r="M230" i="10"/>
  <c r="N230" i="10"/>
  <c r="F231" i="10"/>
  <c r="G231" i="10"/>
  <c r="H231" i="10"/>
  <c r="I231" i="10"/>
  <c r="J231" i="10"/>
  <c r="K231" i="10"/>
  <c r="L231" i="10"/>
  <c r="M231" i="10"/>
  <c r="N231" i="10"/>
  <c r="F232" i="10"/>
  <c r="G232" i="10"/>
  <c r="H232" i="10"/>
  <c r="I232" i="10"/>
  <c r="J232" i="10"/>
  <c r="K232" i="10"/>
  <c r="L232" i="10"/>
  <c r="M232" i="10"/>
  <c r="N232" i="10"/>
  <c r="F233" i="10"/>
  <c r="G233" i="10"/>
  <c r="H233" i="10"/>
  <c r="I233" i="10"/>
  <c r="J233" i="10"/>
  <c r="K233" i="10"/>
  <c r="L233" i="10"/>
  <c r="M233" i="10"/>
  <c r="N233" i="10"/>
  <c r="F234" i="10"/>
  <c r="G234" i="10"/>
  <c r="H234" i="10"/>
  <c r="I234" i="10"/>
  <c r="J234" i="10"/>
  <c r="K234" i="10"/>
  <c r="L234" i="10"/>
  <c r="M234" i="10"/>
  <c r="N234" i="10"/>
  <c r="F235" i="10"/>
  <c r="G235" i="10"/>
  <c r="H235" i="10"/>
  <c r="I235" i="10"/>
  <c r="J235" i="10"/>
  <c r="K235" i="10"/>
  <c r="L235" i="10"/>
  <c r="M235" i="10"/>
  <c r="N235" i="10"/>
  <c r="F236" i="10"/>
  <c r="G236" i="10"/>
  <c r="H236" i="10"/>
  <c r="I236" i="10"/>
  <c r="J236" i="10"/>
  <c r="K236" i="10"/>
  <c r="L236" i="10"/>
  <c r="M236" i="10"/>
  <c r="N236" i="10"/>
  <c r="F237" i="10"/>
  <c r="G237" i="10"/>
  <c r="H237" i="10"/>
  <c r="I237" i="10"/>
  <c r="J237" i="10"/>
  <c r="K237" i="10"/>
  <c r="L237" i="10"/>
  <c r="M237" i="10"/>
  <c r="N237" i="10"/>
  <c r="F238" i="10"/>
  <c r="G238" i="10"/>
  <c r="H238" i="10"/>
  <c r="I238" i="10"/>
  <c r="J238" i="10"/>
  <c r="K238" i="10"/>
  <c r="L238" i="10"/>
  <c r="M238" i="10"/>
  <c r="N238" i="10"/>
  <c r="F239" i="10"/>
  <c r="G239" i="10"/>
  <c r="H239" i="10"/>
  <c r="I239" i="10"/>
  <c r="J239" i="10"/>
  <c r="K239" i="10"/>
  <c r="L239" i="10"/>
  <c r="M239" i="10"/>
  <c r="N239" i="10"/>
  <c r="F240" i="10"/>
  <c r="G240" i="10"/>
  <c r="H240" i="10"/>
  <c r="I240" i="10"/>
  <c r="J240" i="10"/>
  <c r="K240" i="10"/>
  <c r="L240" i="10"/>
  <c r="M240" i="10"/>
  <c r="N240" i="10"/>
  <c r="F241" i="10"/>
  <c r="G241" i="10"/>
  <c r="H241" i="10"/>
  <c r="I241" i="10"/>
  <c r="J241" i="10"/>
  <c r="K241" i="10"/>
  <c r="L241" i="10"/>
  <c r="M241" i="10"/>
  <c r="N241" i="10"/>
  <c r="F242" i="10"/>
  <c r="G242" i="10"/>
  <c r="H242" i="10"/>
  <c r="I242" i="10"/>
  <c r="J242" i="10"/>
  <c r="K242" i="10"/>
  <c r="L242" i="10"/>
  <c r="M242" i="10"/>
  <c r="N242" i="10"/>
  <c r="F243" i="10"/>
  <c r="G243" i="10"/>
  <c r="H243" i="10"/>
  <c r="I243" i="10"/>
  <c r="J243" i="10"/>
  <c r="K243" i="10"/>
  <c r="L243" i="10"/>
  <c r="M243" i="10"/>
  <c r="N243" i="10"/>
  <c r="F244" i="10"/>
  <c r="G244" i="10"/>
  <c r="H244" i="10"/>
  <c r="I244" i="10"/>
  <c r="J244" i="10"/>
  <c r="K244" i="10"/>
  <c r="L244" i="10"/>
  <c r="M244" i="10"/>
  <c r="N244" i="10"/>
  <c r="F245" i="10"/>
  <c r="G245" i="10"/>
  <c r="H245" i="10"/>
  <c r="I245" i="10"/>
  <c r="J245" i="10"/>
  <c r="K245" i="10"/>
  <c r="L245" i="10"/>
  <c r="M245" i="10"/>
  <c r="N245" i="10"/>
  <c r="F246" i="10"/>
  <c r="G246" i="10"/>
  <c r="H246" i="10"/>
  <c r="I246" i="10"/>
  <c r="J246" i="10"/>
  <c r="K246" i="10"/>
  <c r="L246" i="10"/>
  <c r="M246" i="10"/>
  <c r="N246" i="10"/>
  <c r="F247" i="10"/>
  <c r="G247" i="10"/>
  <c r="H247" i="10"/>
  <c r="I247" i="10"/>
  <c r="J247" i="10"/>
  <c r="K247" i="10"/>
  <c r="L247" i="10"/>
  <c r="M247" i="10"/>
  <c r="N247" i="10"/>
  <c r="F248" i="10"/>
  <c r="G248" i="10"/>
  <c r="H248" i="10"/>
  <c r="I248" i="10"/>
  <c r="J248" i="10"/>
  <c r="K248" i="10"/>
  <c r="L248" i="10"/>
  <c r="M248" i="10"/>
  <c r="N248" i="10"/>
  <c r="F249" i="10"/>
  <c r="G249" i="10"/>
  <c r="H249" i="10"/>
  <c r="I249" i="10"/>
  <c r="J249" i="10"/>
  <c r="K249" i="10"/>
  <c r="L249" i="10"/>
  <c r="M249" i="10"/>
  <c r="N249" i="10"/>
  <c r="F250" i="10"/>
  <c r="G250" i="10"/>
  <c r="H250" i="10"/>
  <c r="I250" i="10"/>
  <c r="J250" i="10"/>
  <c r="K250" i="10"/>
  <c r="L250" i="10"/>
  <c r="M250" i="10"/>
  <c r="N250" i="10"/>
  <c r="F251" i="10"/>
  <c r="G251" i="10"/>
  <c r="H251" i="10"/>
  <c r="I251" i="10"/>
  <c r="J251" i="10"/>
  <c r="K251" i="10"/>
  <c r="L251" i="10"/>
  <c r="M251" i="10"/>
  <c r="N251" i="10"/>
  <c r="F252" i="10"/>
  <c r="G252" i="10"/>
  <c r="H252" i="10"/>
  <c r="I252" i="10"/>
  <c r="J252" i="10"/>
  <c r="K252" i="10"/>
  <c r="L252" i="10"/>
  <c r="M252" i="10"/>
  <c r="N252" i="10"/>
  <c r="F253" i="10"/>
  <c r="G253" i="10"/>
  <c r="H253" i="10"/>
  <c r="I253" i="10"/>
  <c r="J253" i="10"/>
  <c r="K253" i="10"/>
  <c r="L253" i="10"/>
  <c r="M253" i="10"/>
  <c r="N253" i="10"/>
  <c r="F254" i="10"/>
  <c r="G254" i="10"/>
  <c r="H254" i="10"/>
  <c r="I254" i="10"/>
  <c r="J254" i="10"/>
  <c r="K254" i="10"/>
  <c r="L254" i="10"/>
  <c r="M254" i="10"/>
  <c r="N254" i="10"/>
  <c r="F255" i="10"/>
  <c r="G255" i="10"/>
  <c r="H255" i="10"/>
  <c r="I255" i="10"/>
  <c r="J255" i="10"/>
  <c r="K255" i="10"/>
  <c r="L255" i="10"/>
  <c r="M255" i="10"/>
  <c r="N255" i="10"/>
  <c r="F256" i="10"/>
  <c r="G256" i="10"/>
  <c r="H256" i="10"/>
  <c r="I256" i="10"/>
  <c r="J256" i="10"/>
  <c r="K256" i="10"/>
  <c r="L256" i="10"/>
  <c r="M256" i="10"/>
  <c r="N256" i="10"/>
  <c r="F257" i="10"/>
  <c r="G257" i="10"/>
  <c r="H257" i="10"/>
  <c r="I257" i="10"/>
  <c r="J257" i="10"/>
  <c r="K257" i="10"/>
  <c r="L257" i="10"/>
  <c r="M257" i="10"/>
  <c r="N257" i="10"/>
  <c r="F258" i="10"/>
  <c r="G258" i="10"/>
  <c r="H258" i="10"/>
  <c r="I258" i="10"/>
  <c r="J258" i="10"/>
  <c r="K258" i="10"/>
  <c r="L258" i="10"/>
  <c r="M258" i="10"/>
  <c r="N258" i="10"/>
  <c r="F259" i="10"/>
  <c r="G259" i="10"/>
  <c r="H259" i="10"/>
  <c r="I259" i="10"/>
  <c r="J259" i="10"/>
  <c r="K259" i="10"/>
  <c r="L259" i="10"/>
  <c r="M259" i="10"/>
  <c r="N259" i="10"/>
  <c r="F260" i="10"/>
  <c r="G260" i="10"/>
  <c r="H260" i="10"/>
  <c r="I260" i="10"/>
  <c r="J260" i="10"/>
  <c r="K260" i="10"/>
  <c r="L260" i="10"/>
  <c r="M260" i="10"/>
  <c r="N260" i="10"/>
  <c r="F261" i="10"/>
  <c r="G261" i="10"/>
  <c r="H261" i="10"/>
  <c r="I261" i="10"/>
  <c r="J261" i="10"/>
  <c r="K261" i="10"/>
  <c r="L261" i="10"/>
  <c r="M261" i="10"/>
  <c r="N261" i="10"/>
  <c r="F262" i="10"/>
  <c r="G262" i="10"/>
  <c r="H262" i="10"/>
  <c r="I262" i="10"/>
  <c r="J262" i="10"/>
  <c r="K262" i="10"/>
  <c r="L262" i="10"/>
  <c r="M262" i="10"/>
  <c r="N262" i="10"/>
  <c r="F263" i="10"/>
  <c r="G263" i="10"/>
  <c r="H263" i="10"/>
  <c r="I263" i="10"/>
  <c r="J263" i="10"/>
  <c r="K263" i="10"/>
  <c r="L263" i="10"/>
  <c r="M263" i="10"/>
  <c r="N263" i="10"/>
  <c r="F264" i="10"/>
  <c r="G264" i="10"/>
  <c r="H264" i="10"/>
  <c r="I264" i="10"/>
  <c r="J264" i="10"/>
  <c r="K264" i="10"/>
  <c r="L264" i="10"/>
  <c r="M264" i="10"/>
  <c r="N264" i="10"/>
  <c r="F265" i="10"/>
  <c r="G265" i="10"/>
  <c r="H265" i="10"/>
  <c r="I265" i="10"/>
  <c r="J265" i="10"/>
  <c r="K265" i="10"/>
  <c r="L265" i="10"/>
  <c r="M265" i="10"/>
  <c r="N265" i="10"/>
  <c r="F266" i="10"/>
  <c r="G266" i="10"/>
  <c r="H266" i="10"/>
  <c r="I266" i="10"/>
  <c r="J266" i="10"/>
  <c r="K266" i="10"/>
  <c r="L266" i="10"/>
  <c r="M266" i="10"/>
  <c r="N266" i="10"/>
  <c r="F267" i="10"/>
  <c r="G267" i="10"/>
  <c r="H267" i="10"/>
  <c r="I267" i="10"/>
  <c r="J267" i="10"/>
  <c r="K267" i="10"/>
  <c r="L267" i="10"/>
  <c r="M267" i="10"/>
  <c r="N267" i="10"/>
  <c r="F268" i="10"/>
  <c r="G268" i="10"/>
  <c r="H268" i="10"/>
  <c r="I268" i="10"/>
  <c r="J268" i="10"/>
  <c r="K268" i="10"/>
  <c r="L268" i="10"/>
  <c r="M268" i="10"/>
  <c r="N268" i="10"/>
  <c r="F269" i="10"/>
  <c r="G269" i="10"/>
  <c r="H269" i="10"/>
  <c r="I269" i="10"/>
  <c r="J269" i="10"/>
  <c r="K269" i="10"/>
  <c r="L269" i="10"/>
  <c r="M269" i="10"/>
  <c r="N269" i="10"/>
  <c r="F270" i="10"/>
  <c r="G270" i="10"/>
  <c r="H270" i="10"/>
  <c r="I270" i="10"/>
  <c r="J270" i="10"/>
  <c r="K270" i="10"/>
  <c r="L270" i="10"/>
  <c r="M270" i="10"/>
  <c r="N270" i="10"/>
  <c r="F271" i="10"/>
  <c r="G271" i="10"/>
  <c r="H271" i="10"/>
  <c r="I271" i="10"/>
  <c r="J271" i="10"/>
  <c r="K271" i="10"/>
  <c r="L271" i="10"/>
  <c r="M271" i="10"/>
  <c r="N271" i="10"/>
  <c r="F272" i="10"/>
  <c r="G272" i="10"/>
  <c r="H272" i="10"/>
  <c r="I272" i="10"/>
  <c r="J272" i="10"/>
  <c r="K272" i="10"/>
  <c r="L272" i="10"/>
  <c r="M272" i="10"/>
  <c r="N272" i="10"/>
  <c r="F273" i="10"/>
  <c r="G273" i="10"/>
  <c r="H273" i="10"/>
  <c r="I273" i="10"/>
  <c r="J273" i="10"/>
  <c r="K273" i="10"/>
  <c r="L273" i="10"/>
  <c r="M273" i="10"/>
  <c r="N273" i="10"/>
  <c r="F274" i="10"/>
  <c r="G274" i="10"/>
  <c r="H274" i="10"/>
  <c r="I274" i="10"/>
  <c r="J274" i="10"/>
  <c r="K274" i="10"/>
  <c r="L274" i="10"/>
  <c r="M274" i="10"/>
  <c r="N274" i="10"/>
  <c r="F275" i="10"/>
  <c r="G275" i="10"/>
  <c r="H275" i="10"/>
  <c r="I275" i="10"/>
  <c r="J275" i="10"/>
  <c r="K275" i="10"/>
  <c r="L275" i="10"/>
  <c r="M275" i="10"/>
  <c r="N275" i="10"/>
  <c r="F276" i="10"/>
  <c r="G276" i="10"/>
  <c r="H276" i="10"/>
  <c r="I276" i="10"/>
  <c r="J276" i="10"/>
  <c r="K276" i="10"/>
  <c r="L276" i="10"/>
  <c r="M276" i="10"/>
  <c r="N276" i="10"/>
  <c r="F277" i="10"/>
  <c r="G277" i="10"/>
  <c r="H277" i="10"/>
  <c r="I277" i="10"/>
  <c r="J277" i="10"/>
  <c r="K277" i="10"/>
  <c r="L277" i="10"/>
  <c r="M277" i="10"/>
  <c r="N277" i="10"/>
  <c r="F278" i="10"/>
  <c r="G278" i="10"/>
  <c r="H278" i="10"/>
  <c r="I278" i="10"/>
  <c r="J278" i="10"/>
  <c r="K278" i="10"/>
  <c r="L278" i="10"/>
  <c r="M278" i="10"/>
  <c r="N278" i="10"/>
  <c r="F279" i="10"/>
  <c r="G279" i="10"/>
  <c r="H279" i="10"/>
  <c r="I279" i="10"/>
  <c r="J279" i="10"/>
  <c r="K279" i="10"/>
  <c r="L279" i="10"/>
  <c r="M279" i="10"/>
  <c r="N279" i="10"/>
  <c r="F280" i="10"/>
  <c r="G280" i="10"/>
  <c r="H280" i="10"/>
  <c r="I280" i="10"/>
  <c r="J280" i="10"/>
  <c r="K280" i="10"/>
  <c r="L280" i="10"/>
  <c r="M280" i="10"/>
  <c r="N280" i="10"/>
  <c r="F281" i="10"/>
  <c r="G281" i="10"/>
  <c r="H281" i="10"/>
  <c r="I281" i="10"/>
  <c r="J281" i="10"/>
  <c r="K281" i="10"/>
  <c r="L281" i="10"/>
  <c r="M281" i="10"/>
  <c r="N281" i="10"/>
  <c r="F282" i="10"/>
  <c r="G282" i="10"/>
  <c r="H282" i="10"/>
  <c r="I282" i="10"/>
  <c r="J282" i="10"/>
  <c r="K282" i="10"/>
  <c r="L282" i="10"/>
  <c r="M282" i="10"/>
  <c r="N282" i="10"/>
  <c r="F283" i="10"/>
  <c r="G283" i="10"/>
  <c r="H283" i="10"/>
  <c r="I283" i="10"/>
  <c r="J283" i="10"/>
  <c r="K283" i="10"/>
  <c r="L283" i="10"/>
  <c r="M283" i="10"/>
  <c r="N283" i="10"/>
  <c r="F284" i="10"/>
  <c r="G284" i="10"/>
  <c r="H284" i="10"/>
  <c r="I284" i="10"/>
  <c r="J284" i="10"/>
  <c r="K284" i="10"/>
  <c r="L284" i="10"/>
  <c r="M284" i="10"/>
  <c r="N284" i="10"/>
  <c r="F285" i="10"/>
  <c r="G285" i="10"/>
  <c r="H285" i="10"/>
  <c r="I285" i="10"/>
  <c r="J285" i="10"/>
  <c r="K285" i="10"/>
  <c r="L285" i="10"/>
  <c r="M285" i="10"/>
  <c r="N285" i="10"/>
  <c r="F286" i="10"/>
  <c r="G286" i="10"/>
  <c r="H286" i="10"/>
  <c r="I286" i="10"/>
  <c r="J286" i="10"/>
  <c r="K286" i="10"/>
  <c r="L286" i="10"/>
  <c r="M286" i="10"/>
  <c r="N286" i="10"/>
  <c r="F287" i="10"/>
  <c r="G287" i="10"/>
  <c r="H287" i="10"/>
  <c r="I287" i="10"/>
  <c r="J287" i="10"/>
  <c r="K287" i="10"/>
  <c r="L287" i="10"/>
  <c r="M287" i="10"/>
  <c r="N287" i="10"/>
  <c r="F288" i="10"/>
  <c r="G288" i="10"/>
  <c r="H288" i="10"/>
  <c r="I288" i="10"/>
  <c r="J288" i="10"/>
  <c r="K288" i="10"/>
  <c r="L288" i="10"/>
  <c r="M288" i="10"/>
  <c r="N288" i="10"/>
  <c r="F289" i="10"/>
  <c r="G289" i="10"/>
  <c r="H289" i="10"/>
  <c r="I289" i="10"/>
  <c r="J289" i="10"/>
  <c r="K289" i="10"/>
  <c r="L289" i="10"/>
  <c r="M289" i="10"/>
  <c r="N289" i="10"/>
  <c r="F290" i="10"/>
  <c r="G290" i="10"/>
  <c r="H290" i="10"/>
  <c r="I290" i="10"/>
  <c r="J290" i="10"/>
  <c r="K290" i="10"/>
  <c r="L290" i="10"/>
  <c r="M290" i="10"/>
  <c r="N290" i="10"/>
  <c r="F291" i="10"/>
  <c r="G291" i="10"/>
  <c r="H291" i="10"/>
  <c r="I291" i="10"/>
  <c r="J291" i="10"/>
  <c r="K291" i="10"/>
  <c r="L291" i="10"/>
  <c r="M291" i="10"/>
  <c r="N291" i="10"/>
  <c r="F292" i="10"/>
  <c r="G292" i="10"/>
  <c r="H292" i="10"/>
  <c r="I292" i="10"/>
  <c r="J292" i="10"/>
  <c r="K292" i="10"/>
  <c r="L292" i="10"/>
  <c r="M292" i="10"/>
  <c r="N292" i="10"/>
  <c r="F293" i="10"/>
  <c r="G293" i="10"/>
  <c r="H293" i="10"/>
  <c r="I293" i="10"/>
  <c r="J293" i="10"/>
  <c r="K293" i="10"/>
  <c r="L293" i="10"/>
  <c r="M293" i="10"/>
  <c r="N293" i="10"/>
  <c r="F294" i="10"/>
  <c r="G294" i="10"/>
  <c r="H294" i="10"/>
  <c r="I294" i="10"/>
  <c r="J294" i="10"/>
  <c r="K294" i="10"/>
  <c r="L294" i="10"/>
  <c r="M294" i="10"/>
  <c r="N294" i="10"/>
  <c r="F295" i="10"/>
  <c r="G295" i="10"/>
  <c r="H295" i="10"/>
  <c r="I295" i="10"/>
  <c r="J295" i="10"/>
  <c r="K295" i="10"/>
  <c r="L295" i="10"/>
  <c r="M295" i="10"/>
  <c r="N295" i="10"/>
  <c r="F296" i="10"/>
  <c r="G296" i="10"/>
  <c r="H296" i="10"/>
  <c r="I296" i="10"/>
  <c r="J296" i="10"/>
  <c r="K296" i="10"/>
  <c r="L296" i="10"/>
  <c r="M296" i="10"/>
  <c r="N296" i="10"/>
  <c r="F297" i="10"/>
  <c r="G297" i="10"/>
  <c r="H297" i="10"/>
  <c r="I297" i="10"/>
  <c r="J297" i="10"/>
  <c r="K297" i="10"/>
  <c r="L297" i="10"/>
  <c r="M297" i="10"/>
  <c r="N297" i="10"/>
  <c r="F298" i="10"/>
  <c r="G298" i="10"/>
  <c r="H298" i="10"/>
  <c r="I298" i="10"/>
  <c r="J298" i="10"/>
  <c r="K298" i="10"/>
  <c r="L298" i="10"/>
  <c r="M298" i="10"/>
  <c r="N298" i="10"/>
  <c r="F299" i="10"/>
  <c r="G299" i="10"/>
  <c r="H299" i="10"/>
  <c r="I299" i="10"/>
  <c r="J299" i="10"/>
  <c r="K299" i="10"/>
  <c r="L299" i="10"/>
  <c r="M299" i="10"/>
  <c r="N299" i="10"/>
  <c r="F300" i="10"/>
  <c r="G300" i="10"/>
  <c r="H300" i="10"/>
  <c r="I300" i="10"/>
  <c r="J300" i="10"/>
  <c r="K300" i="10"/>
  <c r="L300" i="10"/>
  <c r="M300" i="10"/>
  <c r="N300" i="10"/>
  <c r="F301" i="10"/>
  <c r="G301" i="10"/>
  <c r="H301" i="10"/>
  <c r="I301" i="10"/>
  <c r="J301" i="10"/>
  <c r="K301" i="10"/>
  <c r="L301" i="10"/>
  <c r="M301" i="10"/>
  <c r="N301" i="10"/>
  <c r="F302" i="10"/>
  <c r="G302" i="10"/>
  <c r="H302" i="10"/>
  <c r="I302" i="10"/>
  <c r="J302" i="10"/>
  <c r="K302" i="10"/>
  <c r="L302" i="10"/>
  <c r="M302" i="10"/>
  <c r="N302" i="10"/>
  <c r="F303" i="10"/>
  <c r="G303" i="10"/>
  <c r="H303" i="10"/>
  <c r="I303" i="10"/>
  <c r="J303" i="10"/>
  <c r="K303" i="10"/>
  <c r="L303" i="10"/>
  <c r="M303" i="10"/>
  <c r="N303" i="10"/>
  <c r="F304" i="10"/>
  <c r="G304" i="10"/>
  <c r="H304" i="10"/>
  <c r="I304" i="10"/>
  <c r="J304" i="10"/>
  <c r="K304" i="10"/>
  <c r="L304" i="10"/>
  <c r="M304" i="10"/>
  <c r="N304" i="10"/>
  <c r="F305" i="10"/>
  <c r="G305" i="10"/>
  <c r="H305" i="10"/>
  <c r="I305" i="10"/>
  <c r="J305" i="10"/>
  <c r="K305" i="10"/>
  <c r="L305" i="10"/>
  <c r="M305" i="10"/>
  <c r="N305" i="10"/>
  <c r="F306" i="10"/>
  <c r="G306" i="10"/>
  <c r="H306" i="10"/>
  <c r="I306" i="10"/>
  <c r="J306" i="10"/>
  <c r="K306" i="10"/>
  <c r="L306" i="10"/>
  <c r="M306" i="10"/>
  <c r="N306" i="10"/>
  <c r="F307" i="10"/>
  <c r="G307" i="10"/>
  <c r="H307" i="10"/>
  <c r="I307" i="10"/>
  <c r="J307" i="10"/>
  <c r="K307" i="10"/>
  <c r="L307" i="10"/>
  <c r="M307" i="10"/>
  <c r="N307" i="10"/>
  <c r="F308" i="10"/>
  <c r="G308" i="10"/>
  <c r="H308" i="10"/>
  <c r="I308" i="10"/>
  <c r="J308" i="10"/>
  <c r="K308" i="10"/>
  <c r="L308" i="10"/>
  <c r="M308" i="10"/>
  <c r="N308" i="10"/>
  <c r="F309" i="10"/>
  <c r="G309" i="10"/>
  <c r="H309" i="10"/>
  <c r="I309" i="10"/>
  <c r="J309" i="10"/>
  <c r="K309" i="10"/>
  <c r="L309" i="10"/>
  <c r="M309" i="10"/>
  <c r="N309" i="10"/>
  <c r="F310" i="10"/>
  <c r="G310" i="10"/>
  <c r="H310" i="10"/>
  <c r="I310" i="10"/>
  <c r="J310" i="10"/>
  <c r="K310" i="10"/>
  <c r="L310" i="10"/>
  <c r="M310" i="10"/>
  <c r="N310" i="10"/>
  <c r="G6" i="10"/>
  <c r="H6" i="10"/>
  <c r="I6" i="10"/>
  <c r="J6" i="10"/>
  <c r="K6" i="10"/>
  <c r="L6" i="10"/>
  <c r="M6" i="10"/>
  <c r="N6" i="10"/>
  <c r="F6" i="10"/>
  <c r="F6" i="2"/>
  <c r="B14" i="8"/>
  <c r="B20" i="8" s="1"/>
  <c r="C9" i="8"/>
  <c r="C10" i="8"/>
  <c r="G401" i="2"/>
  <c r="H401" i="2"/>
  <c r="I401" i="2"/>
  <c r="J401" i="2"/>
  <c r="K401" i="2"/>
  <c r="L401" i="2"/>
  <c r="M401" i="2"/>
  <c r="N401" i="2"/>
  <c r="F401" i="2"/>
  <c r="G357" i="2"/>
  <c r="H357" i="2"/>
  <c r="I357" i="2"/>
  <c r="J357" i="2"/>
  <c r="K357" i="2"/>
  <c r="L357" i="2"/>
  <c r="M357" i="2"/>
  <c r="N357" i="2"/>
  <c r="G358" i="2"/>
  <c r="H358" i="2"/>
  <c r="I358" i="2"/>
  <c r="J358" i="2"/>
  <c r="K358" i="2"/>
  <c r="L358" i="2"/>
  <c r="M358" i="2"/>
  <c r="N358" i="2"/>
  <c r="G359" i="2"/>
  <c r="H359" i="2"/>
  <c r="I359" i="2"/>
  <c r="J359" i="2"/>
  <c r="K359" i="2"/>
  <c r="L359" i="2"/>
  <c r="M359" i="2"/>
  <c r="N359" i="2"/>
  <c r="G360" i="2"/>
  <c r="H360" i="2"/>
  <c r="I360" i="2"/>
  <c r="J360" i="2"/>
  <c r="K360" i="2"/>
  <c r="L360" i="2"/>
  <c r="M360" i="2"/>
  <c r="N360" i="2"/>
  <c r="G361" i="2"/>
  <c r="H361" i="2"/>
  <c r="I361" i="2"/>
  <c r="J361" i="2"/>
  <c r="K361" i="2"/>
  <c r="L361" i="2"/>
  <c r="M361" i="2"/>
  <c r="N361" i="2"/>
  <c r="G362" i="2"/>
  <c r="H362" i="2"/>
  <c r="I362" i="2"/>
  <c r="J362" i="2"/>
  <c r="K362" i="2"/>
  <c r="L362" i="2"/>
  <c r="M362" i="2"/>
  <c r="N362" i="2"/>
  <c r="G363" i="2"/>
  <c r="H363" i="2"/>
  <c r="I363" i="2"/>
  <c r="J363" i="2"/>
  <c r="K363" i="2"/>
  <c r="L363" i="2"/>
  <c r="M363" i="2"/>
  <c r="N363" i="2"/>
  <c r="G364" i="2"/>
  <c r="H364" i="2"/>
  <c r="I364" i="2"/>
  <c r="J364" i="2"/>
  <c r="K364" i="2"/>
  <c r="L364" i="2"/>
  <c r="M364" i="2"/>
  <c r="N364" i="2"/>
  <c r="G365" i="2"/>
  <c r="H365" i="2"/>
  <c r="I365" i="2"/>
  <c r="J365" i="2"/>
  <c r="K365" i="2"/>
  <c r="L365" i="2"/>
  <c r="M365" i="2"/>
  <c r="N365" i="2"/>
  <c r="G366" i="2"/>
  <c r="H366" i="2"/>
  <c r="I366" i="2"/>
  <c r="J366" i="2"/>
  <c r="K366" i="2"/>
  <c r="L366" i="2"/>
  <c r="M366" i="2"/>
  <c r="N366" i="2"/>
  <c r="G367" i="2"/>
  <c r="H367" i="2"/>
  <c r="I367" i="2"/>
  <c r="J367" i="2"/>
  <c r="K367" i="2"/>
  <c r="L367" i="2"/>
  <c r="M367" i="2"/>
  <c r="N367" i="2"/>
  <c r="G368" i="2"/>
  <c r="H368" i="2"/>
  <c r="I368" i="2"/>
  <c r="J368" i="2"/>
  <c r="K368" i="2"/>
  <c r="L368" i="2"/>
  <c r="M368" i="2"/>
  <c r="N368" i="2"/>
  <c r="G369" i="2"/>
  <c r="H369" i="2"/>
  <c r="I369" i="2"/>
  <c r="J369" i="2"/>
  <c r="K369" i="2"/>
  <c r="L369" i="2"/>
  <c r="M369" i="2"/>
  <c r="N369" i="2"/>
  <c r="G370" i="2"/>
  <c r="H370" i="2"/>
  <c r="I370" i="2"/>
  <c r="J370" i="2"/>
  <c r="K370" i="2"/>
  <c r="L370" i="2"/>
  <c r="M370" i="2"/>
  <c r="N370" i="2"/>
  <c r="G371" i="2"/>
  <c r="H371" i="2"/>
  <c r="I371" i="2"/>
  <c r="J371" i="2"/>
  <c r="K371" i="2"/>
  <c r="L371" i="2"/>
  <c r="M371" i="2"/>
  <c r="N371" i="2"/>
  <c r="G372" i="2"/>
  <c r="H372" i="2"/>
  <c r="I372" i="2"/>
  <c r="J372" i="2"/>
  <c r="K372" i="2"/>
  <c r="L372" i="2"/>
  <c r="M372" i="2"/>
  <c r="N372" i="2"/>
  <c r="G373" i="2"/>
  <c r="H373" i="2"/>
  <c r="I373" i="2"/>
  <c r="J373" i="2"/>
  <c r="K373" i="2"/>
  <c r="L373" i="2"/>
  <c r="M373" i="2"/>
  <c r="N373" i="2"/>
  <c r="G374" i="2"/>
  <c r="H374" i="2"/>
  <c r="I374" i="2"/>
  <c r="J374" i="2"/>
  <c r="K374" i="2"/>
  <c r="L374" i="2"/>
  <c r="M374" i="2"/>
  <c r="N374" i="2"/>
  <c r="G375" i="2"/>
  <c r="H375" i="2"/>
  <c r="I375" i="2"/>
  <c r="J375" i="2"/>
  <c r="K375" i="2"/>
  <c r="L375" i="2"/>
  <c r="M375" i="2"/>
  <c r="N375" i="2"/>
  <c r="G376" i="2"/>
  <c r="H376" i="2"/>
  <c r="I376" i="2"/>
  <c r="J376" i="2"/>
  <c r="K376" i="2"/>
  <c r="L376" i="2"/>
  <c r="M376" i="2"/>
  <c r="N376" i="2"/>
  <c r="G377" i="2"/>
  <c r="H377" i="2"/>
  <c r="I377" i="2"/>
  <c r="J377" i="2"/>
  <c r="K377" i="2"/>
  <c r="L377" i="2"/>
  <c r="M377" i="2"/>
  <c r="N377" i="2"/>
  <c r="G378" i="2"/>
  <c r="H378" i="2"/>
  <c r="I378" i="2"/>
  <c r="J378" i="2"/>
  <c r="K378" i="2"/>
  <c r="L378" i="2"/>
  <c r="M378" i="2"/>
  <c r="N378" i="2"/>
  <c r="G379" i="2"/>
  <c r="H379" i="2"/>
  <c r="I379" i="2"/>
  <c r="J379" i="2"/>
  <c r="K379" i="2"/>
  <c r="L379" i="2"/>
  <c r="M379" i="2"/>
  <c r="N379" i="2"/>
  <c r="G380" i="2"/>
  <c r="H380" i="2"/>
  <c r="I380" i="2"/>
  <c r="J380" i="2"/>
  <c r="K380" i="2"/>
  <c r="L380" i="2"/>
  <c r="M380" i="2"/>
  <c r="N380" i="2"/>
  <c r="G381" i="2"/>
  <c r="H381" i="2"/>
  <c r="I381" i="2"/>
  <c r="J381" i="2"/>
  <c r="K381" i="2"/>
  <c r="L381" i="2"/>
  <c r="M381" i="2"/>
  <c r="N381" i="2"/>
  <c r="G382" i="2"/>
  <c r="H382" i="2"/>
  <c r="I382" i="2"/>
  <c r="J382" i="2"/>
  <c r="K382" i="2"/>
  <c r="L382" i="2"/>
  <c r="M382" i="2"/>
  <c r="N382" i="2"/>
  <c r="G383" i="2"/>
  <c r="H383" i="2"/>
  <c r="I383" i="2"/>
  <c r="J383" i="2"/>
  <c r="K383" i="2"/>
  <c r="L383" i="2"/>
  <c r="M383" i="2"/>
  <c r="N383" i="2"/>
  <c r="G384" i="2"/>
  <c r="H384" i="2"/>
  <c r="I384" i="2"/>
  <c r="J384" i="2"/>
  <c r="K384" i="2"/>
  <c r="L384" i="2"/>
  <c r="M384" i="2"/>
  <c r="N384" i="2"/>
  <c r="G385" i="2"/>
  <c r="H385" i="2"/>
  <c r="I385" i="2"/>
  <c r="J385" i="2"/>
  <c r="K385" i="2"/>
  <c r="L385" i="2"/>
  <c r="M385" i="2"/>
  <c r="N385" i="2"/>
  <c r="G386" i="2"/>
  <c r="H386" i="2"/>
  <c r="I386" i="2"/>
  <c r="J386" i="2"/>
  <c r="K386" i="2"/>
  <c r="L386" i="2"/>
  <c r="M386" i="2"/>
  <c r="N386" i="2"/>
  <c r="G387" i="2"/>
  <c r="H387" i="2"/>
  <c r="I387" i="2"/>
  <c r="J387" i="2"/>
  <c r="K387" i="2"/>
  <c r="L387" i="2"/>
  <c r="M387" i="2"/>
  <c r="N387" i="2"/>
  <c r="G388" i="2"/>
  <c r="H388" i="2"/>
  <c r="I388" i="2"/>
  <c r="J388" i="2"/>
  <c r="K388" i="2"/>
  <c r="L388" i="2"/>
  <c r="M388" i="2"/>
  <c r="N388" i="2"/>
  <c r="G389" i="2"/>
  <c r="H389" i="2"/>
  <c r="I389" i="2"/>
  <c r="J389" i="2"/>
  <c r="K389" i="2"/>
  <c r="L389" i="2"/>
  <c r="M389" i="2"/>
  <c r="N389" i="2"/>
  <c r="G390" i="2"/>
  <c r="H390" i="2"/>
  <c r="I390" i="2"/>
  <c r="J390" i="2"/>
  <c r="K390" i="2"/>
  <c r="L390" i="2"/>
  <c r="M390" i="2"/>
  <c r="N390" i="2"/>
  <c r="G391" i="2"/>
  <c r="H391" i="2"/>
  <c r="I391" i="2"/>
  <c r="J391" i="2"/>
  <c r="K391" i="2"/>
  <c r="L391" i="2"/>
  <c r="M391" i="2"/>
  <c r="N391" i="2"/>
  <c r="G392" i="2"/>
  <c r="H392" i="2"/>
  <c r="I392" i="2"/>
  <c r="J392" i="2"/>
  <c r="K392" i="2"/>
  <c r="L392" i="2"/>
  <c r="M392" i="2"/>
  <c r="N392" i="2"/>
  <c r="G393" i="2"/>
  <c r="H393" i="2"/>
  <c r="I393" i="2"/>
  <c r="J393" i="2"/>
  <c r="K393" i="2"/>
  <c r="L393" i="2"/>
  <c r="M393" i="2"/>
  <c r="N393" i="2"/>
  <c r="G394" i="2"/>
  <c r="H394" i="2"/>
  <c r="I394" i="2"/>
  <c r="J394" i="2"/>
  <c r="K394" i="2"/>
  <c r="L394" i="2"/>
  <c r="M394" i="2"/>
  <c r="N394" i="2"/>
  <c r="G395" i="2"/>
  <c r="H395" i="2"/>
  <c r="I395" i="2"/>
  <c r="J395" i="2"/>
  <c r="K395" i="2"/>
  <c r="L395" i="2"/>
  <c r="M395" i="2"/>
  <c r="N395" i="2"/>
  <c r="G396" i="2"/>
  <c r="H396" i="2"/>
  <c r="I396" i="2"/>
  <c r="J396" i="2"/>
  <c r="K396" i="2"/>
  <c r="L396" i="2"/>
  <c r="M396" i="2"/>
  <c r="N396" i="2"/>
  <c r="G397" i="2"/>
  <c r="H397" i="2"/>
  <c r="I397" i="2"/>
  <c r="J397" i="2"/>
  <c r="K397" i="2"/>
  <c r="L397" i="2"/>
  <c r="M397" i="2"/>
  <c r="N39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57" i="2"/>
  <c r="G313" i="2"/>
  <c r="H313" i="2"/>
  <c r="I313" i="2"/>
  <c r="J313" i="2"/>
  <c r="K313" i="2"/>
  <c r="L313" i="2"/>
  <c r="M313" i="2"/>
  <c r="N313" i="2"/>
  <c r="G314" i="2"/>
  <c r="H314" i="2"/>
  <c r="I314" i="2"/>
  <c r="J314" i="2"/>
  <c r="K314" i="2"/>
  <c r="L314" i="2"/>
  <c r="M314" i="2"/>
  <c r="N314" i="2"/>
  <c r="G315" i="2"/>
  <c r="H315" i="2"/>
  <c r="I315" i="2"/>
  <c r="J315" i="2"/>
  <c r="K315" i="2"/>
  <c r="L315" i="2"/>
  <c r="M315" i="2"/>
  <c r="N315" i="2"/>
  <c r="G316" i="2"/>
  <c r="H316" i="2"/>
  <c r="I316" i="2"/>
  <c r="J316" i="2"/>
  <c r="K316" i="2"/>
  <c r="L316" i="2"/>
  <c r="M316" i="2"/>
  <c r="N316" i="2"/>
  <c r="G317" i="2"/>
  <c r="H317" i="2"/>
  <c r="I317" i="2"/>
  <c r="J317" i="2"/>
  <c r="K317" i="2"/>
  <c r="L317" i="2"/>
  <c r="M317" i="2"/>
  <c r="N317" i="2"/>
  <c r="G318" i="2"/>
  <c r="H318" i="2"/>
  <c r="I318" i="2"/>
  <c r="J318" i="2"/>
  <c r="K318" i="2"/>
  <c r="L318" i="2"/>
  <c r="M318" i="2"/>
  <c r="N318" i="2"/>
  <c r="G319" i="2"/>
  <c r="H319" i="2"/>
  <c r="I319" i="2"/>
  <c r="J319" i="2"/>
  <c r="K319" i="2"/>
  <c r="L319" i="2"/>
  <c r="M319" i="2"/>
  <c r="N319" i="2"/>
  <c r="G320" i="2"/>
  <c r="H320" i="2"/>
  <c r="I320" i="2"/>
  <c r="J320" i="2"/>
  <c r="K320" i="2"/>
  <c r="L320" i="2"/>
  <c r="M320" i="2"/>
  <c r="N320" i="2"/>
  <c r="G321" i="2"/>
  <c r="H321" i="2"/>
  <c r="I321" i="2"/>
  <c r="J321" i="2"/>
  <c r="K321" i="2"/>
  <c r="L321" i="2"/>
  <c r="M321" i="2"/>
  <c r="N321" i="2"/>
  <c r="G322" i="2"/>
  <c r="H322" i="2"/>
  <c r="I322" i="2"/>
  <c r="J322" i="2"/>
  <c r="K322" i="2"/>
  <c r="L322" i="2"/>
  <c r="M322" i="2"/>
  <c r="N322" i="2"/>
  <c r="G323" i="2"/>
  <c r="H323" i="2"/>
  <c r="I323" i="2"/>
  <c r="J323" i="2"/>
  <c r="K323" i="2"/>
  <c r="L323" i="2"/>
  <c r="M323" i="2"/>
  <c r="N323" i="2"/>
  <c r="G324" i="2"/>
  <c r="H324" i="2"/>
  <c r="I324" i="2"/>
  <c r="J324" i="2"/>
  <c r="K324" i="2"/>
  <c r="L324" i="2"/>
  <c r="M324" i="2"/>
  <c r="N324" i="2"/>
  <c r="G325" i="2"/>
  <c r="H325" i="2"/>
  <c r="I325" i="2"/>
  <c r="J325" i="2"/>
  <c r="K325" i="2"/>
  <c r="L325" i="2"/>
  <c r="M325" i="2"/>
  <c r="N325" i="2"/>
  <c r="G326" i="2"/>
  <c r="H326" i="2"/>
  <c r="I326" i="2"/>
  <c r="J326" i="2"/>
  <c r="K326" i="2"/>
  <c r="L326" i="2"/>
  <c r="M326" i="2"/>
  <c r="N326" i="2"/>
  <c r="G327" i="2"/>
  <c r="H327" i="2"/>
  <c r="I327" i="2"/>
  <c r="J327" i="2"/>
  <c r="K327" i="2"/>
  <c r="L327" i="2"/>
  <c r="M327" i="2"/>
  <c r="N327" i="2"/>
  <c r="G328" i="2"/>
  <c r="H328" i="2"/>
  <c r="I328" i="2"/>
  <c r="J328" i="2"/>
  <c r="K328" i="2"/>
  <c r="L328" i="2"/>
  <c r="M328" i="2"/>
  <c r="N328" i="2"/>
  <c r="G329" i="2"/>
  <c r="H329" i="2"/>
  <c r="I329" i="2"/>
  <c r="J329" i="2"/>
  <c r="K329" i="2"/>
  <c r="L329" i="2"/>
  <c r="M329" i="2"/>
  <c r="N329" i="2"/>
  <c r="G330" i="2"/>
  <c r="H330" i="2"/>
  <c r="I330" i="2"/>
  <c r="J330" i="2"/>
  <c r="K330" i="2"/>
  <c r="L330" i="2"/>
  <c r="M330" i="2"/>
  <c r="N330" i="2"/>
  <c r="G331" i="2"/>
  <c r="H331" i="2"/>
  <c r="I331" i="2"/>
  <c r="J331" i="2"/>
  <c r="K331" i="2"/>
  <c r="L331" i="2"/>
  <c r="M331" i="2"/>
  <c r="N331" i="2"/>
  <c r="G332" i="2"/>
  <c r="H332" i="2"/>
  <c r="I332" i="2"/>
  <c r="J332" i="2"/>
  <c r="K332" i="2"/>
  <c r="L332" i="2"/>
  <c r="M332" i="2"/>
  <c r="N332" i="2"/>
  <c r="G333" i="2"/>
  <c r="H333" i="2"/>
  <c r="I333" i="2"/>
  <c r="J333" i="2"/>
  <c r="K333" i="2"/>
  <c r="L333" i="2"/>
  <c r="M333" i="2"/>
  <c r="N333" i="2"/>
  <c r="G334" i="2"/>
  <c r="H334" i="2"/>
  <c r="I334" i="2"/>
  <c r="J334" i="2"/>
  <c r="K334" i="2"/>
  <c r="L334" i="2"/>
  <c r="M334" i="2"/>
  <c r="N334" i="2"/>
  <c r="G335" i="2"/>
  <c r="H335" i="2"/>
  <c r="I335" i="2"/>
  <c r="J335" i="2"/>
  <c r="K335" i="2"/>
  <c r="L335" i="2"/>
  <c r="M335" i="2"/>
  <c r="N335" i="2"/>
  <c r="G336" i="2"/>
  <c r="H336" i="2"/>
  <c r="I336" i="2"/>
  <c r="J336" i="2"/>
  <c r="K336" i="2"/>
  <c r="L336" i="2"/>
  <c r="M336" i="2"/>
  <c r="N336" i="2"/>
  <c r="G337" i="2"/>
  <c r="H337" i="2"/>
  <c r="I337" i="2"/>
  <c r="J337" i="2"/>
  <c r="K337" i="2"/>
  <c r="L337" i="2"/>
  <c r="M337" i="2"/>
  <c r="N337" i="2"/>
  <c r="G338" i="2"/>
  <c r="H338" i="2"/>
  <c r="I338" i="2"/>
  <c r="J338" i="2"/>
  <c r="K338" i="2"/>
  <c r="L338" i="2"/>
  <c r="M338" i="2"/>
  <c r="N338" i="2"/>
  <c r="G339" i="2"/>
  <c r="H339" i="2"/>
  <c r="I339" i="2"/>
  <c r="J339" i="2"/>
  <c r="K339" i="2"/>
  <c r="L339" i="2"/>
  <c r="M339" i="2"/>
  <c r="N339" i="2"/>
  <c r="G340" i="2"/>
  <c r="H340" i="2"/>
  <c r="I340" i="2"/>
  <c r="J340" i="2"/>
  <c r="K340" i="2"/>
  <c r="L340" i="2"/>
  <c r="M340" i="2"/>
  <c r="N340" i="2"/>
  <c r="G341" i="2"/>
  <c r="H341" i="2"/>
  <c r="I341" i="2"/>
  <c r="J341" i="2"/>
  <c r="K341" i="2"/>
  <c r="L341" i="2"/>
  <c r="M341" i="2"/>
  <c r="N341" i="2"/>
  <c r="G342" i="2"/>
  <c r="H342" i="2"/>
  <c r="I342" i="2"/>
  <c r="J342" i="2"/>
  <c r="K342" i="2"/>
  <c r="L342" i="2"/>
  <c r="M342" i="2"/>
  <c r="N342" i="2"/>
  <c r="G343" i="2"/>
  <c r="H343" i="2"/>
  <c r="I343" i="2"/>
  <c r="J343" i="2"/>
  <c r="K343" i="2"/>
  <c r="L343" i="2"/>
  <c r="M343" i="2"/>
  <c r="N343" i="2"/>
  <c r="G344" i="2"/>
  <c r="H344" i="2"/>
  <c r="I344" i="2"/>
  <c r="J344" i="2"/>
  <c r="K344" i="2"/>
  <c r="L344" i="2"/>
  <c r="M344" i="2"/>
  <c r="N344" i="2"/>
  <c r="G345" i="2"/>
  <c r="H345" i="2"/>
  <c r="I345" i="2"/>
  <c r="J345" i="2"/>
  <c r="K345" i="2"/>
  <c r="L345" i="2"/>
  <c r="M345" i="2"/>
  <c r="N345" i="2"/>
  <c r="G346" i="2"/>
  <c r="H346" i="2"/>
  <c r="I346" i="2"/>
  <c r="J346" i="2"/>
  <c r="K346" i="2"/>
  <c r="L346" i="2"/>
  <c r="M346" i="2"/>
  <c r="N346" i="2"/>
  <c r="G347" i="2"/>
  <c r="H347" i="2"/>
  <c r="I347" i="2"/>
  <c r="J347" i="2"/>
  <c r="K347" i="2"/>
  <c r="L347" i="2"/>
  <c r="M347" i="2"/>
  <c r="N347" i="2"/>
  <c r="G348" i="2"/>
  <c r="H348" i="2"/>
  <c r="I348" i="2"/>
  <c r="J348" i="2"/>
  <c r="K348" i="2"/>
  <c r="L348" i="2"/>
  <c r="M348" i="2"/>
  <c r="N348" i="2"/>
  <c r="G349" i="2"/>
  <c r="H349" i="2"/>
  <c r="I349" i="2"/>
  <c r="J349" i="2"/>
  <c r="K349" i="2"/>
  <c r="L349" i="2"/>
  <c r="M349" i="2"/>
  <c r="N349" i="2"/>
  <c r="G350" i="2"/>
  <c r="H350" i="2"/>
  <c r="I350" i="2"/>
  <c r="J350" i="2"/>
  <c r="K350" i="2"/>
  <c r="L350" i="2"/>
  <c r="M350" i="2"/>
  <c r="N350" i="2"/>
  <c r="G351" i="2"/>
  <c r="H351" i="2"/>
  <c r="I351" i="2"/>
  <c r="J351" i="2"/>
  <c r="K351" i="2"/>
  <c r="L351" i="2"/>
  <c r="M351" i="2"/>
  <c r="N351" i="2"/>
  <c r="G352" i="2"/>
  <c r="H352" i="2"/>
  <c r="I352" i="2"/>
  <c r="J352" i="2"/>
  <c r="K352" i="2"/>
  <c r="L352" i="2"/>
  <c r="M352" i="2"/>
  <c r="N352" i="2"/>
  <c r="G353" i="2"/>
  <c r="H353" i="2"/>
  <c r="I353" i="2"/>
  <c r="J353" i="2"/>
  <c r="K353" i="2"/>
  <c r="L353" i="2"/>
  <c r="M353" i="2"/>
  <c r="N353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18" i="2"/>
  <c r="F314" i="2"/>
  <c r="F315" i="2"/>
  <c r="F316" i="2"/>
  <c r="F317" i="2"/>
  <c r="F313" i="2"/>
  <c r="M7" i="2"/>
  <c r="N7" i="2"/>
  <c r="M8" i="2"/>
  <c r="N8" i="2"/>
  <c r="M9" i="2"/>
  <c r="N9" i="2"/>
  <c r="M10" i="2"/>
  <c r="N10" i="2"/>
  <c r="M11" i="2"/>
  <c r="N11" i="2"/>
  <c r="M12" i="2"/>
  <c r="N12" i="2"/>
  <c r="M13" i="2"/>
  <c r="N13" i="2"/>
  <c r="M14" i="2"/>
  <c r="N14" i="2"/>
  <c r="M15" i="2"/>
  <c r="N15" i="2"/>
  <c r="M16" i="2"/>
  <c r="N16" i="2"/>
  <c r="M17" i="2"/>
  <c r="N17" i="2"/>
  <c r="M18" i="2"/>
  <c r="N18" i="2"/>
  <c r="M19" i="2"/>
  <c r="N19" i="2"/>
  <c r="M20" i="2"/>
  <c r="N20" i="2"/>
  <c r="M21" i="2"/>
  <c r="N21" i="2"/>
  <c r="M22" i="2"/>
  <c r="N22" i="2"/>
  <c r="M23" i="2"/>
  <c r="N23" i="2"/>
  <c r="M24" i="2"/>
  <c r="N24" i="2"/>
  <c r="M25" i="2"/>
  <c r="N25" i="2"/>
  <c r="M26" i="2"/>
  <c r="N26" i="2"/>
  <c r="M27" i="2"/>
  <c r="N27" i="2"/>
  <c r="M28" i="2"/>
  <c r="N28" i="2"/>
  <c r="M29" i="2"/>
  <c r="N29" i="2"/>
  <c r="M30" i="2"/>
  <c r="N30" i="2"/>
  <c r="M31" i="2"/>
  <c r="N31" i="2"/>
  <c r="M32" i="2"/>
  <c r="N32" i="2"/>
  <c r="M33" i="2"/>
  <c r="N33" i="2"/>
  <c r="M34" i="2"/>
  <c r="N34" i="2"/>
  <c r="M35" i="2"/>
  <c r="N35" i="2"/>
  <c r="M36" i="2"/>
  <c r="N36" i="2"/>
  <c r="M37" i="2"/>
  <c r="N37" i="2"/>
  <c r="M38" i="2"/>
  <c r="N38" i="2"/>
  <c r="M39" i="2"/>
  <c r="N39" i="2"/>
  <c r="M40" i="2"/>
  <c r="N40" i="2"/>
  <c r="M41" i="2"/>
  <c r="N41" i="2"/>
  <c r="M42" i="2"/>
  <c r="N42" i="2"/>
  <c r="M43" i="2"/>
  <c r="N43" i="2"/>
  <c r="M44" i="2"/>
  <c r="N44" i="2"/>
  <c r="M45" i="2"/>
  <c r="N45" i="2"/>
  <c r="M46" i="2"/>
  <c r="N46" i="2"/>
  <c r="M47" i="2"/>
  <c r="N47" i="2"/>
  <c r="M48" i="2"/>
  <c r="N48" i="2"/>
  <c r="M49" i="2"/>
  <c r="N49" i="2"/>
  <c r="M50" i="2"/>
  <c r="N50" i="2"/>
  <c r="M51" i="2"/>
  <c r="N51" i="2"/>
  <c r="M52" i="2"/>
  <c r="N52" i="2"/>
  <c r="M53" i="2"/>
  <c r="N53" i="2"/>
  <c r="M54" i="2"/>
  <c r="N54" i="2"/>
  <c r="M55" i="2"/>
  <c r="N55" i="2"/>
  <c r="M56" i="2"/>
  <c r="N56" i="2"/>
  <c r="M57" i="2"/>
  <c r="N57" i="2"/>
  <c r="M58" i="2"/>
  <c r="N58" i="2"/>
  <c r="M59" i="2"/>
  <c r="N59" i="2"/>
  <c r="M60" i="2"/>
  <c r="N60" i="2"/>
  <c r="M61" i="2"/>
  <c r="N61" i="2"/>
  <c r="M62" i="2"/>
  <c r="N62" i="2"/>
  <c r="M63" i="2"/>
  <c r="N63" i="2"/>
  <c r="M64" i="2"/>
  <c r="N64" i="2"/>
  <c r="M65" i="2"/>
  <c r="N65" i="2"/>
  <c r="M66" i="2"/>
  <c r="N66" i="2"/>
  <c r="M67" i="2"/>
  <c r="N67" i="2"/>
  <c r="M68" i="2"/>
  <c r="N68" i="2"/>
  <c r="M69" i="2"/>
  <c r="N69" i="2"/>
  <c r="M70" i="2"/>
  <c r="N70" i="2"/>
  <c r="M71" i="2"/>
  <c r="N71" i="2"/>
  <c r="M72" i="2"/>
  <c r="N72" i="2"/>
  <c r="M73" i="2"/>
  <c r="N73" i="2"/>
  <c r="M74" i="2"/>
  <c r="N74" i="2"/>
  <c r="M75" i="2"/>
  <c r="N75" i="2"/>
  <c r="M76" i="2"/>
  <c r="N76" i="2"/>
  <c r="M77" i="2"/>
  <c r="N77" i="2"/>
  <c r="M78" i="2"/>
  <c r="N78" i="2"/>
  <c r="M79" i="2"/>
  <c r="N79" i="2"/>
  <c r="M80" i="2"/>
  <c r="N80" i="2"/>
  <c r="M81" i="2"/>
  <c r="N81" i="2"/>
  <c r="M82" i="2"/>
  <c r="N82" i="2"/>
  <c r="M83" i="2"/>
  <c r="N83" i="2"/>
  <c r="M84" i="2"/>
  <c r="N84" i="2"/>
  <c r="M85" i="2"/>
  <c r="N85" i="2"/>
  <c r="M86" i="2"/>
  <c r="N86" i="2"/>
  <c r="M87" i="2"/>
  <c r="N87" i="2"/>
  <c r="M88" i="2"/>
  <c r="N88" i="2"/>
  <c r="M89" i="2"/>
  <c r="N89" i="2"/>
  <c r="M90" i="2"/>
  <c r="N90" i="2"/>
  <c r="M91" i="2"/>
  <c r="N91" i="2"/>
  <c r="M92" i="2"/>
  <c r="N92" i="2"/>
  <c r="M93" i="2"/>
  <c r="N93" i="2"/>
  <c r="M94" i="2"/>
  <c r="N94" i="2"/>
  <c r="M95" i="2"/>
  <c r="N95" i="2"/>
  <c r="M96" i="2"/>
  <c r="N96" i="2"/>
  <c r="M97" i="2"/>
  <c r="N97" i="2"/>
  <c r="M98" i="2"/>
  <c r="N98" i="2"/>
  <c r="M99" i="2"/>
  <c r="N99" i="2"/>
  <c r="M100" i="2"/>
  <c r="N100" i="2"/>
  <c r="M101" i="2"/>
  <c r="N101" i="2"/>
  <c r="M102" i="2"/>
  <c r="N102" i="2"/>
  <c r="M103" i="2"/>
  <c r="N103" i="2"/>
  <c r="M104" i="2"/>
  <c r="N104" i="2"/>
  <c r="M105" i="2"/>
  <c r="N105" i="2"/>
  <c r="M106" i="2"/>
  <c r="N106" i="2"/>
  <c r="M107" i="2"/>
  <c r="N107" i="2"/>
  <c r="M108" i="2"/>
  <c r="N108" i="2"/>
  <c r="M109" i="2"/>
  <c r="N109" i="2"/>
  <c r="M110" i="2"/>
  <c r="N110" i="2"/>
  <c r="M111" i="2"/>
  <c r="N111" i="2"/>
  <c r="M112" i="2"/>
  <c r="N112" i="2"/>
  <c r="M113" i="2"/>
  <c r="N113" i="2"/>
  <c r="M114" i="2"/>
  <c r="N114" i="2"/>
  <c r="M115" i="2"/>
  <c r="N115" i="2"/>
  <c r="M116" i="2"/>
  <c r="N116" i="2"/>
  <c r="M117" i="2"/>
  <c r="N117" i="2"/>
  <c r="M118" i="2"/>
  <c r="N118" i="2"/>
  <c r="M119" i="2"/>
  <c r="N119" i="2"/>
  <c r="M120" i="2"/>
  <c r="N120" i="2"/>
  <c r="M121" i="2"/>
  <c r="N121" i="2"/>
  <c r="M122" i="2"/>
  <c r="N122" i="2"/>
  <c r="M123" i="2"/>
  <c r="N123" i="2"/>
  <c r="M124" i="2"/>
  <c r="N124" i="2"/>
  <c r="M125" i="2"/>
  <c r="N125" i="2"/>
  <c r="M126" i="2"/>
  <c r="N126" i="2"/>
  <c r="M127" i="2"/>
  <c r="N127" i="2"/>
  <c r="M128" i="2"/>
  <c r="N128" i="2"/>
  <c r="M129" i="2"/>
  <c r="N129" i="2"/>
  <c r="M130" i="2"/>
  <c r="N130" i="2"/>
  <c r="M131" i="2"/>
  <c r="N131" i="2"/>
  <c r="M132" i="2"/>
  <c r="N132" i="2"/>
  <c r="M133" i="2"/>
  <c r="N133" i="2"/>
  <c r="M134" i="2"/>
  <c r="N134" i="2"/>
  <c r="M135" i="2"/>
  <c r="N135" i="2"/>
  <c r="M136" i="2"/>
  <c r="N136" i="2"/>
  <c r="M137" i="2"/>
  <c r="N137" i="2"/>
  <c r="M138" i="2"/>
  <c r="N138" i="2"/>
  <c r="M139" i="2"/>
  <c r="N139" i="2"/>
  <c r="M140" i="2"/>
  <c r="N140" i="2"/>
  <c r="M141" i="2"/>
  <c r="N141" i="2"/>
  <c r="M142" i="2"/>
  <c r="N142" i="2"/>
  <c r="M143" i="2"/>
  <c r="N143" i="2"/>
  <c r="M144" i="2"/>
  <c r="N144" i="2"/>
  <c r="M145" i="2"/>
  <c r="N145" i="2"/>
  <c r="M146" i="2"/>
  <c r="N146" i="2"/>
  <c r="M147" i="2"/>
  <c r="N147" i="2"/>
  <c r="M148" i="2"/>
  <c r="N148" i="2"/>
  <c r="M149" i="2"/>
  <c r="N149" i="2"/>
  <c r="M150" i="2"/>
  <c r="N150" i="2"/>
  <c r="M151" i="2"/>
  <c r="N151" i="2"/>
  <c r="M152" i="2"/>
  <c r="N152" i="2"/>
  <c r="M153" i="2"/>
  <c r="N153" i="2"/>
  <c r="M154" i="2"/>
  <c r="N154" i="2"/>
  <c r="M155" i="2"/>
  <c r="N155" i="2"/>
  <c r="M156" i="2"/>
  <c r="N156" i="2"/>
  <c r="M157" i="2"/>
  <c r="N157" i="2"/>
  <c r="M158" i="2"/>
  <c r="N158" i="2"/>
  <c r="M159" i="2"/>
  <c r="N159" i="2"/>
  <c r="M160" i="2"/>
  <c r="N160" i="2"/>
  <c r="M161" i="2"/>
  <c r="N161" i="2"/>
  <c r="M162" i="2"/>
  <c r="N162" i="2"/>
  <c r="M163" i="2"/>
  <c r="N163" i="2"/>
  <c r="M164" i="2"/>
  <c r="N164" i="2"/>
  <c r="M165" i="2"/>
  <c r="N165" i="2"/>
  <c r="M166" i="2"/>
  <c r="N166" i="2"/>
  <c r="M167" i="2"/>
  <c r="N167" i="2"/>
  <c r="M168" i="2"/>
  <c r="N168" i="2"/>
  <c r="M169" i="2"/>
  <c r="N169" i="2"/>
  <c r="M170" i="2"/>
  <c r="N170" i="2"/>
  <c r="M171" i="2"/>
  <c r="N171" i="2"/>
  <c r="M172" i="2"/>
  <c r="N172" i="2"/>
  <c r="M173" i="2"/>
  <c r="N173" i="2"/>
  <c r="M174" i="2"/>
  <c r="N174" i="2"/>
  <c r="M175" i="2"/>
  <c r="N175" i="2"/>
  <c r="M176" i="2"/>
  <c r="N176" i="2"/>
  <c r="M177" i="2"/>
  <c r="N177" i="2"/>
  <c r="M178" i="2"/>
  <c r="N178" i="2"/>
  <c r="M179" i="2"/>
  <c r="N179" i="2"/>
  <c r="M180" i="2"/>
  <c r="N180" i="2"/>
  <c r="M181" i="2"/>
  <c r="N181" i="2"/>
  <c r="M182" i="2"/>
  <c r="N182" i="2"/>
  <c r="M183" i="2"/>
  <c r="N183" i="2"/>
  <c r="M184" i="2"/>
  <c r="N184" i="2"/>
  <c r="M185" i="2"/>
  <c r="N185" i="2"/>
  <c r="M186" i="2"/>
  <c r="N186" i="2"/>
  <c r="M187" i="2"/>
  <c r="N187" i="2"/>
  <c r="M188" i="2"/>
  <c r="N188" i="2"/>
  <c r="M189" i="2"/>
  <c r="N189" i="2"/>
  <c r="M190" i="2"/>
  <c r="N190" i="2"/>
  <c r="M191" i="2"/>
  <c r="N191" i="2"/>
  <c r="M192" i="2"/>
  <c r="N192" i="2"/>
  <c r="M193" i="2"/>
  <c r="N193" i="2"/>
  <c r="M194" i="2"/>
  <c r="N194" i="2"/>
  <c r="M195" i="2"/>
  <c r="N195" i="2"/>
  <c r="M196" i="2"/>
  <c r="N196" i="2"/>
  <c r="M197" i="2"/>
  <c r="N197" i="2"/>
  <c r="M198" i="2"/>
  <c r="N198" i="2"/>
  <c r="M199" i="2"/>
  <c r="N199" i="2"/>
  <c r="M200" i="2"/>
  <c r="N200" i="2"/>
  <c r="M201" i="2"/>
  <c r="N201" i="2"/>
  <c r="M202" i="2"/>
  <c r="N202" i="2"/>
  <c r="M203" i="2"/>
  <c r="N203" i="2"/>
  <c r="M204" i="2"/>
  <c r="N204" i="2"/>
  <c r="M205" i="2"/>
  <c r="N205" i="2"/>
  <c r="M206" i="2"/>
  <c r="N206" i="2"/>
  <c r="M207" i="2"/>
  <c r="N207" i="2"/>
  <c r="M208" i="2"/>
  <c r="N208" i="2"/>
  <c r="M209" i="2"/>
  <c r="N209" i="2"/>
  <c r="M210" i="2"/>
  <c r="N210" i="2"/>
  <c r="M211" i="2"/>
  <c r="N211" i="2"/>
  <c r="M212" i="2"/>
  <c r="N212" i="2"/>
  <c r="M213" i="2"/>
  <c r="N213" i="2"/>
  <c r="M214" i="2"/>
  <c r="N214" i="2"/>
  <c r="M215" i="2"/>
  <c r="N215" i="2"/>
  <c r="M216" i="2"/>
  <c r="N216" i="2"/>
  <c r="M217" i="2"/>
  <c r="N217" i="2"/>
  <c r="M218" i="2"/>
  <c r="N218" i="2"/>
  <c r="M219" i="2"/>
  <c r="N219" i="2"/>
  <c r="M220" i="2"/>
  <c r="N220" i="2"/>
  <c r="M221" i="2"/>
  <c r="N221" i="2"/>
  <c r="M222" i="2"/>
  <c r="N222" i="2"/>
  <c r="M223" i="2"/>
  <c r="N223" i="2"/>
  <c r="M224" i="2"/>
  <c r="N224" i="2"/>
  <c r="M225" i="2"/>
  <c r="N225" i="2"/>
  <c r="M226" i="2"/>
  <c r="N226" i="2"/>
  <c r="M227" i="2"/>
  <c r="N227" i="2"/>
  <c r="M228" i="2"/>
  <c r="N228" i="2"/>
  <c r="M229" i="2"/>
  <c r="N229" i="2"/>
  <c r="M230" i="2"/>
  <c r="N230" i="2"/>
  <c r="M231" i="2"/>
  <c r="N231" i="2"/>
  <c r="M232" i="2"/>
  <c r="N232" i="2"/>
  <c r="M233" i="2"/>
  <c r="N233" i="2"/>
  <c r="M234" i="2"/>
  <c r="N234" i="2"/>
  <c r="M235" i="2"/>
  <c r="N235" i="2"/>
  <c r="M236" i="2"/>
  <c r="N236" i="2"/>
  <c r="M237" i="2"/>
  <c r="N237" i="2"/>
  <c r="M238" i="2"/>
  <c r="N238" i="2"/>
  <c r="M239" i="2"/>
  <c r="N239" i="2"/>
  <c r="M240" i="2"/>
  <c r="N240" i="2"/>
  <c r="M241" i="2"/>
  <c r="N241" i="2"/>
  <c r="M242" i="2"/>
  <c r="N242" i="2"/>
  <c r="M243" i="2"/>
  <c r="N243" i="2"/>
  <c r="M244" i="2"/>
  <c r="N244" i="2"/>
  <c r="M245" i="2"/>
  <c r="N245" i="2"/>
  <c r="M246" i="2"/>
  <c r="N246" i="2"/>
  <c r="M247" i="2"/>
  <c r="N247" i="2"/>
  <c r="M248" i="2"/>
  <c r="N248" i="2"/>
  <c r="M249" i="2"/>
  <c r="N249" i="2"/>
  <c r="M250" i="2"/>
  <c r="N250" i="2"/>
  <c r="M251" i="2"/>
  <c r="N251" i="2"/>
  <c r="M252" i="2"/>
  <c r="N252" i="2"/>
  <c r="M253" i="2"/>
  <c r="N253" i="2"/>
  <c r="M254" i="2"/>
  <c r="N254" i="2"/>
  <c r="M255" i="2"/>
  <c r="N255" i="2"/>
  <c r="M256" i="2"/>
  <c r="N256" i="2"/>
  <c r="M257" i="2"/>
  <c r="N257" i="2"/>
  <c r="M258" i="2"/>
  <c r="N258" i="2"/>
  <c r="M259" i="2"/>
  <c r="N259" i="2"/>
  <c r="M260" i="2"/>
  <c r="N260" i="2"/>
  <c r="M261" i="2"/>
  <c r="N261" i="2"/>
  <c r="M262" i="2"/>
  <c r="N262" i="2"/>
  <c r="M263" i="2"/>
  <c r="N263" i="2"/>
  <c r="M264" i="2"/>
  <c r="N264" i="2"/>
  <c r="M265" i="2"/>
  <c r="N265" i="2"/>
  <c r="M266" i="2"/>
  <c r="N266" i="2"/>
  <c r="M267" i="2"/>
  <c r="N267" i="2"/>
  <c r="M268" i="2"/>
  <c r="N268" i="2"/>
  <c r="M269" i="2"/>
  <c r="N269" i="2"/>
  <c r="M270" i="2"/>
  <c r="N270" i="2"/>
  <c r="M271" i="2"/>
  <c r="N271" i="2"/>
  <c r="M272" i="2"/>
  <c r="N272" i="2"/>
  <c r="M273" i="2"/>
  <c r="N273" i="2"/>
  <c r="M274" i="2"/>
  <c r="N274" i="2"/>
  <c r="M275" i="2"/>
  <c r="N275" i="2"/>
  <c r="M276" i="2"/>
  <c r="N276" i="2"/>
  <c r="M277" i="2"/>
  <c r="N277" i="2"/>
  <c r="M278" i="2"/>
  <c r="N278" i="2"/>
  <c r="M279" i="2"/>
  <c r="N279" i="2"/>
  <c r="M280" i="2"/>
  <c r="N280" i="2"/>
  <c r="M281" i="2"/>
  <c r="N281" i="2"/>
  <c r="M282" i="2"/>
  <c r="N282" i="2"/>
  <c r="M283" i="2"/>
  <c r="N283" i="2"/>
  <c r="M284" i="2"/>
  <c r="N284" i="2"/>
  <c r="M285" i="2"/>
  <c r="N285" i="2"/>
  <c r="M286" i="2"/>
  <c r="N286" i="2"/>
  <c r="M287" i="2"/>
  <c r="N287" i="2"/>
  <c r="M288" i="2"/>
  <c r="N288" i="2"/>
  <c r="M289" i="2"/>
  <c r="N289" i="2"/>
  <c r="M290" i="2"/>
  <c r="N290" i="2"/>
  <c r="M291" i="2"/>
  <c r="N291" i="2"/>
  <c r="M292" i="2"/>
  <c r="N292" i="2"/>
  <c r="M293" i="2"/>
  <c r="N293" i="2"/>
  <c r="M294" i="2"/>
  <c r="N294" i="2"/>
  <c r="M295" i="2"/>
  <c r="N295" i="2"/>
  <c r="M296" i="2"/>
  <c r="N296" i="2"/>
  <c r="M297" i="2"/>
  <c r="N297" i="2"/>
  <c r="M298" i="2"/>
  <c r="N298" i="2"/>
  <c r="M299" i="2"/>
  <c r="N299" i="2"/>
  <c r="M300" i="2"/>
  <c r="N300" i="2"/>
  <c r="M301" i="2"/>
  <c r="N301" i="2"/>
  <c r="M302" i="2"/>
  <c r="N302" i="2"/>
  <c r="M303" i="2"/>
  <c r="N303" i="2"/>
  <c r="M304" i="2"/>
  <c r="N304" i="2"/>
  <c r="M305" i="2"/>
  <c r="N305" i="2"/>
  <c r="M306" i="2"/>
  <c r="N306" i="2"/>
  <c r="M307" i="2"/>
  <c r="N307" i="2"/>
  <c r="M308" i="2"/>
  <c r="N308" i="2"/>
  <c r="M309" i="2"/>
  <c r="N309" i="2"/>
  <c r="M310" i="2"/>
  <c r="N310" i="2"/>
  <c r="N6" i="2"/>
  <c r="M6" i="2"/>
  <c r="F7" i="2"/>
  <c r="G7" i="2"/>
  <c r="H7" i="2"/>
  <c r="I7" i="2"/>
  <c r="J7" i="2"/>
  <c r="K7" i="2"/>
  <c r="L7" i="2"/>
  <c r="F8" i="2"/>
  <c r="G8" i="2"/>
  <c r="H8" i="2"/>
  <c r="I8" i="2"/>
  <c r="J8" i="2"/>
  <c r="K8" i="2"/>
  <c r="L8" i="2"/>
  <c r="F9" i="2"/>
  <c r="G9" i="2"/>
  <c r="H9" i="2"/>
  <c r="I9" i="2"/>
  <c r="J9" i="2"/>
  <c r="K9" i="2"/>
  <c r="L9" i="2"/>
  <c r="F10" i="2"/>
  <c r="G10" i="2"/>
  <c r="H10" i="2"/>
  <c r="I10" i="2"/>
  <c r="J10" i="2"/>
  <c r="K10" i="2"/>
  <c r="L10" i="2"/>
  <c r="F11" i="2"/>
  <c r="G11" i="2"/>
  <c r="H11" i="2"/>
  <c r="I11" i="2"/>
  <c r="J11" i="2"/>
  <c r="K11" i="2"/>
  <c r="L11" i="2"/>
  <c r="F12" i="2"/>
  <c r="G12" i="2"/>
  <c r="H12" i="2"/>
  <c r="I12" i="2"/>
  <c r="J12" i="2"/>
  <c r="K12" i="2"/>
  <c r="L12" i="2"/>
  <c r="F13" i="2"/>
  <c r="G13" i="2"/>
  <c r="H13" i="2"/>
  <c r="I13" i="2"/>
  <c r="J13" i="2"/>
  <c r="K13" i="2"/>
  <c r="L13" i="2"/>
  <c r="F14" i="2"/>
  <c r="G14" i="2"/>
  <c r="H14" i="2"/>
  <c r="I14" i="2"/>
  <c r="J14" i="2"/>
  <c r="K14" i="2"/>
  <c r="L14" i="2"/>
  <c r="F15" i="2"/>
  <c r="G15" i="2"/>
  <c r="H15" i="2"/>
  <c r="I15" i="2"/>
  <c r="J15" i="2"/>
  <c r="K15" i="2"/>
  <c r="L15" i="2"/>
  <c r="F16" i="2"/>
  <c r="G16" i="2"/>
  <c r="H16" i="2"/>
  <c r="I16" i="2"/>
  <c r="J16" i="2"/>
  <c r="K16" i="2"/>
  <c r="L16" i="2"/>
  <c r="F17" i="2"/>
  <c r="G17" i="2"/>
  <c r="H17" i="2"/>
  <c r="I17" i="2"/>
  <c r="J17" i="2"/>
  <c r="K17" i="2"/>
  <c r="L17" i="2"/>
  <c r="F18" i="2"/>
  <c r="G18" i="2"/>
  <c r="H18" i="2"/>
  <c r="I18" i="2"/>
  <c r="J18" i="2"/>
  <c r="K18" i="2"/>
  <c r="L18" i="2"/>
  <c r="F19" i="2"/>
  <c r="G19" i="2"/>
  <c r="H19" i="2"/>
  <c r="I19" i="2"/>
  <c r="J19" i="2"/>
  <c r="K19" i="2"/>
  <c r="L19" i="2"/>
  <c r="F20" i="2"/>
  <c r="G20" i="2"/>
  <c r="H20" i="2"/>
  <c r="I20" i="2"/>
  <c r="J20" i="2"/>
  <c r="K20" i="2"/>
  <c r="L20" i="2"/>
  <c r="F21" i="2"/>
  <c r="G21" i="2"/>
  <c r="H21" i="2"/>
  <c r="I21" i="2"/>
  <c r="J21" i="2"/>
  <c r="K21" i="2"/>
  <c r="L21" i="2"/>
  <c r="F22" i="2"/>
  <c r="G22" i="2"/>
  <c r="H22" i="2"/>
  <c r="I22" i="2"/>
  <c r="J22" i="2"/>
  <c r="K22" i="2"/>
  <c r="L22" i="2"/>
  <c r="F23" i="2"/>
  <c r="G23" i="2"/>
  <c r="H23" i="2"/>
  <c r="I23" i="2"/>
  <c r="J23" i="2"/>
  <c r="K23" i="2"/>
  <c r="L23" i="2"/>
  <c r="F24" i="2"/>
  <c r="G24" i="2"/>
  <c r="H24" i="2"/>
  <c r="I24" i="2"/>
  <c r="J24" i="2"/>
  <c r="K24" i="2"/>
  <c r="L24" i="2"/>
  <c r="F25" i="2"/>
  <c r="G25" i="2"/>
  <c r="H25" i="2"/>
  <c r="I25" i="2"/>
  <c r="J25" i="2"/>
  <c r="K25" i="2"/>
  <c r="L25" i="2"/>
  <c r="F26" i="2"/>
  <c r="G26" i="2"/>
  <c r="H26" i="2"/>
  <c r="I26" i="2"/>
  <c r="J26" i="2"/>
  <c r="K26" i="2"/>
  <c r="L26" i="2"/>
  <c r="F27" i="2"/>
  <c r="G27" i="2"/>
  <c r="H27" i="2"/>
  <c r="I27" i="2"/>
  <c r="J27" i="2"/>
  <c r="K27" i="2"/>
  <c r="L27" i="2"/>
  <c r="F28" i="2"/>
  <c r="G28" i="2"/>
  <c r="H28" i="2"/>
  <c r="I28" i="2"/>
  <c r="J28" i="2"/>
  <c r="K28" i="2"/>
  <c r="L28" i="2"/>
  <c r="F29" i="2"/>
  <c r="G29" i="2"/>
  <c r="H29" i="2"/>
  <c r="I29" i="2"/>
  <c r="J29" i="2"/>
  <c r="K29" i="2"/>
  <c r="L29" i="2"/>
  <c r="F30" i="2"/>
  <c r="G30" i="2"/>
  <c r="H30" i="2"/>
  <c r="I30" i="2"/>
  <c r="J30" i="2"/>
  <c r="K30" i="2"/>
  <c r="L30" i="2"/>
  <c r="F31" i="2"/>
  <c r="G31" i="2"/>
  <c r="H31" i="2"/>
  <c r="I31" i="2"/>
  <c r="J31" i="2"/>
  <c r="K31" i="2"/>
  <c r="L31" i="2"/>
  <c r="F32" i="2"/>
  <c r="G32" i="2"/>
  <c r="H32" i="2"/>
  <c r="I32" i="2"/>
  <c r="J32" i="2"/>
  <c r="K32" i="2"/>
  <c r="L32" i="2"/>
  <c r="F33" i="2"/>
  <c r="G33" i="2"/>
  <c r="H33" i="2"/>
  <c r="I33" i="2"/>
  <c r="J33" i="2"/>
  <c r="K33" i="2"/>
  <c r="L33" i="2"/>
  <c r="F34" i="2"/>
  <c r="G34" i="2"/>
  <c r="H34" i="2"/>
  <c r="I34" i="2"/>
  <c r="J34" i="2"/>
  <c r="K34" i="2"/>
  <c r="L34" i="2"/>
  <c r="F35" i="2"/>
  <c r="G35" i="2"/>
  <c r="H35" i="2"/>
  <c r="I35" i="2"/>
  <c r="J35" i="2"/>
  <c r="K35" i="2"/>
  <c r="L35" i="2"/>
  <c r="F36" i="2"/>
  <c r="G36" i="2"/>
  <c r="H36" i="2"/>
  <c r="I36" i="2"/>
  <c r="J36" i="2"/>
  <c r="K36" i="2"/>
  <c r="L36" i="2"/>
  <c r="F37" i="2"/>
  <c r="G37" i="2"/>
  <c r="H37" i="2"/>
  <c r="I37" i="2"/>
  <c r="J37" i="2"/>
  <c r="K37" i="2"/>
  <c r="L37" i="2"/>
  <c r="F38" i="2"/>
  <c r="G38" i="2"/>
  <c r="H38" i="2"/>
  <c r="I38" i="2"/>
  <c r="J38" i="2"/>
  <c r="K38" i="2"/>
  <c r="L38" i="2"/>
  <c r="F39" i="2"/>
  <c r="G39" i="2"/>
  <c r="H39" i="2"/>
  <c r="I39" i="2"/>
  <c r="J39" i="2"/>
  <c r="K39" i="2"/>
  <c r="L39" i="2"/>
  <c r="F40" i="2"/>
  <c r="G40" i="2"/>
  <c r="H40" i="2"/>
  <c r="I40" i="2"/>
  <c r="J40" i="2"/>
  <c r="K40" i="2"/>
  <c r="L40" i="2"/>
  <c r="F41" i="2"/>
  <c r="G41" i="2"/>
  <c r="H41" i="2"/>
  <c r="I41" i="2"/>
  <c r="J41" i="2"/>
  <c r="K41" i="2"/>
  <c r="L41" i="2"/>
  <c r="F42" i="2"/>
  <c r="G42" i="2"/>
  <c r="H42" i="2"/>
  <c r="I42" i="2"/>
  <c r="J42" i="2"/>
  <c r="K42" i="2"/>
  <c r="L42" i="2"/>
  <c r="F43" i="2"/>
  <c r="G43" i="2"/>
  <c r="H43" i="2"/>
  <c r="I43" i="2"/>
  <c r="J43" i="2"/>
  <c r="K43" i="2"/>
  <c r="L43" i="2"/>
  <c r="F44" i="2"/>
  <c r="G44" i="2"/>
  <c r="H44" i="2"/>
  <c r="I44" i="2"/>
  <c r="J44" i="2"/>
  <c r="K44" i="2"/>
  <c r="L44" i="2"/>
  <c r="F45" i="2"/>
  <c r="G45" i="2"/>
  <c r="H45" i="2"/>
  <c r="I45" i="2"/>
  <c r="J45" i="2"/>
  <c r="K45" i="2"/>
  <c r="L45" i="2"/>
  <c r="F46" i="2"/>
  <c r="G46" i="2"/>
  <c r="H46" i="2"/>
  <c r="I46" i="2"/>
  <c r="J46" i="2"/>
  <c r="K46" i="2"/>
  <c r="L46" i="2"/>
  <c r="F47" i="2"/>
  <c r="G47" i="2"/>
  <c r="H47" i="2"/>
  <c r="I47" i="2"/>
  <c r="J47" i="2"/>
  <c r="K47" i="2"/>
  <c r="L47" i="2"/>
  <c r="F48" i="2"/>
  <c r="G48" i="2"/>
  <c r="H48" i="2"/>
  <c r="I48" i="2"/>
  <c r="J48" i="2"/>
  <c r="K48" i="2"/>
  <c r="L48" i="2"/>
  <c r="F49" i="2"/>
  <c r="G49" i="2"/>
  <c r="H49" i="2"/>
  <c r="I49" i="2"/>
  <c r="J49" i="2"/>
  <c r="K49" i="2"/>
  <c r="L49" i="2"/>
  <c r="F50" i="2"/>
  <c r="G50" i="2"/>
  <c r="H50" i="2"/>
  <c r="I50" i="2"/>
  <c r="J50" i="2"/>
  <c r="K50" i="2"/>
  <c r="L50" i="2"/>
  <c r="F51" i="2"/>
  <c r="G51" i="2"/>
  <c r="H51" i="2"/>
  <c r="I51" i="2"/>
  <c r="J51" i="2"/>
  <c r="K51" i="2"/>
  <c r="L51" i="2"/>
  <c r="F52" i="2"/>
  <c r="G52" i="2"/>
  <c r="H52" i="2"/>
  <c r="I52" i="2"/>
  <c r="J52" i="2"/>
  <c r="K52" i="2"/>
  <c r="L52" i="2"/>
  <c r="F53" i="2"/>
  <c r="G53" i="2"/>
  <c r="H53" i="2"/>
  <c r="I53" i="2"/>
  <c r="J53" i="2"/>
  <c r="K53" i="2"/>
  <c r="L53" i="2"/>
  <c r="F54" i="2"/>
  <c r="G54" i="2"/>
  <c r="H54" i="2"/>
  <c r="I54" i="2"/>
  <c r="J54" i="2"/>
  <c r="K54" i="2"/>
  <c r="L54" i="2"/>
  <c r="F55" i="2"/>
  <c r="G55" i="2"/>
  <c r="H55" i="2"/>
  <c r="I55" i="2"/>
  <c r="J55" i="2"/>
  <c r="K55" i="2"/>
  <c r="L55" i="2"/>
  <c r="F56" i="2"/>
  <c r="G56" i="2"/>
  <c r="H56" i="2"/>
  <c r="I56" i="2"/>
  <c r="J56" i="2"/>
  <c r="K56" i="2"/>
  <c r="L56" i="2"/>
  <c r="F57" i="2"/>
  <c r="G57" i="2"/>
  <c r="H57" i="2"/>
  <c r="I57" i="2"/>
  <c r="J57" i="2"/>
  <c r="K57" i="2"/>
  <c r="L57" i="2"/>
  <c r="G6" i="2"/>
  <c r="H6" i="2"/>
  <c r="I6" i="2"/>
  <c r="J6" i="2"/>
  <c r="K6" i="2"/>
  <c r="L6" i="2"/>
  <c r="H58" i="2"/>
  <c r="I58" i="2"/>
  <c r="J58" i="2"/>
  <c r="K58" i="2"/>
  <c r="L58" i="2"/>
  <c r="H59" i="2"/>
  <c r="I59" i="2"/>
  <c r="J59" i="2"/>
  <c r="K59" i="2"/>
  <c r="L59" i="2"/>
  <c r="H60" i="2"/>
  <c r="I60" i="2"/>
  <c r="J60" i="2"/>
  <c r="K60" i="2"/>
  <c r="L60" i="2"/>
  <c r="H61" i="2"/>
  <c r="I61" i="2"/>
  <c r="J61" i="2"/>
  <c r="K61" i="2"/>
  <c r="L61" i="2"/>
  <c r="H62" i="2"/>
  <c r="I62" i="2"/>
  <c r="J62" i="2"/>
  <c r="K62" i="2"/>
  <c r="L62" i="2"/>
  <c r="H63" i="2"/>
  <c r="I63" i="2"/>
  <c r="J63" i="2"/>
  <c r="K63" i="2"/>
  <c r="L63" i="2"/>
  <c r="H64" i="2"/>
  <c r="I64" i="2"/>
  <c r="J64" i="2"/>
  <c r="K64" i="2"/>
  <c r="L64" i="2"/>
  <c r="H65" i="2"/>
  <c r="I65" i="2"/>
  <c r="J65" i="2"/>
  <c r="K65" i="2"/>
  <c r="L65" i="2"/>
  <c r="H66" i="2"/>
  <c r="I66" i="2"/>
  <c r="J66" i="2"/>
  <c r="K66" i="2"/>
  <c r="L66" i="2"/>
  <c r="H67" i="2"/>
  <c r="I67" i="2"/>
  <c r="J67" i="2"/>
  <c r="K67" i="2"/>
  <c r="L67" i="2"/>
  <c r="H68" i="2"/>
  <c r="I68" i="2"/>
  <c r="J68" i="2"/>
  <c r="K68" i="2"/>
  <c r="L68" i="2"/>
  <c r="H69" i="2"/>
  <c r="I69" i="2"/>
  <c r="J69" i="2"/>
  <c r="K69" i="2"/>
  <c r="L69" i="2"/>
  <c r="H70" i="2"/>
  <c r="I70" i="2"/>
  <c r="J70" i="2"/>
  <c r="K70" i="2"/>
  <c r="L70" i="2"/>
  <c r="H71" i="2"/>
  <c r="I71" i="2"/>
  <c r="J71" i="2"/>
  <c r="K71" i="2"/>
  <c r="L71" i="2"/>
  <c r="H72" i="2"/>
  <c r="I72" i="2"/>
  <c r="J72" i="2"/>
  <c r="K72" i="2"/>
  <c r="L72" i="2"/>
  <c r="H73" i="2"/>
  <c r="I73" i="2"/>
  <c r="J73" i="2"/>
  <c r="K73" i="2"/>
  <c r="L73" i="2"/>
  <c r="H74" i="2"/>
  <c r="I74" i="2"/>
  <c r="J74" i="2"/>
  <c r="K74" i="2"/>
  <c r="L74" i="2"/>
  <c r="H75" i="2"/>
  <c r="I75" i="2"/>
  <c r="J75" i="2"/>
  <c r="K75" i="2"/>
  <c r="L75" i="2"/>
  <c r="H76" i="2"/>
  <c r="I76" i="2"/>
  <c r="J76" i="2"/>
  <c r="K76" i="2"/>
  <c r="L76" i="2"/>
  <c r="H77" i="2"/>
  <c r="I77" i="2"/>
  <c r="J77" i="2"/>
  <c r="K77" i="2"/>
  <c r="L77" i="2"/>
  <c r="H78" i="2"/>
  <c r="I78" i="2"/>
  <c r="J78" i="2"/>
  <c r="K78" i="2"/>
  <c r="L78" i="2"/>
  <c r="H79" i="2"/>
  <c r="I79" i="2"/>
  <c r="J79" i="2"/>
  <c r="K79" i="2"/>
  <c r="L79" i="2"/>
  <c r="H80" i="2"/>
  <c r="I80" i="2"/>
  <c r="J80" i="2"/>
  <c r="K80" i="2"/>
  <c r="L80" i="2"/>
  <c r="H81" i="2"/>
  <c r="I81" i="2"/>
  <c r="J81" i="2"/>
  <c r="K81" i="2"/>
  <c r="L81" i="2"/>
  <c r="H82" i="2"/>
  <c r="I82" i="2"/>
  <c r="J82" i="2"/>
  <c r="K82" i="2"/>
  <c r="L82" i="2"/>
  <c r="H83" i="2"/>
  <c r="I83" i="2"/>
  <c r="J83" i="2"/>
  <c r="K83" i="2"/>
  <c r="L83" i="2"/>
  <c r="H84" i="2"/>
  <c r="I84" i="2"/>
  <c r="J84" i="2"/>
  <c r="K84" i="2"/>
  <c r="L84" i="2"/>
  <c r="H85" i="2"/>
  <c r="I85" i="2"/>
  <c r="J85" i="2"/>
  <c r="K85" i="2"/>
  <c r="L85" i="2"/>
  <c r="H86" i="2"/>
  <c r="I86" i="2"/>
  <c r="J86" i="2"/>
  <c r="K86" i="2"/>
  <c r="L86" i="2"/>
  <c r="H87" i="2"/>
  <c r="I87" i="2"/>
  <c r="J87" i="2"/>
  <c r="K87" i="2"/>
  <c r="L87" i="2"/>
  <c r="H88" i="2"/>
  <c r="I88" i="2"/>
  <c r="J88" i="2"/>
  <c r="K88" i="2"/>
  <c r="L88" i="2"/>
  <c r="H89" i="2"/>
  <c r="I89" i="2"/>
  <c r="J89" i="2"/>
  <c r="K89" i="2"/>
  <c r="L89" i="2"/>
  <c r="H90" i="2"/>
  <c r="I90" i="2"/>
  <c r="J90" i="2"/>
  <c r="K90" i="2"/>
  <c r="L90" i="2"/>
  <c r="H91" i="2"/>
  <c r="I91" i="2"/>
  <c r="J91" i="2"/>
  <c r="K91" i="2"/>
  <c r="L91" i="2"/>
  <c r="H92" i="2"/>
  <c r="I92" i="2"/>
  <c r="J92" i="2"/>
  <c r="K92" i="2"/>
  <c r="L92" i="2"/>
  <c r="H93" i="2"/>
  <c r="I93" i="2"/>
  <c r="J93" i="2"/>
  <c r="K93" i="2"/>
  <c r="L93" i="2"/>
  <c r="H94" i="2"/>
  <c r="I94" i="2"/>
  <c r="J94" i="2"/>
  <c r="K94" i="2"/>
  <c r="L94" i="2"/>
  <c r="H95" i="2"/>
  <c r="I95" i="2"/>
  <c r="J95" i="2"/>
  <c r="K95" i="2"/>
  <c r="L95" i="2"/>
  <c r="H96" i="2"/>
  <c r="I96" i="2"/>
  <c r="J96" i="2"/>
  <c r="K96" i="2"/>
  <c r="L96" i="2"/>
  <c r="H97" i="2"/>
  <c r="I97" i="2"/>
  <c r="J97" i="2"/>
  <c r="K97" i="2"/>
  <c r="L97" i="2"/>
  <c r="H98" i="2"/>
  <c r="I98" i="2"/>
  <c r="J98" i="2"/>
  <c r="K98" i="2"/>
  <c r="L98" i="2"/>
  <c r="H99" i="2"/>
  <c r="I99" i="2"/>
  <c r="J99" i="2"/>
  <c r="K99" i="2"/>
  <c r="L99" i="2"/>
  <c r="H100" i="2"/>
  <c r="I100" i="2"/>
  <c r="J100" i="2"/>
  <c r="K100" i="2"/>
  <c r="L100" i="2"/>
  <c r="H101" i="2"/>
  <c r="I101" i="2"/>
  <c r="J101" i="2"/>
  <c r="K101" i="2"/>
  <c r="L101" i="2"/>
  <c r="H102" i="2"/>
  <c r="I102" i="2"/>
  <c r="J102" i="2"/>
  <c r="K102" i="2"/>
  <c r="L102" i="2"/>
  <c r="H103" i="2"/>
  <c r="I103" i="2"/>
  <c r="J103" i="2"/>
  <c r="K103" i="2"/>
  <c r="L103" i="2"/>
  <c r="H104" i="2"/>
  <c r="I104" i="2"/>
  <c r="J104" i="2"/>
  <c r="K104" i="2"/>
  <c r="L104" i="2"/>
  <c r="H105" i="2"/>
  <c r="I105" i="2"/>
  <c r="J105" i="2"/>
  <c r="K105" i="2"/>
  <c r="L105" i="2"/>
  <c r="H106" i="2"/>
  <c r="I106" i="2"/>
  <c r="J106" i="2"/>
  <c r="K106" i="2"/>
  <c r="L106" i="2"/>
  <c r="H107" i="2"/>
  <c r="I107" i="2"/>
  <c r="J107" i="2"/>
  <c r="K107" i="2"/>
  <c r="L107" i="2"/>
  <c r="H108" i="2"/>
  <c r="I108" i="2"/>
  <c r="J108" i="2"/>
  <c r="K108" i="2"/>
  <c r="L108" i="2"/>
  <c r="H109" i="2"/>
  <c r="I109" i="2"/>
  <c r="J109" i="2"/>
  <c r="K109" i="2"/>
  <c r="L109" i="2"/>
  <c r="H110" i="2"/>
  <c r="I110" i="2"/>
  <c r="J110" i="2"/>
  <c r="K110" i="2"/>
  <c r="L110" i="2"/>
  <c r="H111" i="2"/>
  <c r="I111" i="2"/>
  <c r="J111" i="2"/>
  <c r="K111" i="2"/>
  <c r="L111" i="2"/>
  <c r="H112" i="2"/>
  <c r="I112" i="2"/>
  <c r="J112" i="2"/>
  <c r="K112" i="2"/>
  <c r="L112" i="2"/>
  <c r="H113" i="2"/>
  <c r="I113" i="2"/>
  <c r="J113" i="2"/>
  <c r="K113" i="2"/>
  <c r="L113" i="2"/>
  <c r="H114" i="2"/>
  <c r="I114" i="2"/>
  <c r="J114" i="2"/>
  <c r="K114" i="2"/>
  <c r="L114" i="2"/>
  <c r="H115" i="2"/>
  <c r="I115" i="2"/>
  <c r="J115" i="2"/>
  <c r="K115" i="2"/>
  <c r="L115" i="2"/>
  <c r="H116" i="2"/>
  <c r="I116" i="2"/>
  <c r="J116" i="2"/>
  <c r="K116" i="2"/>
  <c r="L116" i="2"/>
  <c r="H117" i="2"/>
  <c r="I117" i="2"/>
  <c r="J117" i="2"/>
  <c r="K117" i="2"/>
  <c r="L117" i="2"/>
  <c r="H118" i="2"/>
  <c r="I118" i="2"/>
  <c r="J118" i="2"/>
  <c r="K118" i="2"/>
  <c r="L118" i="2"/>
  <c r="H119" i="2"/>
  <c r="I119" i="2"/>
  <c r="J119" i="2"/>
  <c r="K119" i="2"/>
  <c r="L119" i="2"/>
  <c r="H120" i="2"/>
  <c r="I120" i="2"/>
  <c r="J120" i="2"/>
  <c r="K120" i="2"/>
  <c r="L120" i="2"/>
  <c r="H121" i="2"/>
  <c r="I121" i="2"/>
  <c r="J121" i="2"/>
  <c r="K121" i="2"/>
  <c r="L121" i="2"/>
  <c r="H122" i="2"/>
  <c r="I122" i="2"/>
  <c r="J122" i="2"/>
  <c r="K122" i="2"/>
  <c r="L122" i="2"/>
  <c r="H123" i="2"/>
  <c r="I123" i="2"/>
  <c r="J123" i="2"/>
  <c r="K123" i="2"/>
  <c r="L123" i="2"/>
  <c r="H124" i="2"/>
  <c r="I124" i="2"/>
  <c r="J124" i="2"/>
  <c r="K124" i="2"/>
  <c r="L124" i="2"/>
  <c r="H125" i="2"/>
  <c r="I125" i="2"/>
  <c r="J125" i="2"/>
  <c r="K125" i="2"/>
  <c r="L125" i="2"/>
  <c r="H126" i="2"/>
  <c r="I126" i="2"/>
  <c r="J126" i="2"/>
  <c r="K126" i="2"/>
  <c r="L126" i="2"/>
  <c r="H127" i="2"/>
  <c r="I127" i="2"/>
  <c r="J127" i="2"/>
  <c r="K127" i="2"/>
  <c r="L127" i="2"/>
  <c r="H128" i="2"/>
  <c r="I128" i="2"/>
  <c r="J128" i="2"/>
  <c r="K128" i="2"/>
  <c r="L128" i="2"/>
  <c r="H129" i="2"/>
  <c r="I129" i="2"/>
  <c r="J129" i="2"/>
  <c r="K129" i="2"/>
  <c r="L129" i="2"/>
  <c r="H130" i="2"/>
  <c r="I130" i="2"/>
  <c r="J130" i="2"/>
  <c r="K130" i="2"/>
  <c r="L130" i="2"/>
  <c r="H131" i="2"/>
  <c r="I131" i="2"/>
  <c r="J131" i="2"/>
  <c r="K131" i="2"/>
  <c r="L131" i="2"/>
  <c r="H132" i="2"/>
  <c r="I132" i="2"/>
  <c r="J132" i="2"/>
  <c r="K132" i="2"/>
  <c r="L132" i="2"/>
  <c r="H133" i="2"/>
  <c r="I133" i="2"/>
  <c r="J133" i="2"/>
  <c r="K133" i="2"/>
  <c r="L133" i="2"/>
  <c r="H134" i="2"/>
  <c r="I134" i="2"/>
  <c r="J134" i="2"/>
  <c r="K134" i="2"/>
  <c r="L134" i="2"/>
  <c r="H135" i="2"/>
  <c r="I135" i="2"/>
  <c r="J135" i="2"/>
  <c r="K135" i="2"/>
  <c r="L135" i="2"/>
  <c r="H136" i="2"/>
  <c r="I136" i="2"/>
  <c r="J136" i="2"/>
  <c r="K136" i="2"/>
  <c r="L136" i="2"/>
  <c r="H137" i="2"/>
  <c r="I137" i="2"/>
  <c r="J137" i="2"/>
  <c r="K137" i="2"/>
  <c r="L137" i="2"/>
  <c r="H138" i="2"/>
  <c r="I138" i="2"/>
  <c r="J138" i="2"/>
  <c r="K138" i="2"/>
  <c r="L138" i="2"/>
  <c r="H139" i="2"/>
  <c r="I139" i="2"/>
  <c r="J139" i="2"/>
  <c r="K139" i="2"/>
  <c r="L139" i="2"/>
  <c r="H140" i="2"/>
  <c r="I140" i="2"/>
  <c r="J140" i="2"/>
  <c r="K140" i="2"/>
  <c r="L140" i="2"/>
  <c r="H141" i="2"/>
  <c r="I141" i="2"/>
  <c r="J141" i="2"/>
  <c r="K141" i="2"/>
  <c r="L141" i="2"/>
  <c r="H142" i="2"/>
  <c r="I142" i="2"/>
  <c r="J142" i="2"/>
  <c r="K142" i="2"/>
  <c r="L142" i="2"/>
  <c r="H143" i="2"/>
  <c r="I143" i="2"/>
  <c r="J143" i="2"/>
  <c r="K143" i="2"/>
  <c r="L143" i="2"/>
  <c r="H144" i="2"/>
  <c r="I144" i="2"/>
  <c r="J144" i="2"/>
  <c r="K144" i="2"/>
  <c r="L144" i="2"/>
  <c r="H145" i="2"/>
  <c r="I145" i="2"/>
  <c r="J145" i="2"/>
  <c r="K145" i="2"/>
  <c r="L145" i="2"/>
  <c r="H146" i="2"/>
  <c r="I146" i="2"/>
  <c r="J146" i="2"/>
  <c r="K146" i="2"/>
  <c r="L146" i="2"/>
  <c r="H147" i="2"/>
  <c r="I147" i="2"/>
  <c r="J147" i="2"/>
  <c r="K147" i="2"/>
  <c r="L147" i="2"/>
  <c r="H148" i="2"/>
  <c r="I148" i="2"/>
  <c r="J148" i="2"/>
  <c r="K148" i="2"/>
  <c r="L148" i="2"/>
  <c r="H149" i="2"/>
  <c r="I149" i="2"/>
  <c r="J149" i="2"/>
  <c r="K149" i="2"/>
  <c r="L149" i="2"/>
  <c r="H150" i="2"/>
  <c r="I150" i="2"/>
  <c r="J150" i="2"/>
  <c r="K150" i="2"/>
  <c r="L150" i="2"/>
  <c r="H151" i="2"/>
  <c r="I151" i="2"/>
  <c r="J151" i="2"/>
  <c r="K151" i="2"/>
  <c r="L151" i="2"/>
  <c r="H152" i="2"/>
  <c r="I152" i="2"/>
  <c r="J152" i="2"/>
  <c r="K152" i="2"/>
  <c r="L152" i="2"/>
  <c r="H153" i="2"/>
  <c r="I153" i="2"/>
  <c r="J153" i="2"/>
  <c r="K153" i="2"/>
  <c r="L153" i="2"/>
  <c r="H154" i="2"/>
  <c r="I154" i="2"/>
  <c r="J154" i="2"/>
  <c r="K154" i="2"/>
  <c r="L154" i="2"/>
  <c r="H155" i="2"/>
  <c r="I155" i="2"/>
  <c r="J155" i="2"/>
  <c r="K155" i="2"/>
  <c r="L155" i="2"/>
  <c r="H156" i="2"/>
  <c r="I156" i="2"/>
  <c r="J156" i="2"/>
  <c r="K156" i="2"/>
  <c r="L156" i="2"/>
  <c r="H157" i="2"/>
  <c r="I157" i="2"/>
  <c r="J157" i="2"/>
  <c r="K157" i="2"/>
  <c r="L157" i="2"/>
  <c r="H158" i="2"/>
  <c r="I158" i="2"/>
  <c r="J158" i="2"/>
  <c r="K158" i="2"/>
  <c r="L158" i="2"/>
  <c r="H159" i="2"/>
  <c r="I159" i="2"/>
  <c r="J159" i="2"/>
  <c r="K159" i="2"/>
  <c r="L159" i="2"/>
  <c r="H160" i="2"/>
  <c r="I160" i="2"/>
  <c r="J160" i="2"/>
  <c r="K160" i="2"/>
  <c r="L160" i="2"/>
  <c r="H161" i="2"/>
  <c r="I161" i="2"/>
  <c r="J161" i="2"/>
  <c r="K161" i="2"/>
  <c r="L161" i="2"/>
  <c r="H162" i="2"/>
  <c r="I162" i="2"/>
  <c r="J162" i="2"/>
  <c r="K162" i="2"/>
  <c r="L162" i="2"/>
  <c r="H163" i="2"/>
  <c r="I163" i="2"/>
  <c r="J163" i="2"/>
  <c r="K163" i="2"/>
  <c r="L163" i="2"/>
  <c r="H164" i="2"/>
  <c r="I164" i="2"/>
  <c r="J164" i="2"/>
  <c r="K164" i="2"/>
  <c r="L164" i="2"/>
  <c r="H165" i="2"/>
  <c r="I165" i="2"/>
  <c r="J165" i="2"/>
  <c r="K165" i="2"/>
  <c r="L165" i="2"/>
  <c r="H166" i="2"/>
  <c r="I166" i="2"/>
  <c r="J166" i="2"/>
  <c r="K166" i="2"/>
  <c r="L166" i="2"/>
  <c r="H167" i="2"/>
  <c r="I167" i="2"/>
  <c r="J167" i="2"/>
  <c r="K167" i="2"/>
  <c r="L167" i="2"/>
  <c r="H168" i="2"/>
  <c r="I168" i="2"/>
  <c r="J168" i="2"/>
  <c r="K168" i="2"/>
  <c r="L168" i="2"/>
  <c r="H169" i="2"/>
  <c r="I169" i="2"/>
  <c r="J169" i="2"/>
  <c r="K169" i="2"/>
  <c r="L169" i="2"/>
  <c r="H170" i="2"/>
  <c r="I170" i="2"/>
  <c r="J170" i="2"/>
  <c r="K170" i="2"/>
  <c r="L170" i="2"/>
  <c r="H171" i="2"/>
  <c r="I171" i="2"/>
  <c r="J171" i="2"/>
  <c r="K171" i="2"/>
  <c r="L171" i="2"/>
  <c r="H172" i="2"/>
  <c r="I172" i="2"/>
  <c r="J172" i="2"/>
  <c r="K172" i="2"/>
  <c r="L172" i="2"/>
  <c r="H173" i="2"/>
  <c r="I173" i="2"/>
  <c r="J173" i="2"/>
  <c r="K173" i="2"/>
  <c r="L173" i="2"/>
  <c r="H174" i="2"/>
  <c r="I174" i="2"/>
  <c r="J174" i="2"/>
  <c r="K174" i="2"/>
  <c r="L174" i="2"/>
  <c r="H175" i="2"/>
  <c r="I175" i="2"/>
  <c r="J175" i="2"/>
  <c r="K175" i="2"/>
  <c r="L175" i="2"/>
  <c r="H176" i="2"/>
  <c r="I176" i="2"/>
  <c r="J176" i="2"/>
  <c r="K176" i="2"/>
  <c r="L176" i="2"/>
  <c r="H177" i="2"/>
  <c r="I177" i="2"/>
  <c r="J177" i="2"/>
  <c r="K177" i="2"/>
  <c r="L177" i="2"/>
  <c r="H178" i="2"/>
  <c r="I178" i="2"/>
  <c r="J178" i="2"/>
  <c r="K178" i="2"/>
  <c r="L178" i="2"/>
  <c r="H179" i="2"/>
  <c r="I179" i="2"/>
  <c r="J179" i="2"/>
  <c r="K179" i="2"/>
  <c r="L179" i="2"/>
  <c r="H180" i="2"/>
  <c r="I180" i="2"/>
  <c r="J180" i="2"/>
  <c r="K180" i="2"/>
  <c r="L180" i="2"/>
  <c r="H181" i="2"/>
  <c r="I181" i="2"/>
  <c r="J181" i="2"/>
  <c r="K181" i="2"/>
  <c r="L181" i="2"/>
  <c r="H182" i="2"/>
  <c r="I182" i="2"/>
  <c r="J182" i="2"/>
  <c r="K182" i="2"/>
  <c r="L182" i="2"/>
  <c r="H183" i="2"/>
  <c r="I183" i="2"/>
  <c r="J183" i="2"/>
  <c r="K183" i="2"/>
  <c r="L183" i="2"/>
  <c r="H184" i="2"/>
  <c r="I184" i="2"/>
  <c r="J184" i="2"/>
  <c r="K184" i="2"/>
  <c r="L184" i="2"/>
  <c r="H185" i="2"/>
  <c r="I185" i="2"/>
  <c r="J185" i="2"/>
  <c r="K185" i="2"/>
  <c r="L185" i="2"/>
  <c r="H186" i="2"/>
  <c r="I186" i="2"/>
  <c r="J186" i="2"/>
  <c r="K186" i="2"/>
  <c r="L186" i="2"/>
  <c r="H187" i="2"/>
  <c r="I187" i="2"/>
  <c r="J187" i="2"/>
  <c r="K187" i="2"/>
  <c r="L187" i="2"/>
  <c r="H188" i="2"/>
  <c r="I188" i="2"/>
  <c r="J188" i="2"/>
  <c r="K188" i="2"/>
  <c r="L188" i="2"/>
  <c r="H189" i="2"/>
  <c r="I189" i="2"/>
  <c r="J189" i="2"/>
  <c r="K189" i="2"/>
  <c r="L189" i="2"/>
  <c r="H190" i="2"/>
  <c r="I190" i="2"/>
  <c r="J190" i="2"/>
  <c r="K190" i="2"/>
  <c r="L190" i="2"/>
  <c r="H191" i="2"/>
  <c r="I191" i="2"/>
  <c r="J191" i="2"/>
  <c r="K191" i="2"/>
  <c r="L191" i="2"/>
  <c r="H192" i="2"/>
  <c r="I192" i="2"/>
  <c r="J192" i="2"/>
  <c r="K192" i="2"/>
  <c r="L192" i="2"/>
  <c r="H193" i="2"/>
  <c r="I193" i="2"/>
  <c r="J193" i="2"/>
  <c r="K193" i="2"/>
  <c r="L193" i="2"/>
  <c r="H194" i="2"/>
  <c r="I194" i="2"/>
  <c r="J194" i="2"/>
  <c r="K194" i="2"/>
  <c r="L194" i="2"/>
  <c r="H195" i="2"/>
  <c r="I195" i="2"/>
  <c r="J195" i="2"/>
  <c r="K195" i="2"/>
  <c r="L195" i="2"/>
  <c r="H196" i="2"/>
  <c r="I196" i="2"/>
  <c r="J196" i="2"/>
  <c r="K196" i="2"/>
  <c r="L196" i="2"/>
  <c r="H197" i="2"/>
  <c r="I197" i="2"/>
  <c r="J197" i="2"/>
  <c r="K197" i="2"/>
  <c r="L197" i="2"/>
  <c r="H198" i="2"/>
  <c r="I198" i="2"/>
  <c r="J198" i="2"/>
  <c r="K198" i="2"/>
  <c r="L198" i="2"/>
  <c r="H199" i="2"/>
  <c r="I199" i="2"/>
  <c r="J199" i="2"/>
  <c r="K199" i="2"/>
  <c r="L199" i="2"/>
  <c r="H200" i="2"/>
  <c r="I200" i="2"/>
  <c r="J200" i="2"/>
  <c r="K200" i="2"/>
  <c r="L200" i="2"/>
  <c r="H201" i="2"/>
  <c r="I201" i="2"/>
  <c r="J201" i="2"/>
  <c r="K201" i="2"/>
  <c r="L201" i="2"/>
  <c r="H202" i="2"/>
  <c r="I202" i="2"/>
  <c r="J202" i="2"/>
  <c r="K202" i="2"/>
  <c r="L202" i="2"/>
  <c r="H203" i="2"/>
  <c r="I203" i="2"/>
  <c r="J203" i="2"/>
  <c r="K203" i="2"/>
  <c r="L203" i="2"/>
  <c r="H204" i="2"/>
  <c r="I204" i="2"/>
  <c r="J204" i="2"/>
  <c r="K204" i="2"/>
  <c r="L204" i="2"/>
  <c r="H205" i="2"/>
  <c r="I205" i="2"/>
  <c r="J205" i="2"/>
  <c r="K205" i="2"/>
  <c r="L205" i="2"/>
  <c r="H206" i="2"/>
  <c r="I206" i="2"/>
  <c r="J206" i="2"/>
  <c r="K206" i="2"/>
  <c r="L206" i="2"/>
  <c r="H207" i="2"/>
  <c r="I207" i="2"/>
  <c r="J207" i="2"/>
  <c r="K207" i="2"/>
  <c r="L207" i="2"/>
  <c r="H208" i="2"/>
  <c r="I208" i="2"/>
  <c r="J208" i="2"/>
  <c r="K208" i="2"/>
  <c r="L208" i="2"/>
  <c r="H209" i="2"/>
  <c r="I209" i="2"/>
  <c r="J209" i="2"/>
  <c r="K209" i="2"/>
  <c r="L209" i="2"/>
  <c r="H210" i="2"/>
  <c r="I210" i="2"/>
  <c r="J210" i="2"/>
  <c r="K210" i="2"/>
  <c r="L210" i="2"/>
  <c r="H211" i="2"/>
  <c r="I211" i="2"/>
  <c r="J211" i="2"/>
  <c r="K211" i="2"/>
  <c r="L211" i="2"/>
  <c r="H212" i="2"/>
  <c r="I212" i="2"/>
  <c r="J212" i="2"/>
  <c r="K212" i="2"/>
  <c r="L212" i="2"/>
  <c r="H213" i="2"/>
  <c r="I213" i="2"/>
  <c r="J213" i="2"/>
  <c r="K213" i="2"/>
  <c r="L213" i="2"/>
  <c r="H214" i="2"/>
  <c r="I214" i="2"/>
  <c r="J214" i="2"/>
  <c r="K214" i="2"/>
  <c r="L214" i="2"/>
  <c r="H215" i="2"/>
  <c r="I215" i="2"/>
  <c r="J215" i="2"/>
  <c r="K215" i="2"/>
  <c r="L215" i="2"/>
  <c r="H216" i="2"/>
  <c r="I216" i="2"/>
  <c r="J216" i="2"/>
  <c r="K216" i="2"/>
  <c r="L216" i="2"/>
  <c r="H217" i="2"/>
  <c r="I217" i="2"/>
  <c r="J217" i="2"/>
  <c r="K217" i="2"/>
  <c r="L217" i="2"/>
  <c r="H218" i="2"/>
  <c r="I218" i="2"/>
  <c r="J218" i="2"/>
  <c r="K218" i="2"/>
  <c r="L218" i="2"/>
  <c r="H219" i="2"/>
  <c r="I219" i="2"/>
  <c r="J219" i="2"/>
  <c r="K219" i="2"/>
  <c r="L219" i="2"/>
  <c r="H220" i="2"/>
  <c r="I220" i="2"/>
  <c r="J220" i="2"/>
  <c r="K220" i="2"/>
  <c r="L220" i="2"/>
  <c r="H221" i="2"/>
  <c r="I221" i="2"/>
  <c r="J221" i="2"/>
  <c r="K221" i="2"/>
  <c r="L221" i="2"/>
  <c r="H222" i="2"/>
  <c r="I222" i="2"/>
  <c r="J222" i="2"/>
  <c r="K222" i="2"/>
  <c r="L222" i="2"/>
  <c r="H223" i="2"/>
  <c r="I223" i="2"/>
  <c r="J223" i="2"/>
  <c r="K223" i="2"/>
  <c r="L223" i="2"/>
  <c r="H224" i="2"/>
  <c r="I224" i="2"/>
  <c r="J224" i="2"/>
  <c r="K224" i="2"/>
  <c r="L224" i="2"/>
  <c r="H225" i="2"/>
  <c r="I225" i="2"/>
  <c r="J225" i="2"/>
  <c r="K225" i="2"/>
  <c r="L225" i="2"/>
  <c r="H226" i="2"/>
  <c r="I226" i="2"/>
  <c r="J226" i="2"/>
  <c r="K226" i="2"/>
  <c r="L226" i="2"/>
  <c r="H227" i="2"/>
  <c r="I227" i="2"/>
  <c r="J227" i="2"/>
  <c r="K227" i="2"/>
  <c r="L227" i="2"/>
  <c r="H228" i="2"/>
  <c r="I228" i="2"/>
  <c r="J228" i="2"/>
  <c r="K228" i="2"/>
  <c r="L228" i="2"/>
  <c r="H229" i="2"/>
  <c r="I229" i="2"/>
  <c r="J229" i="2"/>
  <c r="K229" i="2"/>
  <c r="L229" i="2"/>
  <c r="H230" i="2"/>
  <c r="I230" i="2"/>
  <c r="J230" i="2"/>
  <c r="K230" i="2"/>
  <c r="L230" i="2"/>
  <c r="H231" i="2"/>
  <c r="I231" i="2"/>
  <c r="J231" i="2"/>
  <c r="K231" i="2"/>
  <c r="L231" i="2"/>
  <c r="H232" i="2"/>
  <c r="I232" i="2"/>
  <c r="J232" i="2"/>
  <c r="K232" i="2"/>
  <c r="L232" i="2"/>
  <c r="H233" i="2"/>
  <c r="I233" i="2"/>
  <c r="J233" i="2"/>
  <c r="K233" i="2"/>
  <c r="L233" i="2"/>
  <c r="H234" i="2"/>
  <c r="I234" i="2"/>
  <c r="J234" i="2"/>
  <c r="K234" i="2"/>
  <c r="L234" i="2"/>
  <c r="H235" i="2"/>
  <c r="I235" i="2"/>
  <c r="J235" i="2"/>
  <c r="K235" i="2"/>
  <c r="L235" i="2"/>
  <c r="H236" i="2"/>
  <c r="I236" i="2"/>
  <c r="J236" i="2"/>
  <c r="K236" i="2"/>
  <c r="L236" i="2"/>
  <c r="H237" i="2"/>
  <c r="I237" i="2"/>
  <c r="J237" i="2"/>
  <c r="K237" i="2"/>
  <c r="L237" i="2"/>
  <c r="H238" i="2"/>
  <c r="I238" i="2"/>
  <c r="J238" i="2"/>
  <c r="K238" i="2"/>
  <c r="L238" i="2"/>
  <c r="H239" i="2"/>
  <c r="I239" i="2"/>
  <c r="J239" i="2"/>
  <c r="K239" i="2"/>
  <c r="L239" i="2"/>
  <c r="H240" i="2"/>
  <c r="I240" i="2"/>
  <c r="J240" i="2"/>
  <c r="K240" i="2"/>
  <c r="L240" i="2"/>
  <c r="H241" i="2"/>
  <c r="I241" i="2"/>
  <c r="J241" i="2"/>
  <c r="K241" i="2"/>
  <c r="L241" i="2"/>
  <c r="H242" i="2"/>
  <c r="I242" i="2"/>
  <c r="J242" i="2"/>
  <c r="K242" i="2"/>
  <c r="L242" i="2"/>
  <c r="H243" i="2"/>
  <c r="I243" i="2"/>
  <c r="J243" i="2"/>
  <c r="K243" i="2"/>
  <c r="L243" i="2"/>
  <c r="H244" i="2"/>
  <c r="I244" i="2"/>
  <c r="J244" i="2"/>
  <c r="K244" i="2"/>
  <c r="L244" i="2"/>
  <c r="H245" i="2"/>
  <c r="I245" i="2"/>
  <c r="J245" i="2"/>
  <c r="K245" i="2"/>
  <c r="L245" i="2"/>
  <c r="H246" i="2"/>
  <c r="I246" i="2"/>
  <c r="J246" i="2"/>
  <c r="K246" i="2"/>
  <c r="L246" i="2"/>
  <c r="H247" i="2"/>
  <c r="I247" i="2"/>
  <c r="J247" i="2"/>
  <c r="K247" i="2"/>
  <c r="L247" i="2"/>
  <c r="H248" i="2"/>
  <c r="I248" i="2"/>
  <c r="J248" i="2"/>
  <c r="K248" i="2"/>
  <c r="L248" i="2"/>
  <c r="H249" i="2"/>
  <c r="I249" i="2"/>
  <c r="J249" i="2"/>
  <c r="K249" i="2"/>
  <c r="L249" i="2"/>
  <c r="H250" i="2"/>
  <c r="I250" i="2"/>
  <c r="J250" i="2"/>
  <c r="K250" i="2"/>
  <c r="L250" i="2"/>
  <c r="H251" i="2"/>
  <c r="I251" i="2"/>
  <c r="J251" i="2"/>
  <c r="K251" i="2"/>
  <c r="L251" i="2"/>
  <c r="H252" i="2"/>
  <c r="I252" i="2"/>
  <c r="J252" i="2"/>
  <c r="K252" i="2"/>
  <c r="L252" i="2"/>
  <c r="H253" i="2"/>
  <c r="I253" i="2"/>
  <c r="J253" i="2"/>
  <c r="K253" i="2"/>
  <c r="L253" i="2"/>
  <c r="H254" i="2"/>
  <c r="I254" i="2"/>
  <c r="J254" i="2"/>
  <c r="K254" i="2"/>
  <c r="L254" i="2"/>
  <c r="H255" i="2"/>
  <c r="I255" i="2"/>
  <c r="J255" i="2"/>
  <c r="K255" i="2"/>
  <c r="L255" i="2"/>
  <c r="H256" i="2"/>
  <c r="I256" i="2"/>
  <c r="J256" i="2"/>
  <c r="K256" i="2"/>
  <c r="L256" i="2"/>
  <c r="H257" i="2"/>
  <c r="I257" i="2"/>
  <c r="J257" i="2"/>
  <c r="K257" i="2"/>
  <c r="L257" i="2"/>
  <c r="H258" i="2"/>
  <c r="I258" i="2"/>
  <c r="J258" i="2"/>
  <c r="K258" i="2"/>
  <c r="L258" i="2"/>
  <c r="H259" i="2"/>
  <c r="I259" i="2"/>
  <c r="J259" i="2"/>
  <c r="K259" i="2"/>
  <c r="L259" i="2"/>
  <c r="H260" i="2"/>
  <c r="I260" i="2"/>
  <c r="J260" i="2"/>
  <c r="K260" i="2"/>
  <c r="L260" i="2"/>
  <c r="H261" i="2"/>
  <c r="I261" i="2"/>
  <c r="J261" i="2"/>
  <c r="K261" i="2"/>
  <c r="L261" i="2"/>
  <c r="H262" i="2"/>
  <c r="I262" i="2"/>
  <c r="J262" i="2"/>
  <c r="K262" i="2"/>
  <c r="L262" i="2"/>
  <c r="H263" i="2"/>
  <c r="I263" i="2"/>
  <c r="J263" i="2"/>
  <c r="K263" i="2"/>
  <c r="L263" i="2"/>
  <c r="H264" i="2"/>
  <c r="I264" i="2"/>
  <c r="J264" i="2"/>
  <c r="K264" i="2"/>
  <c r="L264" i="2"/>
  <c r="H265" i="2"/>
  <c r="I265" i="2"/>
  <c r="J265" i="2"/>
  <c r="K265" i="2"/>
  <c r="L265" i="2"/>
  <c r="H266" i="2"/>
  <c r="I266" i="2"/>
  <c r="J266" i="2"/>
  <c r="K266" i="2"/>
  <c r="L266" i="2"/>
  <c r="H267" i="2"/>
  <c r="I267" i="2"/>
  <c r="J267" i="2"/>
  <c r="K267" i="2"/>
  <c r="L267" i="2"/>
  <c r="H268" i="2"/>
  <c r="I268" i="2"/>
  <c r="J268" i="2"/>
  <c r="K268" i="2"/>
  <c r="L268" i="2"/>
  <c r="H269" i="2"/>
  <c r="I269" i="2"/>
  <c r="J269" i="2"/>
  <c r="K269" i="2"/>
  <c r="L269" i="2"/>
  <c r="H270" i="2"/>
  <c r="I270" i="2"/>
  <c r="J270" i="2"/>
  <c r="K270" i="2"/>
  <c r="L270" i="2"/>
  <c r="H271" i="2"/>
  <c r="I271" i="2"/>
  <c r="J271" i="2"/>
  <c r="K271" i="2"/>
  <c r="L271" i="2"/>
  <c r="H272" i="2"/>
  <c r="I272" i="2"/>
  <c r="J272" i="2"/>
  <c r="K272" i="2"/>
  <c r="L272" i="2"/>
  <c r="H273" i="2"/>
  <c r="I273" i="2"/>
  <c r="J273" i="2"/>
  <c r="K273" i="2"/>
  <c r="L273" i="2"/>
  <c r="H274" i="2"/>
  <c r="I274" i="2"/>
  <c r="J274" i="2"/>
  <c r="K274" i="2"/>
  <c r="L274" i="2"/>
  <c r="H275" i="2"/>
  <c r="I275" i="2"/>
  <c r="J275" i="2"/>
  <c r="K275" i="2"/>
  <c r="L275" i="2"/>
  <c r="H276" i="2"/>
  <c r="I276" i="2"/>
  <c r="J276" i="2"/>
  <c r="K276" i="2"/>
  <c r="L276" i="2"/>
  <c r="H277" i="2"/>
  <c r="I277" i="2"/>
  <c r="J277" i="2"/>
  <c r="K277" i="2"/>
  <c r="L277" i="2"/>
  <c r="H278" i="2"/>
  <c r="I278" i="2"/>
  <c r="J278" i="2"/>
  <c r="K278" i="2"/>
  <c r="L278" i="2"/>
  <c r="H279" i="2"/>
  <c r="I279" i="2"/>
  <c r="J279" i="2"/>
  <c r="K279" i="2"/>
  <c r="L279" i="2"/>
  <c r="H280" i="2"/>
  <c r="I280" i="2"/>
  <c r="J280" i="2"/>
  <c r="K280" i="2"/>
  <c r="L280" i="2"/>
  <c r="H281" i="2"/>
  <c r="I281" i="2"/>
  <c r="J281" i="2"/>
  <c r="K281" i="2"/>
  <c r="L281" i="2"/>
  <c r="H282" i="2"/>
  <c r="I282" i="2"/>
  <c r="J282" i="2"/>
  <c r="K282" i="2"/>
  <c r="L282" i="2"/>
  <c r="H283" i="2"/>
  <c r="I283" i="2"/>
  <c r="J283" i="2"/>
  <c r="K283" i="2"/>
  <c r="L283" i="2"/>
  <c r="H284" i="2"/>
  <c r="I284" i="2"/>
  <c r="J284" i="2"/>
  <c r="K284" i="2"/>
  <c r="L284" i="2"/>
  <c r="H285" i="2"/>
  <c r="I285" i="2"/>
  <c r="J285" i="2"/>
  <c r="K285" i="2"/>
  <c r="L285" i="2"/>
  <c r="H286" i="2"/>
  <c r="I286" i="2"/>
  <c r="J286" i="2"/>
  <c r="K286" i="2"/>
  <c r="L286" i="2"/>
  <c r="H287" i="2"/>
  <c r="I287" i="2"/>
  <c r="J287" i="2"/>
  <c r="K287" i="2"/>
  <c r="L287" i="2"/>
  <c r="H288" i="2"/>
  <c r="I288" i="2"/>
  <c r="J288" i="2"/>
  <c r="K288" i="2"/>
  <c r="L288" i="2"/>
  <c r="H289" i="2"/>
  <c r="I289" i="2"/>
  <c r="J289" i="2"/>
  <c r="K289" i="2"/>
  <c r="L289" i="2"/>
  <c r="H290" i="2"/>
  <c r="I290" i="2"/>
  <c r="J290" i="2"/>
  <c r="K290" i="2"/>
  <c r="L290" i="2"/>
  <c r="H291" i="2"/>
  <c r="I291" i="2"/>
  <c r="J291" i="2"/>
  <c r="K291" i="2"/>
  <c r="L291" i="2"/>
  <c r="H292" i="2"/>
  <c r="I292" i="2"/>
  <c r="J292" i="2"/>
  <c r="K292" i="2"/>
  <c r="L292" i="2"/>
  <c r="H293" i="2"/>
  <c r="I293" i="2"/>
  <c r="J293" i="2"/>
  <c r="K293" i="2"/>
  <c r="L293" i="2"/>
  <c r="H294" i="2"/>
  <c r="I294" i="2"/>
  <c r="J294" i="2"/>
  <c r="K294" i="2"/>
  <c r="L294" i="2"/>
  <c r="H295" i="2"/>
  <c r="I295" i="2"/>
  <c r="J295" i="2"/>
  <c r="K295" i="2"/>
  <c r="L295" i="2"/>
  <c r="H296" i="2"/>
  <c r="I296" i="2"/>
  <c r="J296" i="2"/>
  <c r="K296" i="2"/>
  <c r="L296" i="2"/>
  <c r="H297" i="2"/>
  <c r="I297" i="2"/>
  <c r="J297" i="2"/>
  <c r="K297" i="2"/>
  <c r="L297" i="2"/>
  <c r="H298" i="2"/>
  <c r="I298" i="2"/>
  <c r="J298" i="2"/>
  <c r="K298" i="2"/>
  <c r="L298" i="2"/>
  <c r="H299" i="2"/>
  <c r="I299" i="2"/>
  <c r="J299" i="2"/>
  <c r="K299" i="2"/>
  <c r="L299" i="2"/>
  <c r="H300" i="2"/>
  <c r="I300" i="2"/>
  <c r="J300" i="2"/>
  <c r="K300" i="2"/>
  <c r="L300" i="2"/>
  <c r="H301" i="2"/>
  <c r="I301" i="2"/>
  <c r="J301" i="2"/>
  <c r="K301" i="2"/>
  <c r="L301" i="2"/>
  <c r="H302" i="2"/>
  <c r="I302" i="2"/>
  <c r="J302" i="2"/>
  <c r="K302" i="2"/>
  <c r="L302" i="2"/>
  <c r="H303" i="2"/>
  <c r="I303" i="2"/>
  <c r="J303" i="2"/>
  <c r="K303" i="2"/>
  <c r="L303" i="2"/>
  <c r="H304" i="2"/>
  <c r="I304" i="2"/>
  <c r="J304" i="2"/>
  <c r="K304" i="2"/>
  <c r="L304" i="2"/>
  <c r="H305" i="2"/>
  <c r="I305" i="2"/>
  <c r="J305" i="2"/>
  <c r="K305" i="2"/>
  <c r="L305" i="2"/>
  <c r="H306" i="2"/>
  <c r="I306" i="2"/>
  <c r="J306" i="2"/>
  <c r="K306" i="2"/>
  <c r="L306" i="2"/>
  <c r="H307" i="2"/>
  <c r="I307" i="2"/>
  <c r="J307" i="2"/>
  <c r="K307" i="2"/>
  <c r="L307" i="2"/>
  <c r="H308" i="2"/>
  <c r="I308" i="2"/>
  <c r="J308" i="2"/>
  <c r="K308" i="2"/>
  <c r="L308" i="2"/>
  <c r="H309" i="2"/>
  <c r="I309" i="2"/>
  <c r="J309" i="2"/>
  <c r="K309" i="2"/>
  <c r="L309" i="2"/>
  <c r="H310" i="2"/>
  <c r="I310" i="2"/>
  <c r="J310" i="2"/>
  <c r="K310" i="2"/>
  <c r="L310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58" i="2"/>
  <c r="Q74" i="7"/>
  <c r="Q73" i="7"/>
  <c r="B16" i="6"/>
  <c r="B24" i="6"/>
  <c r="I25" i="6"/>
  <c r="J25" i="6" s="1"/>
  <c r="I24" i="6"/>
  <c r="J24" i="6" s="1"/>
  <c r="G25" i="6"/>
  <c r="G24" i="6"/>
  <c r="G23" i="6"/>
  <c r="B33" i="6"/>
  <c r="B34" i="6" s="1"/>
  <c r="B28" i="6"/>
  <c r="B23" i="6"/>
  <c r="B29" i="6"/>
  <c r="I7" i="6"/>
  <c r="J7" i="6" s="1"/>
  <c r="G8" i="6"/>
  <c r="G7" i="6"/>
  <c r="G6" i="6"/>
  <c r="B17" i="6"/>
  <c r="B11" i="6"/>
  <c r="B12" i="6" s="1"/>
  <c r="B6" i="6"/>
  <c r="B7" i="6" s="1"/>
  <c r="N4" i="1"/>
  <c r="M4" i="1"/>
  <c r="D14" i="8" l="1"/>
  <c r="E14" i="8" s="1"/>
  <c r="D20" i="8"/>
  <c r="E20" i="8" s="1"/>
</calcChain>
</file>

<file path=xl/sharedStrings.xml><?xml version="1.0" encoding="utf-8"?>
<sst xmlns="http://schemas.openxmlformats.org/spreadsheetml/2006/main" count="7064" uniqueCount="845">
  <si>
    <t>Propuesta generada 23 - 6 - 2025. Las tarifas tienen una vigencia de 2 meses para ser aceptadas.</t>
  </si>
  <si>
    <t>TARIFARIO DISTRIBUCIÓN</t>
  </si>
  <si>
    <t/>
  </si>
  <si>
    <t>PROPUESTA 2EBOX UM - HOME DELIVERY</t>
  </si>
  <si>
    <t>Tarifas Servicio EXPRESS - PRIORITY</t>
  </si>
  <si>
    <t>Definiciones DISTRIBUCIÓN:</t>
  </si>
  <si>
    <t>ORIGEN: SANTIAGO</t>
  </si>
  <si>
    <t>Quiebres de kilos</t>
  </si>
  <si>
    <t>🔵 Las tarifas son afectas a IVA</t>
  </si>
  <si>
    <t>DESTINO</t>
  </si>
  <si>
    <t>0 - 0.5</t>
  </si>
  <si>
    <t>0.5 - 1.5</t>
  </si>
  <si>
    <t>1.5 - 3</t>
  </si>
  <si>
    <t>3 - 6</t>
  </si>
  <si>
    <t>6 - 10</t>
  </si>
  <si>
    <t>10 - 16</t>
  </si>
  <si>
    <t>16 - 20</t>
  </si>
  <si>
    <t>20 - 50 *</t>
  </si>
  <si>
    <t>&gt; 50 *</t>
  </si>
  <si>
    <t>🔵 Tarifa Same Day solo para Región Metropolitana y quiebres hasta los 25 kg como máximo. En caso de sobrepasar este kilomayor máximo se cobrará un valor agregado sobre la tarifa normal.</t>
  </si>
  <si>
    <t>COPIAPO</t>
  </si>
  <si>
    <t>🔵 El tarifario considera Origen SANTIAGO y Destino Comuna radio BASE. También aplica para origen y destino en la misma ciudad.</t>
  </si>
  <si>
    <t>LA SERENA</t>
  </si>
  <si>
    <t>🔵 El tarifario se mantiene para un Origen regiones (Comuna Región) y entrega en SANTIAGO.</t>
  </si>
  <si>
    <t>OVALLE</t>
  </si>
  <si>
    <t>🔵 Las tarifas con Origen distinto a SANTIAGO (zona radio BASE) y destino distinto a SANTIAGO se ponderan x1,2.</t>
  </si>
  <si>
    <t>LA CALERA</t>
  </si>
  <si>
    <t>🔵 Tarifas con Destino una Comuna con radio INFLUENCIA tienen el mismo precio que radio BASE</t>
  </si>
  <si>
    <t>LOS ANDES</t>
  </si>
  <si>
    <t>🔵 Tarifas con Destino una Comuna con radio EXTREMO (o MUY EXTREMO) se pondera x1,5</t>
  </si>
  <si>
    <t>VINA DEL MAR</t>
  </si>
  <si>
    <t>🔵 Envíos a Comunas BORDER considera un costo fijo de $15000 adicional a la tarifa.</t>
  </si>
  <si>
    <t>SANTIAGO</t>
  </si>
  <si>
    <t>🔵 El costo del envío está asociado al mayor valor entre el peso físico y peso volumétrico. El peso volumétrico es igual a (largo*ancho*alto)/4.000.</t>
  </si>
  <si>
    <t>MELIPILLA</t>
  </si>
  <si>
    <t>*Los cálculos de las tarifas sobre 20kg's y 50kg's, se calculan como kilo adicional sobre las tarifas del quiebre previo.</t>
  </si>
  <si>
    <t>RANCAGUA</t>
  </si>
  <si>
    <t>Ejemplo: tarifa SCL 35 kg´s = $5197 + (35 - 20)*$300.</t>
  </si>
  <si>
    <t>CURICO</t>
  </si>
  <si>
    <t>Ejemplo: tarifa SCL 140 kg´s = $5197 + (50 - 20)*$300 + (140 - 50)*$229.</t>
  </si>
  <si>
    <t>TALCA</t>
  </si>
  <si>
    <t>CHILLAN</t>
  </si>
  <si>
    <t>ACLARACIONES COBROS EXTRAS:</t>
  </si>
  <si>
    <t>CONCEPCION</t>
  </si>
  <si>
    <t>LOS ANGELES</t>
  </si>
  <si>
    <t>D.D.: Devolución de Documentos</t>
  </si>
  <si>
    <t>$900 + iva por Documento</t>
  </si>
  <si>
    <t>TEMUCO</t>
  </si>
  <si>
    <t>VALDIVIA</t>
  </si>
  <si>
    <t>OSORNO</t>
  </si>
  <si>
    <t>PUERTO MONTT</t>
  </si>
  <si>
    <t>TERCEROS INTENTOS EN SANTIAGO Y REGIONES: 
Tercer intento de entrega de la carga.</t>
  </si>
  <si>
    <t>$1.500 + $50 por kilo</t>
  </si>
  <si>
    <t>CASTRO</t>
  </si>
  <si>
    <t>Extremos Terrestre - Tarifas Servicio EXPRESS</t>
  </si>
  <si>
    <t>CUSTODIA DE CARGA  STGO. Y REGIONES: Se entiende por custodia a toda solicitud de mantener carga hasta posterior coordinación de entrega. Este cobro comenzará a regir a partir del 6to día de almacenada la carga en Hub.</t>
  </si>
  <si>
    <t>$3.000 x posición de almacenaje x día</t>
  </si>
  <si>
    <t>ARICA</t>
  </si>
  <si>
    <t>IQUIQUE</t>
  </si>
  <si>
    <t>CALAMA</t>
  </si>
  <si>
    <t>ANTOFAGASTA</t>
  </si>
  <si>
    <t>CONSIDERACIONES DISTRIBUCIÓN:</t>
  </si>
  <si>
    <t>COYHAIQUE</t>
  </si>
  <si>
    <t>*Tarifas válidas para los movimientos de carga declarado por el cliente. Las tarifas se reajustarán semestralmente acorde a la variación que haya experimentado el Indice de Precios al Consumidor (IPC) sumado a otras variables. Estos reajustes pueden variar respecto a negociaciones futuras.</t>
  </si>
  <si>
    <t>PUNTA ARENAS</t>
  </si>
  <si>
    <t>Extremos Aéreos - Tarifas Servicio PRIORITY</t>
  </si>
  <si>
    <t>** El cliente tiene un período de 3 meses para alcanzar los movimientos mensuales declarados en la negociación. En caso de incumplimiento, se podría reajustar la tarifa negociada.</t>
  </si>
  <si>
    <t>*** Este Servicio considera un seguro en la tarifa hasta los $85.000 por orden. Sobre ese valor y en caso de querer contar con seguro, se cobra un fee adicional del 0,6% del valor neto de venta del producto.</t>
  </si>
  <si>
    <t>**** La medición de plazos de entrega es por día hábil.</t>
  </si>
  <si>
    <t>Tarifas Servicio SAMEDAY</t>
  </si>
  <si>
    <t>REGION</t>
  </si>
  <si>
    <t>POSTA</t>
  </si>
  <si>
    <t>COMUNA DESTINO</t>
  </si>
  <si>
    <t>🔵 El tarifario considera Origen SANTIAGO y Destino Comuna. También aplica para origen y destino en la misma ciudad.</t>
  </si>
  <si>
    <t>METROPOLITANA (XIII)</t>
  </si>
  <si>
    <t>SCL</t>
  </si>
  <si>
    <t>RLT</t>
  </si>
  <si>
    <t>RECOLETA</t>
  </si>
  <si>
    <t>IDP</t>
  </si>
  <si>
    <t>INDEPENDENCIA</t>
  </si>
  <si>
    <t>QTN</t>
  </si>
  <si>
    <t>QUINTA NORMAL</t>
  </si>
  <si>
    <t>MAI</t>
  </si>
  <si>
    <t>MAIPU</t>
  </si>
  <si>
    <t>PUD</t>
  </si>
  <si>
    <t>PUDAHUEL</t>
  </si>
  <si>
    <t>REN</t>
  </si>
  <si>
    <t>RENCA</t>
  </si>
  <si>
    <t>QLC</t>
  </si>
  <si>
    <t>QUILICURA</t>
  </si>
  <si>
    <t>CNH</t>
  </si>
  <si>
    <t>CONCHALI</t>
  </si>
  <si>
    <t>LPR</t>
  </si>
  <si>
    <t>LO PRADO</t>
  </si>
  <si>
    <t>CNV</t>
  </si>
  <si>
    <t>CERRO NAVIA</t>
  </si>
  <si>
    <t>ECE</t>
  </si>
  <si>
    <t>ESTACION CENTRAL</t>
  </si>
  <si>
    <t>HRB</t>
  </si>
  <si>
    <t>HUECHURABA</t>
  </si>
  <si>
    <t>RRI</t>
  </si>
  <si>
    <t>CERRILLOS</t>
  </si>
  <si>
    <t>SPO</t>
  </si>
  <si>
    <t>SAN PEDRO</t>
  </si>
  <si>
    <t>PRO</t>
  </si>
  <si>
    <t>PROVIDENCIA</t>
  </si>
  <si>
    <t>NNA</t>
  </si>
  <si>
    <t>NUNOA</t>
  </si>
  <si>
    <t>LCD</t>
  </si>
  <si>
    <t>LAS CONDES</t>
  </si>
  <si>
    <t>LFD</t>
  </si>
  <si>
    <t>LA FLORIDA</t>
  </si>
  <si>
    <t>LRN</t>
  </si>
  <si>
    <t>LA REINA</t>
  </si>
  <si>
    <t>MAC</t>
  </si>
  <si>
    <t>MACUL</t>
  </si>
  <si>
    <t>PNL</t>
  </si>
  <si>
    <t>PENALOLEN</t>
  </si>
  <si>
    <t>VTC</t>
  </si>
  <si>
    <t>VITACURA</t>
  </si>
  <si>
    <t>LBR</t>
  </si>
  <si>
    <t>LO BARNECHEA</t>
  </si>
  <si>
    <t>SMG</t>
  </si>
  <si>
    <t>SAN MIGUEL</t>
  </si>
  <si>
    <t>LCN</t>
  </si>
  <si>
    <t>LA CISTERNA</t>
  </si>
  <si>
    <t>LGJ</t>
  </si>
  <si>
    <t>LA GRANJA</t>
  </si>
  <si>
    <t>SRN</t>
  </si>
  <si>
    <t>SAN RAMON</t>
  </si>
  <si>
    <t>LPT</t>
  </si>
  <si>
    <t>LA PINTANA</t>
  </si>
  <si>
    <t>PAC</t>
  </si>
  <si>
    <t>PEDRO AGUIRRE CERDA</t>
  </si>
  <si>
    <t>SJQ</t>
  </si>
  <si>
    <t>SAN JOAQUIN</t>
  </si>
  <si>
    <t>LEP</t>
  </si>
  <si>
    <t>LO ESPEJO</t>
  </si>
  <si>
    <t>EBO</t>
  </si>
  <si>
    <t>EL BOSQUE</t>
  </si>
  <si>
    <t>PAL</t>
  </si>
  <si>
    <t>PUENTE ALTO</t>
  </si>
  <si>
    <t>SBD</t>
  </si>
  <si>
    <t>SAN BERNARDO</t>
  </si>
  <si>
    <t>ALH</t>
  </si>
  <si>
    <t>ALHUE</t>
  </si>
  <si>
    <t>ZBU</t>
  </si>
  <si>
    <t>BUIN</t>
  </si>
  <si>
    <t>CDT</t>
  </si>
  <si>
    <t>CALERA DE TANGO</t>
  </si>
  <si>
    <t>COL</t>
  </si>
  <si>
    <t>COLINA</t>
  </si>
  <si>
    <t>CVI</t>
  </si>
  <si>
    <t>CURACAVI</t>
  </si>
  <si>
    <t>ZTE</t>
  </si>
  <si>
    <t>EL MONTE</t>
  </si>
  <si>
    <t>IDM</t>
  </si>
  <si>
    <t>ISLA DE MAIPO</t>
  </si>
  <si>
    <t>LSG</t>
  </si>
  <si>
    <t>LAMPA</t>
  </si>
  <si>
    <t>MPO</t>
  </si>
  <si>
    <t>MARIA PINTO</t>
  </si>
  <si>
    <t>ZMP</t>
  </si>
  <si>
    <t>PHT</t>
  </si>
  <si>
    <t>PADRE HURTADO</t>
  </si>
  <si>
    <t>ZPN</t>
  </si>
  <si>
    <t>PAINE</t>
  </si>
  <si>
    <t>PFL</t>
  </si>
  <si>
    <t>PENAFLOR</t>
  </si>
  <si>
    <t>PIR</t>
  </si>
  <si>
    <t>PIRQUE</t>
  </si>
  <si>
    <t>SJS</t>
  </si>
  <si>
    <t>SAN JOSE DE MAIPO</t>
  </si>
  <si>
    <t>TNT</t>
  </si>
  <si>
    <t>TALAGANTE</t>
  </si>
  <si>
    <t>TIL</t>
  </si>
  <si>
    <t>TILTIL</t>
  </si>
  <si>
    <t>ATACAMA (III)</t>
  </si>
  <si>
    <t>CPO</t>
  </si>
  <si>
    <t>ADC</t>
  </si>
  <si>
    <t>ALTO DEL CARMEN</t>
  </si>
  <si>
    <t>HCO</t>
  </si>
  <si>
    <t>HUASCO</t>
  </si>
  <si>
    <t>CLR</t>
  </si>
  <si>
    <t>CALDERA</t>
  </si>
  <si>
    <t>CHN</t>
  </si>
  <si>
    <t>CHANARAL</t>
  </si>
  <si>
    <t>DAG</t>
  </si>
  <si>
    <t>DIEGO DE ALMAGRO</t>
  </si>
  <si>
    <t>FRN</t>
  </si>
  <si>
    <t>FREIRINA</t>
  </si>
  <si>
    <t>TRM</t>
  </si>
  <si>
    <t>TIERRA AMARILLA</t>
  </si>
  <si>
    <t>VAL</t>
  </si>
  <si>
    <t>VALLENAR</t>
  </si>
  <si>
    <t>COQUIMBO (IV)</t>
  </si>
  <si>
    <t>COQ</t>
  </si>
  <si>
    <t>COQUIMBO</t>
  </si>
  <si>
    <t>ACO</t>
  </si>
  <si>
    <t>ANDACOLLO</t>
  </si>
  <si>
    <t>CNE</t>
  </si>
  <si>
    <t>CANELA</t>
  </si>
  <si>
    <t>COB</t>
  </si>
  <si>
    <t>COMBARBALA</t>
  </si>
  <si>
    <t>ILL</t>
  </si>
  <si>
    <t>ILLAPEL</t>
  </si>
  <si>
    <t>LSC</t>
  </si>
  <si>
    <t>LHC</t>
  </si>
  <si>
    <t>LA HIGUERA</t>
  </si>
  <si>
    <t>LVL</t>
  </si>
  <si>
    <t>LOS VILOS</t>
  </si>
  <si>
    <t>MPC</t>
  </si>
  <si>
    <t>MONTE PATRIA</t>
  </si>
  <si>
    <t>OVL</t>
  </si>
  <si>
    <t>PHO</t>
  </si>
  <si>
    <t>PAIGUANO</t>
  </si>
  <si>
    <t>PTQ</t>
  </si>
  <si>
    <t>PUNITAQUI</t>
  </si>
  <si>
    <t>RHU</t>
  </si>
  <si>
    <t>RIO HURTADO</t>
  </si>
  <si>
    <t>SCA</t>
  </si>
  <si>
    <t>SALAMANCA</t>
  </si>
  <si>
    <t>VCA</t>
  </si>
  <si>
    <t>VICUNA</t>
  </si>
  <si>
    <t>VALPARAISO (V)</t>
  </si>
  <si>
    <t>KNA</t>
  </si>
  <si>
    <t>ABO</t>
  </si>
  <si>
    <t>ALGARROBO</t>
  </si>
  <si>
    <t>CDO</t>
  </si>
  <si>
    <t>CABILDO</t>
  </si>
  <si>
    <t>CLG</t>
  </si>
  <si>
    <t>CALLE LARGA</t>
  </si>
  <si>
    <t>CRT</t>
  </si>
  <si>
    <t>CARTAGENA</t>
  </si>
  <si>
    <t>CBC</t>
  </si>
  <si>
    <t>CASABLANCA</t>
  </si>
  <si>
    <t>CAT</t>
  </si>
  <si>
    <t>CATEMU</t>
  </si>
  <si>
    <t>CON</t>
  </si>
  <si>
    <t>CONCON</t>
  </si>
  <si>
    <t>EQO</t>
  </si>
  <si>
    <t>EL QUISCO</t>
  </si>
  <si>
    <t>ETB</t>
  </si>
  <si>
    <t>EL TABO</t>
  </si>
  <si>
    <t>HJS</t>
  </si>
  <si>
    <t>HIJUELAS</t>
  </si>
  <si>
    <t>JFZ</t>
  </si>
  <si>
    <t>JUAN FERNANDEZ</t>
  </si>
  <si>
    <t>IPC</t>
  </si>
  <si>
    <t>ISLA DE PASCUA</t>
  </si>
  <si>
    <t>ZLC</t>
  </si>
  <si>
    <t>CALERA</t>
  </si>
  <si>
    <t>LCZ</t>
  </si>
  <si>
    <t>LA CRUZ</t>
  </si>
  <si>
    <t>LLC</t>
  </si>
  <si>
    <t>LA LIGUA</t>
  </si>
  <si>
    <t>LIC</t>
  </si>
  <si>
    <t>LIMACHE</t>
  </si>
  <si>
    <t>LLY</t>
  </si>
  <si>
    <t>LLAILLAY</t>
  </si>
  <si>
    <t>LOB</t>
  </si>
  <si>
    <t>NOG</t>
  </si>
  <si>
    <t>NOGALES</t>
  </si>
  <si>
    <t>OLM</t>
  </si>
  <si>
    <t>OLMUE</t>
  </si>
  <si>
    <t>PNQ</t>
  </si>
  <si>
    <t>PANQUEHUE</t>
  </si>
  <si>
    <t>PPO</t>
  </si>
  <si>
    <t>PAPUDO</t>
  </si>
  <si>
    <t>PTK</t>
  </si>
  <si>
    <t>PETORCA</t>
  </si>
  <si>
    <t>PCV</t>
  </si>
  <si>
    <t>PUCHUNCAVI</t>
  </si>
  <si>
    <t>PUT</t>
  </si>
  <si>
    <t>PUTAENDO</t>
  </si>
  <si>
    <t>QTA</t>
  </si>
  <si>
    <t>QUILLOTA</t>
  </si>
  <si>
    <t>QPE</t>
  </si>
  <si>
    <t>QUILPUE</t>
  </si>
  <si>
    <t>QTO</t>
  </si>
  <si>
    <t>QUINTERO</t>
  </si>
  <si>
    <t>RDA</t>
  </si>
  <si>
    <t>RINCONADA</t>
  </si>
  <si>
    <t>SDC</t>
  </si>
  <si>
    <t>SANTO DOMINGO</t>
  </si>
  <si>
    <t>SNT</t>
  </si>
  <si>
    <t>SAN ANTONIO</t>
  </si>
  <si>
    <t>SEN</t>
  </si>
  <si>
    <t>SAN ESTEBAN</t>
  </si>
  <si>
    <t>SFP</t>
  </si>
  <si>
    <t>SAN FELIPE</t>
  </si>
  <si>
    <t>SRI</t>
  </si>
  <si>
    <t>SANTA MARIA</t>
  </si>
  <si>
    <t>VAP</t>
  </si>
  <si>
    <t>VALPARAISO</t>
  </si>
  <si>
    <t>VIA</t>
  </si>
  <si>
    <t>VILLA ALEMANA</t>
  </si>
  <si>
    <t>ZAR</t>
  </si>
  <si>
    <t>ZAPALLAR</t>
  </si>
  <si>
    <t>O'HIGGINS (VI)</t>
  </si>
  <si>
    <t>RCG</t>
  </si>
  <si>
    <t>CHE</t>
  </si>
  <si>
    <t>CHEPICA</t>
  </si>
  <si>
    <t>CHB</t>
  </si>
  <si>
    <t>CHIMBARONGO</t>
  </si>
  <si>
    <t>ZDE</t>
  </si>
  <si>
    <t>CODEGUA</t>
  </si>
  <si>
    <t>CNO</t>
  </si>
  <si>
    <t>COINCO</t>
  </si>
  <si>
    <t>CTO</t>
  </si>
  <si>
    <t>COLTAUCO</t>
  </si>
  <si>
    <t>DNE</t>
  </si>
  <si>
    <t>DONIHUE</t>
  </si>
  <si>
    <t>GRA</t>
  </si>
  <si>
    <t>GRANEROS</t>
  </si>
  <si>
    <t>LAE</t>
  </si>
  <si>
    <t>LA ESTRELLA</t>
  </si>
  <si>
    <t>LCB</t>
  </si>
  <si>
    <t>LAS CABRAS</t>
  </si>
  <si>
    <t>LTU</t>
  </si>
  <si>
    <t>LITUECHE</t>
  </si>
  <si>
    <t>LOL</t>
  </si>
  <si>
    <t>LOLOL</t>
  </si>
  <si>
    <t>MCH</t>
  </si>
  <si>
    <t>MACHALI</t>
  </si>
  <si>
    <t>ZML</t>
  </si>
  <si>
    <t>MALLOA</t>
  </si>
  <si>
    <t>MRH</t>
  </si>
  <si>
    <t>MARCHIHUE</t>
  </si>
  <si>
    <t>NGA</t>
  </si>
  <si>
    <t>NANCAGUA</t>
  </si>
  <si>
    <t>NAV</t>
  </si>
  <si>
    <t>NAVIDAD</t>
  </si>
  <si>
    <t>OAL</t>
  </si>
  <si>
    <t>OLIVAR</t>
  </si>
  <si>
    <t>PLA</t>
  </si>
  <si>
    <t>PALMILLA</t>
  </si>
  <si>
    <t>PDS</t>
  </si>
  <si>
    <t>PAREDONES</t>
  </si>
  <si>
    <t>PEO</t>
  </si>
  <si>
    <t>PEUMO</t>
  </si>
  <si>
    <t>PHA</t>
  </si>
  <si>
    <t>PICHIDEGUA</t>
  </si>
  <si>
    <t>PMU</t>
  </si>
  <si>
    <t>PICHILEMU</t>
  </si>
  <si>
    <t>ZPE</t>
  </si>
  <si>
    <t>PERALILLO</t>
  </si>
  <si>
    <t>PLL</t>
  </si>
  <si>
    <t>PLACILLA</t>
  </si>
  <si>
    <t>PMQ</t>
  </si>
  <si>
    <t>PUMANQUE</t>
  </si>
  <si>
    <t>QCC</t>
  </si>
  <si>
    <t>QUINTA DE TILCOCO</t>
  </si>
  <si>
    <t>REQ</t>
  </si>
  <si>
    <t>REQUINOA</t>
  </si>
  <si>
    <t>ZRG</t>
  </si>
  <si>
    <t>RENGO</t>
  </si>
  <si>
    <t>SFR</t>
  </si>
  <si>
    <t>SAN FERNANDO</t>
  </si>
  <si>
    <t>SVT</t>
  </si>
  <si>
    <t>SAN VICENTE</t>
  </si>
  <si>
    <t>ZSC</t>
  </si>
  <si>
    <t>SANTA CRUZ</t>
  </si>
  <si>
    <t>SFM</t>
  </si>
  <si>
    <t>MOSTAZAL</t>
  </si>
  <si>
    <t>MAULE (VII)</t>
  </si>
  <si>
    <t>CCO</t>
  </si>
  <si>
    <t>ZCA</t>
  </si>
  <si>
    <t>CQE</t>
  </si>
  <si>
    <t>CAUQUENES</t>
  </si>
  <si>
    <t>CNC</t>
  </si>
  <si>
    <t>CHANCO</t>
  </si>
  <si>
    <t>CLB</t>
  </si>
  <si>
    <t>COLBUN</t>
  </si>
  <si>
    <t>CTT</t>
  </si>
  <si>
    <t>CONSTITUCION</t>
  </si>
  <si>
    <t>CUR</t>
  </si>
  <si>
    <t>CUREPTO</t>
  </si>
  <si>
    <t>EMP</t>
  </si>
  <si>
    <t>EMPEDRADO</t>
  </si>
  <si>
    <t>HNE</t>
  </si>
  <si>
    <t>HUALANE</t>
  </si>
  <si>
    <t>LCT</t>
  </si>
  <si>
    <t>LICANTEN</t>
  </si>
  <si>
    <t>LNR</t>
  </si>
  <si>
    <t>LINARES</t>
  </si>
  <si>
    <t>LGV</t>
  </si>
  <si>
    <t>LONGAVI</t>
  </si>
  <si>
    <t>ZMA</t>
  </si>
  <si>
    <t>MAULE</t>
  </si>
  <si>
    <t>ZMO</t>
  </si>
  <si>
    <t>MOLINA</t>
  </si>
  <si>
    <t>PRR</t>
  </si>
  <si>
    <t>PARRAL</t>
  </si>
  <si>
    <t>PLC</t>
  </si>
  <si>
    <t>PELARCO</t>
  </si>
  <si>
    <t>PEL</t>
  </si>
  <si>
    <t>PELLUHUE</t>
  </si>
  <si>
    <t>PEH</t>
  </si>
  <si>
    <t>PENCAHUE</t>
  </si>
  <si>
    <t>RAU</t>
  </si>
  <si>
    <t>RAUCO</t>
  </si>
  <si>
    <t>RCL</t>
  </si>
  <si>
    <t>RIO CLARO</t>
  </si>
  <si>
    <t>RTR</t>
  </si>
  <si>
    <t>RETIRO</t>
  </si>
  <si>
    <t>RML</t>
  </si>
  <si>
    <t>ROMERAL</t>
  </si>
  <si>
    <t>SFA</t>
  </si>
  <si>
    <t>SAGRADA FAMILIA</t>
  </si>
  <si>
    <t>STE</t>
  </si>
  <si>
    <t>SAN CLEMENTE</t>
  </si>
  <si>
    <t>SJA</t>
  </si>
  <si>
    <t>SAN JAVIER</t>
  </si>
  <si>
    <t>SRF</t>
  </si>
  <si>
    <t>SAN RAFAEL</t>
  </si>
  <si>
    <t>TEN</t>
  </si>
  <si>
    <t>TENO</t>
  </si>
  <si>
    <t>VCH</t>
  </si>
  <si>
    <t>VICHUQUEN</t>
  </si>
  <si>
    <t>VGE</t>
  </si>
  <si>
    <t>VILLA ALEGRE</t>
  </si>
  <si>
    <t>YBB</t>
  </si>
  <si>
    <t>YERBAS BUENAS</t>
  </si>
  <si>
    <t>ÑUBLE (XVI)</t>
  </si>
  <si>
    <t>YAI</t>
  </si>
  <si>
    <t>YAV</t>
  </si>
  <si>
    <t>CHILLAN VIEJO</t>
  </si>
  <si>
    <t>BLN</t>
  </si>
  <si>
    <t>BULNES</t>
  </si>
  <si>
    <t>CQU</t>
  </si>
  <si>
    <t>COBQUECURA</t>
  </si>
  <si>
    <t>ZOU</t>
  </si>
  <si>
    <t>COELEMU</t>
  </si>
  <si>
    <t>CUH</t>
  </si>
  <si>
    <t>COIHUECO</t>
  </si>
  <si>
    <t>YCX</t>
  </si>
  <si>
    <t>EL CARMEN</t>
  </si>
  <si>
    <t>NIN</t>
  </si>
  <si>
    <t>NINHUE</t>
  </si>
  <si>
    <t>NYY</t>
  </si>
  <si>
    <t>NIQUEN</t>
  </si>
  <si>
    <t>ZPC</t>
  </si>
  <si>
    <t>PEMUCO</t>
  </si>
  <si>
    <t>PNO</t>
  </si>
  <si>
    <t>PINTO</t>
  </si>
  <si>
    <t>49H</t>
  </si>
  <si>
    <t>PORTEZUELO</t>
  </si>
  <si>
    <t>QLL</t>
  </si>
  <si>
    <t>QUILLON</t>
  </si>
  <si>
    <t>QIH</t>
  </si>
  <si>
    <t>QUIRIHUE</t>
  </si>
  <si>
    <t>RNQ</t>
  </si>
  <si>
    <t>RANQUIL</t>
  </si>
  <si>
    <t>SCS</t>
  </si>
  <si>
    <t>SAN CARLOS</t>
  </si>
  <si>
    <t>SFB</t>
  </si>
  <si>
    <t>SAN FABIAN</t>
  </si>
  <si>
    <t>SIG</t>
  </si>
  <si>
    <t>SAN IGNACIO</t>
  </si>
  <si>
    <t>SNL</t>
  </si>
  <si>
    <t>SAN NICOLAS</t>
  </si>
  <si>
    <t>TRH</t>
  </si>
  <si>
    <t>TREHUACO</t>
  </si>
  <si>
    <t>YGY</t>
  </si>
  <si>
    <t>YUNGAY</t>
  </si>
  <si>
    <t>BIO-BIO (VIII)</t>
  </si>
  <si>
    <t>CCP</t>
  </si>
  <si>
    <t>AOO</t>
  </si>
  <si>
    <t>ALTO BIOBIO</t>
  </si>
  <si>
    <t>ANT</t>
  </si>
  <si>
    <t>ANTUCO</t>
  </si>
  <si>
    <t>ARA</t>
  </si>
  <si>
    <t>ARAUCO</t>
  </si>
  <si>
    <t>CRO</t>
  </si>
  <si>
    <t>CABRERO</t>
  </si>
  <si>
    <t>CTE</t>
  </si>
  <si>
    <t>CANETE</t>
  </si>
  <si>
    <t>CYE</t>
  </si>
  <si>
    <t>CHIGUAYANTE</t>
  </si>
  <si>
    <t>CTU</t>
  </si>
  <si>
    <t>CONTULMO</t>
  </si>
  <si>
    <t>CRN</t>
  </si>
  <si>
    <t>CORONEL</t>
  </si>
  <si>
    <t>ZHE</t>
  </si>
  <si>
    <t>CURANILAHUE</t>
  </si>
  <si>
    <t>FLO</t>
  </si>
  <si>
    <t>FLORIDA</t>
  </si>
  <si>
    <t>HLP</t>
  </si>
  <si>
    <t>HUALPEN</t>
  </si>
  <si>
    <t>HLQ</t>
  </si>
  <si>
    <t>HUALQUI</t>
  </si>
  <si>
    <t>LLJ</t>
  </si>
  <si>
    <t>LAJA</t>
  </si>
  <si>
    <t>ZLB</t>
  </si>
  <si>
    <t>LEBU</t>
  </si>
  <si>
    <t>LAL</t>
  </si>
  <si>
    <t>LOS ALAMOS</t>
  </si>
  <si>
    <t>LSQ</t>
  </si>
  <si>
    <t>LOT</t>
  </si>
  <si>
    <t>LOTA</t>
  </si>
  <si>
    <t>MUL</t>
  </si>
  <si>
    <t>MULCHEN</t>
  </si>
  <si>
    <t>NAC</t>
  </si>
  <si>
    <t>NACIMIENTO</t>
  </si>
  <si>
    <t>NRE</t>
  </si>
  <si>
    <t>NEGRETE</t>
  </si>
  <si>
    <t>PCO</t>
  </si>
  <si>
    <t>PENCO</t>
  </si>
  <si>
    <t>QCO</t>
  </si>
  <si>
    <t>QUILACO</t>
  </si>
  <si>
    <t>QLO</t>
  </si>
  <si>
    <t>QUILLECO</t>
  </si>
  <si>
    <t>SPP</t>
  </si>
  <si>
    <t>SAN PEDRO DE LA PAZ</t>
  </si>
  <si>
    <t>SRO</t>
  </si>
  <si>
    <t>SAN ROSENDO</t>
  </si>
  <si>
    <t>SBB</t>
  </si>
  <si>
    <t>SANTA BARBARA</t>
  </si>
  <si>
    <t>SJN</t>
  </si>
  <si>
    <t>SANTA JUANA</t>
  </si>
  <si>
    <t>ZTO</t>
  </si>
  <si>
    <t>TALCAHUANO</t>
  </si>
  <si>
    <t>TUA</t>
  </si>
  <si>
    <t>TIRUA</t>
  </si>
  <si>
    <t>TMC</t>
  </si>
  <si>
    <t>TOME</t>
  </si>
  <si>
    <t>TCP</t>
  </si>
  <si>
    <t>TUCAPEL</t>
  </si>
  <si>
    <t>ZYU</t>
  </si>
  <si>
    <t>YUMBEL</t>
  </si>
  <si>
    <t>ARAUCANIA (IX)</t>
  </si>
  <si>
    <t>ZCO</t>
  </si>
  <si>
    <t>ZOL</t>
  </si>
  <si>
    <t>ANGOL</t>
  </si>
  <si>
    <t>CRH</t>
  </si>
  <si>
    <t>CARAHUE</t>
  </si>
  <si>
    <t>CHL</t>
  </si>
  <si>
    <t>CHOL CHOL</t>
  </si>
  <si>
    <t>Medidas</t>
  </si>
  <si>
    <t xml:space="preserve">Factor </t>
  </si>
  <si>
    <t>CPI</t>
  </si>
  <si>
    <t>COLLIPULLI</t>
  </si>
  <si>
    <t>NCO</t>
  </si>
  <si>
    <t>CUNCO</t>
  </si>
  <si>
    <t>CCC</t>
  </si>
  <si>
    <t>CURACAUTIN</t>
  </si>
  <si>
    <t>RRH</t>
  </si>
  <si>
    <t>CURARREHUE</t>
  </si>
  <si>
    <t>ERL</t>
  </si>
  <si>
    <t>ERCILLA</t>
  </si>
  <si>
    <t>FIE</t>
  </si>
  <si>
    <t>FREIRE</t>
  </si>
  <si>
    <t>GAL</t>
  </si>
  <si>
    <t>GALVARINO</t>
  </si>
  <si>
    <t>GEA</t>
  </si>
  <si>
    <t>GORBEA</t>
  </si>
  <si>
    <t>LTR</t>
  </si>
  <si>
    <t>LAUTARO</t>
  </si>
  <si>
    <t>LOC</t>
  </si>
  <si>
    <t>LONCOCHE</t>
  </si>
  <si>
    <t>LQY</t>
  </si>
  <si>
    <t>LONQUIMAY</t>
  </si>
  <si>
    <t>SUS</t>
  </si>
  <si>
    <t>LOS SAUCES</t>
  </si>
  <si>
    <t>MLP</t>
  </si>
  <si>
    <t>MELIPEUCO</t>
  </si>
  <si>
    <t>NIP</t>
  </si>
  <si>
    <t>NUEVA IMPERIAL</t>
  </si>
  <si>
    <t>PCS</t>
  </si>
  <si>
    <t>PADRE LAS CASAS</t>
  </si>
  <si>
    <t>PQO</t>
  </si>
  <si>
    <t>PERQUENCO</t>
  </si>
  <si>
    <t>PQN</t>
  </si>
  <si>
    <t>PITRUFQUEN</t>
  </si>
  <si>
    <t>ZPU</t>
  </si>
  <si>
    <t>PUCON</t>
  </si>
  <si>
    <t>ZPS</t>
  </si>
  <si>
    <t>SAAVEDRA</t>
  </si>
  <si>
    <t>PUR</t>
  </si>
  <si>
    <t>PUREN</t>
  </si>
  <si>
    <t>RNA</t>
  </si>
  <si>
    <t>RENAICO</t>
  </si>
  <si>
    <t>TEO</t>
  </si>
  <si>
    <t>TEODORO SCHMIDT</t>
  </si>
  <si>
    <t>TOL</t>
  </si>
  <si>
    <t>TOLTEN</t>
  </si>
  <si>
    <t>ZEN</t>
  </si>
  <si>
    <t>TRAIGUEN</t>
  </si>
  <si>
    <t>LUM</t>
  </si>
  <si>
    <t>LUMACO</t>
  </si>
  <si>
    <t>VIC</t>
  </si>
  <si>
    <t>VICTORIA</t>
  </si>
  <si>
    <t>VIL</t>
  </si>
  <si>
    <t>VILCUN</t>
  </si>
  <si>
    <t>VRR</t>
  </si>
  <si>
    <t>VILLARRICA</t>
  </si>
  <si>
    <t>LOS RIOS (XIV)</t>
  </si>
  <si>
    <t>ZAL</t>
  </si>
  <si>
    <t>ZCR</t>
  </si>
  <si>
    <t>CORRAL</t>
  </si>
  <si>
    <t>FTR</t>
  </si>
  <si>
    <t>FUTRONO</t>
  </si>
  <si>
    <t>ZLU</t>
  </si>
  <si>
    <t>LA UNION</t>
  </si>
  <si>
    <t>LRO</t>
  </si>
  <si>
    <t>LAGO RANCO</t>
  </si>
  <si>
    <t>LNC</t>
  </si>
  <si>
    <t>LANCO</t>
  </si>
  <si>
    <t>LAG</t>
  </si>
  <si>
    <t>LOS LAGOS</t>
  </si>
  <si>
    <t>MFL</t>
  </si>
  <si>
    <t>MAFIL</t>
  </si>
  <si>
    <t>PAI</t>
  </si>
  <si>
    <t>PAILLACO</t>
  </si>
  <si>
    <t>PGP</t>
  </si>
  <si>
    <t>PANGUIPULLI</t>
  </si>
  <si>
    <t>RBN</t>
  </si>
  <si>
    <t>RIO BUENO</t>
  </si>
  <si>
    <t>MQA</t>
  </si>
  <si>
    <t>MARIQUINA</t>
  </si>
  <si>
    <t>LOS LAGOS (X)</t>
  </si>
  <si>
    <t>ZOS</t>
  </si>
  <si>
    <t>PMC</t>
  </si>
  <si>
    <t>ZCN</t>
  </si>
  <si>
    <t>CHAITEN</t>
  </si>
  <si>
    <t>CMO</t>
  </si>
  <si>
    <t>COCHAMO</t>
  </si>
  <si>
    <t>FTF</t>
  </si>
  <si>
    <t>FUTALEUFU</t>
  </si>
  <si>
    <t>HLH</t>
  </si>
  <si>
    <t>HUALAIHUE</t>
  </si>
  <si>
    <t>PLE</t>
  </si>
  <si>
    <t>PALENA</t>
  </si>
  <si>
    <t>SJD</t>
  </si>
  <si>
    <t>SAN JUAN DE LA COSTA</t>
  </si>
  <si>
    <t>ACD</t>
  </si>
  <si>
    <t>ANCUD</t>
  </si>
  <si>
    <t>CBU</t>
  </si>
  <si>
    <t>CALBUCO</t>
  </si>
  <si>
    <t>CTR</t>
  </si>
  <si>
    <t>QLE</t>
  </si>
  <si>
    <t>QUEILEN</t>
  </si>
  <si>
    <t>PQE</t>
  </si>
  <si>
    <t>PUQUELDON</t>
  </si>
  <si>
    <t>CVL</t>
  </si>
  <si>
    <t>CURACO DE VELEZ</t>
  </si>
  <si>
    <t>QUE</t>
  </si>
  <si>
    <t>QUEMCHI</t>
  </si>
  <si>
    <t>ZAO</t>
  </si>
  <si>
    <t>QUINCHAO</t>
  </si>
  <si>
    <t>ZCH</t>
  </si>
  <si>
    <t>CHONCHI</t>
  </si>
  <si>
    <t>DLE</t>
  </si>
  <si>
    <t>DALCAHUE</t>
  </si>
  <si>
    <t>FSA</t>
  </si>
  <si>
    <t>FRESIA</t>
  </si>
  <si>
    <t>FRT</t>
  </si>
  <si>
    <t>FRUTILLAR</t>
  </si>
  <si>
    <t>LLQ</t>
  </si>
  <si>
    <t>LLANQUIHUE</t>
  </si>
  <si>
    <t>LMU</t>
  </si>
  <si>
    <t>LOS MUERMOS</t>
  </si>
  <si>
    <t>MAU</t>
  </si>
  <si>
    <t>MAULLIN</t>
  </si>
  <si>
    <t>PCY</t>
  </si>
  <si>
    <t>PUERTO OCTAY</t>
  </si>
  <si>
    <t>PYH</t>
  </si>
  <si>
    <t>PUYEHUE</t>
  </si>
  <si>
    <t>ZPV</t>
  </si>
  <si>
    <t>PUERTO VARAS</t>
  </si>
  <si>
    <t>PRE</t>
  </si>
  <si>
    <t>PURRANQUE</t>
  </si>
  <si>
    <t>QLN</t>
  </si>
  <si>
    <t>QUELLON</t>
  </si>
  <si>
    <t>RNC</t>
  </si>
  <si>
    <t>RIO NEGRO</t>
  </si>
  <si>
    <t>SPL</t>
  </si>
  <si>
    <t>SAN PABLO</t>
  </si>
  <si>
    <t>ARICA Y PARINACOTA (XV)</t>
  </si>
  <si>
    <t>ARI</t>
  </si>
  <si>
    <t>CAM</t>
  </si>
  <si>
    <t>CAMARONES</t>
  </si>
  <si>
    <t>LGR</t>
  </si>
  <si>
    <t>GENERAL LAGOS</t>
  </si>
  <si>
    <t>PTR</t>
  </si>
  <si>
    <t>PUTRE</t>
  </si>
  <si>
    <t>TARAPACA (I)</t>
  </si>
  <si>
    <t>IQQ</t>
  </si>
  <si>
    <t>AHP</t>
  </si>
  <si>
    <t>ALTO HOSPICIO</t>
  </si>
  <si>
    <t>CMN</t>
  </si>
  <si>
    <t>CAMINA</t>
  </si>
  <si>
    <t>COE</t>
  </si>
  <si>
    <t>COLCHANE</t>
  </si>
  <si>
    <t>HRA</t>
  </si>
  <si>
    <t>HUARA</t>
  </si>
  <si>
    <t>OPC</t>
  </si>
  <si>
    <t>PICA</t>
  </si>
  <si>
    <t>PAM</t>
  </si>
  <si>
    <t>POZO ALMONTE</t>
  </si>
  <si>
    <t>ANTOFAGASTA (II)</t>
  </si>
  <si>
    <t>ANF</t>
  </si>
  <si>
    <t>CJC</t>
  </si>
  <si>
    <t>MAE</t>
  </si>
  <si>
    <t>MARIA ELENA</t>
  </si>
  <si>
    <t>MJS</t>
  </si>
  <si>
    <t>MEJILLONES</t>
  </si>
  <si>
    <t>OLL</t>
  </si>
  <si>
    <t>OLLAGUE</t>
  </si>
  <si>
    <t>SPX</t>
  </si>
  <si>
    <t>SAN PEDRO DE ATACAMA</t>
  </si>
  <si>
    <t>SGD</t>
  </si>
  <si>
    <t>SIERRA GORDA</t>
  </si>
  <si>
    <t>TTL</t>
  </si>
  <si>
    <t>TALTAL</t>
  </si>
  <si>
    <t>TOC</t>
  </si>
  <si>
    <t>TOCOPILLA</t>
  </si>
  <si>
    <t>AYSEN (XI)</t>
  </si>
  <si>
    <t>GXQ</t>
  </si>
  <si>
    <t>CCH</t>
  </si>
  <si>
    <t>CHILE CHICO</t>
  </si>
  <si>
    <t>CNS</t>
  </si>
  <si>
    <t>CISNES</t>
  </si>
  <si>
    <t>LVE</t>
  </si>
  <si>
    <t>LAGO VERDE</t>
  </si>
  <si>
    <t>GCA</t>
  </si>
  <si>
    <t>GUAITECAS</t>
  </si>
  <si>
    <t>OHG</t>
  </si>
  <si>
    <t>OHIGGINS</t>
  </si>
  <si>
    <t>TRT</t>
  </si>
  <si>
    <t>TORTEL</t>
  </si>
  <si>
    <t>CCL</t>
  </si>
  <si>
    <t>COCHRANE</t>
  </si>
  <si>
    <t>WPA</t>
  </si>
  <si>
    <t>AYSEN</t>
  </si>
  <si>
    <t>RIB</t>
  </si>
  <si>
    <t>RIO IBANEZ</t>
  </si>
  <si>
    <t>MAGALLANES (XII)</t>
  </si>
  <si>
    <t>PUQ</t>
  </si>
  <si>
    <t>LBL</t>
  </si>
  <si>
    <t>LAGUNA BLANCA</t>
  </si>
  <si>
    <t>ZPR</t>
  </si>
  <si>
    <t>PORVENIR</t>
  </si>
  <si>
    <t>PRI</t>
  </si>
  <si>
    <t>PRIMAVERA</t>
  </si>
  <si>
    <t>RVE</t>
  </si>
  <si>
    <t>RIO VERDE</t>
  </si>
  <si>
    <t>SGG</t>
  </si>
  <si>
    <t>SAN GREGORIO</t>
  </si>
  <si>
    <t>PTI</t>
  </si>
  <si>
    <t>TIMAUKEL</t>
  </si>
  <si>
    <t>HOR</t>
  </si>
  <si>
    <t>CABO DE HORNOS</t>
  </si>
  <si>
    <t>TRP</t>
  </si>
  <si>
    <t>TORRES DEL PAINE</t>
  </si>
  <si>
    <t>PNT</t>
  </si>
  <si>
    <t>NATALES</t>
  </si>
  <si>
    <t>ATC</t>
  </si>
  <si>
    <t>ANTARTICA</t>
  </si>
  <si>
    <t>Tarifa Servicio SAMEDAY</t>
  </si>
  <si>
    <t>REGION METROPOLITANA (XIII)</t>
  </si>
  <si>
    <t>SAMEDAY (RM)</t>
  </si>
  <si>
    <t>Propuesta generada el día 23 - 6 - 2025. Las tarifas tienen una vigencia de 2 meses para ser aceptadas.</t>
  </si>
  <si>
    <t>PROPUESTA 2EBOX UM - DESTINO PUNTO BLUE</t>
  </si>
  <si>
    <t>Tarifas Servicio EXPRESS</t>
  </si>
  <si>
    <t>🔵 Para el cálculo de tarifas se mantienen los mismos ponderadores declarados para Home Delivery.</t>
  </si>
  <si>
    <t>🔵 Tarifas válidas solo para envíos terrestres, no aplica para despachos aéreos para Extremos.</t>
  </si>
  <si>
    <t>🔵 El costo del envío está asociado al mayor valor entre el peso fisico y peso volumétrico. El peso volumétrico es igual a (largo*ancho*alto)/4.000.</t>
  </si>
  <si>
    <t>🔵 El kilo máximo admitido en Punto Pick up corresponde a 20 kg físico o cajas que no superen las dimensiones de 70x70x70 (cm)</t>
  </si>
  <si>
    <t>Ejemplo: tarifa Santiago 8 kg´s = $4251.</t>
  </si>
  <si>
    <t>Compromiso precio PUDO diferenciado:</t>
  </si>
  <si>
    <t>- La tarifa de entrega Punto PickUp y Estaciones COPEC se establece con el fin de incentivar la conversión de ventas y potenciar nuestra red. Este descuento debe verse reflejado proporcionalmente en el checkout.</t>
  </si>
  <si>
    <t>🔵 Envios a Comunas BORDER considera un costo fijo de $15000 adicional a la tarifa (ya incluido).</t>
  </si>
  <si>
    <t>🔵 El costo del envío esta asociado al mayor valor entre el peso físico y peso volumetrico. El peso volumetrico es igual a (largo*ancho*alto)/4.000.</t>
  </si>
  <si>
    <t>Ejemplo: tarifa Pudahuel 8 kg´s = $4251.</t>
  </si>
  <si>
    <t>MATRIZ DE TRANSITO (ÚLTIMA MILLA)</t>
  </si>
  <si>
    <t>Posibilidad SDD</t>
  </si>
  <si>
    <t>COD REGION</t>
  </si>
  <si>
    <t>NOM REGION</t>
  </si>
  <si>
    <t>COD COMUNA</t>
  </si>
  <si>
    <t>NOM COMUNA</t>
  </si>
  <si>
    <t>POSTA COMUNA</t>
  </si>
  <si>
    <t>Base</t>
  </si>
  <si>
    <t>Radio_COMUNA</t>
  </si>
  <si>
    <t>EXPRESS</t>
  </si>
  <si>
    <t>PRIORITY</t>
  </si>
  <si>
    <t>SAMEDAY (SDD)</t>
  </si>
  <si>
    <t>*Tiempos de promesa sujetos a revisión según realidad de los tiempos de despachos.</t>
  </si>
  <si>
    <t>Arica y Parinacota</t>
  </si>
  <si>
    <t>BASE</t>
  </si>
  <si>
    <t>NO</t>
  </si>
  <si>
    <t>BORDER</t>
  </si>
  <si>
    <t>Tarapacá</t>
  </si>
  <si>
    <t>INFLUENCIA</t>
  </si>
  <si>
    <t>EXTREMA</t>
  </si>
  <si>
    <t>Antofagasta</t>
  </si>
  <si>
    <t>Atacama</t>
  </si>
  <si>
    <t>MUY EXTREMA</t>
  </si>
  <si>
    <t>Coquimbo</t>
  </si>
  <si>
    <t>Valparaiso</t>
  </si>
  <si>
    <t>Metropolitana de Santiago</t>
  </si>
  <si>
    <t>SI</t>
  </si>
  <si>
    <t>Libertador General Bernardo O`Higgins</t>
  </si>
  <si>
    <t>Maule</t>
  </si>
  <si>
    <t>Ñuble</t>
  </si>
  <si>
    <t>Bío - Bío</t>
  </si>
  <si>
    <t>Araucanía</t>
  </si>
  <si>
    <t>Los Ríos</t>
  </si>
  <si>
    <t>Los Lagos</t>
  </si>
  <si>
    <t>Aysén</t>
  </si>
  <si>
    <t>Magallanes y la Antartica Chilena</t>
  </si>
  <si>
    <t>Peso Real</t>
  </si>
  <si>
    <t>&gt;</t>
  </si>
  <si>
    <t>=</t>
  </si>
  <si>
    <t>&lt;</t>
  </si>
  <si>
    <t>Telón 60"</t>
  </si>
  <si>
    <t>Telón 100"</t>
  </si>
  <si>
    <t>Comuna</t>
  </si>
  <si>
    <t>Modelo</t>
  </si>
  <si>
    <t>ñuble</t>
  </si>
  <si>
    <t>Envío Neto</t>
  </si>
  <si>
    <t>Envío Bruto</t>
  </si>
  <si>
    <t>Envío a Cobrar</t>
  </si>
  <si>
    <t>(ACTUALMENTE GRATIS)</t>
  </si>
  <si>
    <t>**SE TOMA EL VALOR MAYOR ENTRE PESO VOLUMEN Y PESO REAL</t>
  </si>
  <si>
    <r>
      <t xml:space="preserve">ESCRIBIR COMUNA AQUÍ
</t>
    </r>
    <r>
      <rPr>
        <b/>
        <sz val="8"/>
        <color theme="1"/>
        <rFont val="Aptos Narrow"/>
        <family val="2"/>
        <scheme val="minor"/>
      </rPr>
      <t>(MAYÚSCULA SIN TÍLDE)</t>
    </r>
  </si>
  <si>
    <t>Chimenea 40"</t>
  </si>
  <si>
    <t>Chimenea 50"</t>
  </si>
  <si>
    <t>Chimenea 60"</t>
  </si>
  <si>
    <t>Aumento Tarifa Enero 2026</t>
  </si>
  <si>
    <t>PROPUESTA 2EBOX UM - HOME DELIVERY (VALORES 2025)</t>
  </si>
  <si>
    <t>PESO</t>
  </si>
  <si>
    <t>Peso</t>
  </si>
  <si>
    <t>Peso (Kg)</t>
  </si>
  <si>
    <t>Largo (Cm)</t>
  </si>
  <si>
    <t>Ancho (Cm)</t>
  </si>
  <si>
    <t>Alto (Cm)</t>
  </si>
  <si>
    <t>Peso Volumen</t>
  </si>
  <si>
    <t>PESO VOLUMEN</t>
  </si>
  <si>
    <t>COBRAR ESTO</t>
  </si>
  <si>
    <t xml:space="preserve">ESCRIBIR COMUNA </t>
  </si>
  <si>
    <t>ESCRIBIR MAYOR APROXIMADO (EJ: 5,4 CM, ESCRIBIR 5,5)</t>
  </si>
  <si>
    <t>ESCRIBIR MAYOR APROXIMADO (EJ: 19,7 KG, ESCRIBIR 20 KG)</t>
  </si>
  <si>
    <t>Telón 100" + Trípode / Eléctrico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</si>
</sst>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d\-m"/>
    <numFmt numFmtId="165" formatCode="&quot;$&quot;#,##0"/>
    <numFmt numFmtId="166" formatCode="[$$-340A]\ #,##0"/>
  </numFmts>
  <fonts count="62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9"/>
      <color theme="1"/>
      <name val="Aptos Narrow"/>
      <family val="2"/>
    </font>
    <font>
      <sz val="11"/>
      <color theme="1"/>
      <name val="Aptos Narrow"/>
      <family val="2"/>
    </font>
    <font>
      <sz val="12"/>
      <color theme="1"/>
      <name val="Aptos Narrow"/>
      <family val="2"/>
    </font>
    <font>
      <sz val="11"/>
      <name val="Aptos Narrow"/>
      <family val="2"/>
    </font>
    <font>
      <b/>
      <sz val="12"/>
      <color theme="0"/>
      <name val="Aptos Narrow"/>
      <family val="2"/>
    </font>
    <font>
      <sz val="11"/>
      <color theme="1"/>
      <name val="Arial"/>
      <family val="2"/>
    </font>
    <font>
      <b/>
      <i/>
      <sz val="11"/>
      <color theme="1"/>
      <name val="Aptos Narrow"/>
      <family val="2"/>
    </font>
    <font>
      <b/>
      <sz val="18"/>
      <color theme="0"/>
      <name val="Poppins"/>
    </font>
    <font>
      <b/>
      <sz val="15"/>
      <color rgb="FFFFFFFF"/>
      <name val="Poppins"/>
    </font>
    <font>
      <b/>
      <u/>
      <sz val="11"/>
      <color theme="1"/>
      <name val="Poppins"/>
    </font>
    <font>
      <b/>
      <sz val="12"/>
      <color rgb="FF002060"/>
      <name val="Poppins"/>
    </font>
    <font>
      <sz val="11"/>
      <color theme="1"/>
      <name val="Poppins"/>
    </font>
    <font>
      <b/>
      <sz val="10"/>
      <color rgb="FFFFFFFF"/>
      <name val="Poppins"/>
    </font>
    <font>
      <b/>
      <sz val="11"/>
      <color rgb="FFFFFFFF"/>
      <name val="Poppins"/>
    </font>
    <font>
      <b/>
      <u/>
      <sz val="11"/>
      <color theme="1"/>
      <name val="Poppins"/>
    </font>
    <font>
      <sz val="11"/>
      <color rgb="FFFFFFFF"/>
      <name val="Poppins"/>
    </font>
    <font>
      <sz val="11"/>
      <color rgb="FF000000"/>
      <name val="Poppins"/>
    </font>
    <font>
      <b/>
      <sz val="11"/>
      <color rgb="FF002060"/>
      <name val="Poppins"/>
    </font>
    <font>
      <b/>
      <u/>
      <sz val="12"/>
      <color theme="1"/>
      <name val="Poppins"/>
    </font>
    <font>
      <b/>
      <sz val="11"/>
      <color theme="0"/>
      <name val="Poppins"/>
    </font>
    <font>
      <sz val="10"/>
      <color theme="1"/>
      <name val="Poppins"/>
    </font>
    <font>
      <b/>
      <sz val="8"/>
      <color rgb="FFFFFFFF"/>
      <name val="Arial"/>
      <family val="2"/>
    </font>
    <font>
      <sz val="8"/>
      <color rgb="FFFFFFFF"/>
      <name val="Arial"/>
      <family val="2"/>
    </font>
    <font>
      <sz val="8"/>
      <color theme="1"/>
      <name val="Arial"/>
      <family val="2"/>
    </font>
    <font>
      <sz val="8"/>
      <color theme="1"/>
      <name val="Aptos Narrow"/>
      <family val="2"/>
    </font>
    <font>
      <b/>
      <sz val="10"/>
      <color theme="0"/>
      <name val="Poppins"/>
    </font>
    <font>
      <sz val="10"/>
      <color theme="1"/>
      <name val="Arial"/>
      <family val="2"/>
    </font>
    <font>
      <b/>
      <sz val="14"/>
      <color rgb="FFFFFFFF"/>
      <name val="Poppins"/>
    </font>
    <font>
      <b/>
      <u/>
      <sz val="12"/>
      <color theme="1"/>
      <name val="Poppins"/>
    </font>
    <font>
      <b/>
      <sz val="11"/>
      <color theme="1"/>
      <name val="Poppins"/>
    </font>
    <font>
      <sz val="11"/>
      <color theme="1"/>
      <name val="Calibri"/>
      <family val="2"/>
    </font>
    <font>
      <b/>
      <i/>
      <sz val="11"/>
      <color rgb="FFFFFFFF"/>
      <name val="Calibri"/>
      <family val="2"/>
    </font>
    <font>
      <sz val="11"/>
      <color theme="0"/>
      <name val="Poppins"/>
    </font>
    <font>
      <sz val="11"/>
      <color theme="0"/>
      <name val="Calibri"/>
      <family val="2"/>
    </font>
    <font>
      <sz val="11"/>
      <color rgb="FFFFFFFF"/>
      <name val="Calibri"/>
      <family val="2"/>
    </font>
    <font>
      <sz val="11"/>
      <color theme="1"/>
      <name val="Arial"/>
      <family val="2"/>
    </font>
    <font>
      <b/>
      <sz val="11"/>
      <color theme="1"/>
      <name val="Aptos Narrow"/>
      <family val="2"/>
    </font>
    <font>
      <b/>
      <sz val="11"/>
      <color rgb="FFFFFFFF"/>
      <name val="Calibri"/>
      <family val="2"/>
    </font>
    <font>
      <b/>
      <sz val="12"/>
      <color rgb="FFFFFFFF"/>
      <name val="Poppins"/>
    </font>
    <font>
      <b/>
      <sz val="18"/>
      <color theme="0"/>
      <name val="Aptos Narrow"/>
      <family val="2"/>
    </font>
    <font>
      <b/>
      <u/>
      <sz val="11"/>
      <color theme="1"/>
      <name val="Poppins"/>
    </font>
    <font>
      <b/>
      <sz val="11"/>
      <color theme="1"/>
      <name val="Calibri"/>
      <family val="2"/>
    </font>
    <font>
      <b/>
      <sz val="11"/>
      <color theme="0"/>
      <name val="Aptos Narrow"/>
      <family val="2"/>
    </font>
    <font>
      <sz val="11"/>
      <color theme="0"/>
      <name val="Aptos Narrow"/>
      <family val="2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rial"/>
      <family val="2"/>
    </font>
    <font>
      <b/>
      <sz val="12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9"/>
      <color rgb="FFFFFFFF"/>
      <name val="Poppins"/>
    </font>
    <font>
      <b/>
      <sz val="11"/>
      <color theme="1"/>
      <name val="Aptos Narrow"/>
      <family val="2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00B0F0"/>
        <bgColor rgb="FF00B0F0"/>
      </patternFill>
    </fill>
    <fill>
      <patternFill patternType="solid">
        <fgColor rgb="FFD8D8D8"/>
        <bgColor rgb="FFD8D8D8"/>
      </patternFill>
    </fill>
    <fill>
      <patternFill patternType="solid">
        <fgColor rgb="FF0F4861"/>
        <bgColor rgb="FF0F4861"/>
      </patternFill>
    </fill>
    <fill>
      <patternFill patternType="solid">
        <fgColor rgb="FF0070C0"/>
        <bgColor rgb="FF0070C0"/>
      </patternFill>
    </fill>
    <fill>
      <patternFill patternType="solid">
        <fgColor rgb="FFC1E4F5"/>
        <bgColor rgb="FFC1E4F5"/>
      </patternFill>
    </fill>
    <fill>
      <patternFill patternType="solid">
        <fgColor rgb="FFFFFFFF"/>
        <bgColor rgb="FFFFFFFF"/>
      </patternFill>
    </fill>
    <fill>
      <patternFill patternType="solid">
        <fgColor theme="5"/>
        <bgColor theme="5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D0D0D0"/>
        <bgColor rgb="FFD0D0D0"/>
      </patternFill>
    </fill>
    <fill>
      <patternFill patternType="solid">
        <fgColor rgb="FF4F81BD"/>
        <bgColor rgb="FF4F81BD"/>
      </patternFill>
    </fill>
    <fill>
      <patternFill patternType="solid">
        <fgColor rgb="FF00B050"/>
        <bgColor rgb="FF00B050"/>
      </patternFill>
    </fill>
    <fill>
      <patternFill patternType="solid">
        <fgColor rgb="FFECECEC"/>
        <bgColor rgb="FFECECEC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000"/>
        <bgColor rgb="FFCFE2F3"/>
      </patternFill>
    </fill>
  </fills>
  <borders count="7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49" fillId="0" borderId="0" applyFont="0" applyFill="0" applyBorder="0" applyAlignment="0" applyProtection="0"/>
    <xf numFmtId="9" fontId="58" fillId="0" borderId="0" applyFont="0" applyFill="0" applyBorder="0" applyAlignment="0" applyProtection="0"/>
    <xf numFmtId="41" fontId="61" fillId="0" borderId="0" applyFont="0" applyFill="0" applyBorder="0" applyAlignment="0" applyProtection="0"/>
  </cellStyleXfs>
  <cellXfs count="232">
    <xf numFmtId="0" fontId="0" fillId="0" borderId="0" xfId="0"/>
    <xf numFmtId="0" fontId="5" fillId="0" borderId="0" xfId="0" applyFont="1"/>
    <xf numFmtId="0" fontId="6" fillId="0" borderId="0" xfId="0" applyFont="1"/>
    <xf numFmtId="0" fontId="10" fillId="0" borderId="0" xfId="0" applyFont="1"/>
    <xf numFmtId="0" fontId="11" fillId="0" borderId="0" xfId="0" applyFont="1"/>
    <xf numFmtId="0" fontId="14" fillId="0" borderId="0" xfId="0" applyFont="1"/>
    <xf numFmtId="0" fontId="15" fillId="4" borderId="13" xfId="0" applyFont="1" applyFill="1" applyBorder="1" applyAlignment="1">
      <alignment horizontal="center" vertical="center"/>
    </xf>
    <xf numFmtId="0" fontId="16" fillId="0" borderId="0" xfId="0" applyFont="1" applyAlignment="1">
      <alignment horizontal="left"/>
    </xf>
    <xf numFmtId="0" fontId="17" fillId="5" borderId="13" xfId="0" applyFont="1" applyFill="1" applyBorder="1" applyAlignment="1">
      <alignment horizontal="left" vertical="center" wrapText="1"/>
    </xf>
    <xf numFmtId="0" fontId="18" fillId="2" borderId="17" xfId="0" applyFont="1" applyFill="1" applyBorder="1" applyAlignment="1">
      <alignment horizontal="center" vertical="center"/>
    </xf>
    <xf numFmtId="164" fontId="18" fillId="2" borderId="17" xfId="0" quotePrefix="1" applyNumberFormat="1" applyFont="1" applyFill="1" applyBorder="1" applyAlignment="1">
      <alignment horizontal="center" vertical="center"/>
    </xf>
    <xf numFmtId="0" fontId="18" fillId="2" borderId="17" xfId="0" quotePrefix="1" applyFont="1" applyFill="1" applyBorder="1" applyAlignment="1">
      <alignment horizontal="center" vertical="center"/>
    </xf>
    <xf numFmtId="0" fontId="18" fillId="2" borderId="18" xfId="0" quotePrefix="1" applyFont="1" applyFill="1" applyBorder="1" applyAlignment="1">
      <alignment horizontal="center" vertical="center"/>
    </xf>
    <xf numFmtId="0" fontId="19" fillId="0" borderId="0" xfId="0" applyFont="1" applyAlignment="1">
      <alignment horizontal="left"/>
    </xf>
    <xf numFmtId="0" fontId="20" fillId="6" borderId="19" xfId="0" applyFont="1" applyFill="1" applyBorder="1" applyAlignment="1">
      <alignment horizontal="left" vertical="center"/>
    </xf>
    <xf numFmtId="165" fontId="21" fillId="0" borderId="0" xfId="0" applyNumberFormat="1" applyFont="1" applyAlignment="1">
      <alignment horizontal="center" vertical="center"/>
    </xf>
    <xf numFmtId="165" fontId="21" fillId="7" borderId="20" xfId="0" applyNumberFormat="1" applyFont="1" applyFill="1" applyBorder="1" applyAlignment="1">
      <alignment horizontal="center" vertical="center"/>
    </xf>
    <xf numFmtId="165" fontId="21" fillId="7" borderId="21" xfId="0" applyNumberFormat="1" applyFont="1" applyFill="1" applyBorder="1" applyAlignment="1">
      <alignment horizontal="center" vertical="center"/>
    </xf>
    <xf numFmtId="0" fontId="20" fillId="6" borderId="22" xfId="0" applyFont="1" applyFill="1" applyBorder="1" applyAlignment="1">
      <alignment horizontal="left" vertical="center"/>
    </xf>
    <xf numFmtId="165" fontId="21" fillId="0" borderId="23" xfId="0" applyNumberFormat="1" applyFont="1" applyBorder="1" applyAlignment="1">
      <alignment horizontal="center" vertical="center"/>
    </xf>
    <xf numFmtId="165" fontId="21" fillId="7" borderId="24" xfId="0" applyNumberFormat="1" applyFont="1" applyFill="1" applyBorder="1" applyAlignment="1">
      <alignment horizontal="center" vertical="center"/>
    </xf>
    <xf numFmtId="165" fontId="21" fillId="7" borderId="25" xfId="0" applyNumberFormat="1" applyFont="1" applyFill="1" applyBorder="1" applyAlignment="1">
      <alignment horizontal="center" vertical="center"/>
    </xf>
    <xf numFmtId="0" fontId="22" fillId="4" borderId="26" xfId="0" applyFont="1" applyFill="1" applyBorder="1" applyAlignment="1">
      <alignment horizontal="left" vertical="center"/>
    </xf>
    <xf numFmtId="165" fontId="21" fillId="4" borderId="27" xfId="0" applyNumberFormat="1" applyFont="1" applyFill="1" applyBorder="1" applyAlignment="1">
      <alignment horizontal="center" vertical="center"/>
    </xf>
    <xf numFmtId="165" fontId="21" fillId="4" borderId="28" xfId="0" applyNumberFormat="1" applyFont="1" applyFill="1" applyBorder="1" applyAlignment="1">
      <alignment horizontal="center" vertical="center"/>
    </xf>
    <xf numFmtId="165" fontId="21" fillId="4" borderId="29" xfId="0" applyNumberFormat="1" applyFont="1" applyFill="1" applyBorder="1" applyAlignment="1">
      <alignment horizontal="center" vertical="center"/>
    </xf>
    <xf numFmtId="0" fontId="23" fillId="8" borderId="30" xfId="0" applyFont="1" applyFill="1" applyBorder="1" applyAlignment="1">
      <alignment vertical="center"/>
    </xf>
    <xf numFmtId="0" fontId="10" fillId="0" borderId="0" xfId="0" applyFont="1" applyAlignment="1">
      <alignment wrapText="1"/>
    </xf>
    <xf numFmtId="0" fontId="26" fillId="0" borderId="0" xfId="0" applyFont="1"/>
    <xf numFmtId="0" fontId="27" fillId="0" borderId="0" xfId="0" applyFont="1"/>
    <xf numFmtId="0" fontId="28" fillId="0" borderId="0" xfId="0" applyFont="1"/>
    <xf numFmtId="0" fontId="28" fillId="0" borderId="0" xfId="0" applyFont="1" applyAlignment="1">
      <alignment horizontal="left"/>
    </xf>
    <xf numFmtId="0" fontId="28" fillId="0" borderId="0" xfId="0" applyFont="1" applyAlignment="1">
      <alignment horizontal="center"/>
    </xf>
    <xf numFmtId="0" fontId="29" fillId="0" borderId="0" xfId="0" applyFont="1"/>
    <xf numFmtId="0" fontId="33" fillId="0" borderId="0" xfId="0" applyFont="1"/>
    <xf numFmtId="0" fontId="34" fillId="0" borderId="0" xfId="0" applyFont="1"/>
    <xf numFmtId="165" fontId="21" fillId="9" borderId="24" xfId="0" applyNumberFormat="1" applyFont="1" applyFill="1" applyBorder="1" applyAlignment="1">
      <alignment horizontal="center" vertical="center"/>
    </xf>
    <xf numFmtId="165" fontId="21" fillId="9" borderId="25" xfId="0" applyNumberFormat="1" applyFont="1" applyFill="1" applyBorder="1" applyAlignment="1">
      <alignment horizontal="center" vertical="center"/>
    </xf>
    <xf numFmtId="0" fontId="35" fillId="0" borderId="0" xfId="0" applyFont="1"/>
    <xf numFmtId="0" fontId="36" fillId="0" borderId="0" xfId="0" applyFont="1" applyAlignment="1">
      <alignment horizontal="center"/>
    </xf>
    <xf numFmtId="0" fontId="22" fillId="0" borderId="34" xfId="0" applyFont="1" applyBorder="1" applyAlignment="1">
      <alignment horizontal="center" vertical="center"/>
    </xf>
    <xf numFmtId="0" fontId="16" fillId="0" borderId="35" xfId="0" applyFont="1" applyBorder="1" applyAlignment="1">
      <alignment horizontal="center"/>
    </xf>
    <xf numFmtId="0" fontId="37" fillId="0" borderId="35" xfId="0" applyFont="1" applyBorder="1" applyAlignment="1">
      <alignment horizontal="center"/>
    </xf>
    <xf numFmtId="0" fontId="37" fillId="0" borderId="36" xfId="0" applyFont="1" applyBorder="1" applyAlignment="1">
      <alignment horizontal="center"/>
    </xf>
    <xf numFmtId="0" fontId="38" fillId="0" borderId="0" xfId="0" applyFont="1" applyAlignment="1">
      <alignment horizontal="center"/>
    </xf>
    <xf numFmtId="0" fontId="18" fillId="5" borderId="41" xfId="0" applyFont="1" applyFill="1" applyBorder="1" applyAlignment="1">
      <alignment horizontal="center" vertical="center"/>
    </xf>
    <xf numFmtId="0" fontId="18" fillId="5" borderId="27" xfId="0" applyFont="1" applyFill="1" applyBorder="1" applyAlignment="1">
      <alignment horizontal="center" vertical="center"/>
    </xf>
    <xf numFmtId="0" fontId="18" fillId="5" borderId="27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center" vertical="center"/>
    </xf>
    <xf numFmtId="164" fontId="18" fillId="2" borderId="27" xfId="0" quotePrefix="1" applyNumberFormat="1" applyFont="1" applyFill="1" applyBorder="1" applyAlignment="1">
      <alignment horizontal="center" vertical="center"/>
    </xf>
    <xf numFmtId="0" fontId="18" fillId="2" borderId="27" xfId="0" quotePrefix="1" applyFont="1" applyFill="1" applyBorder="1" applyAlignment="1">
      <alignment horizontal="center" vertical="center"/>
    </xf>
    <xf numFmtId="0" fontId="18" fillId="2" borderId="29" xfId="0" quotePrefix="1" applyFont="1" applyFill="1" applyBorder="1" applyAlignment="1">
      <alignment horizontal="center" vertical="center"/>
    </xf>
    <xf numFmtId="0" fontId="39" fillId="0" borderId="0" xfId="0" applyFont="1" applyAlignment="1">
      <alignment horizontal="center"/>
    </xf>
    <xf numFmtId="0" fontId="20" fillId="6" borderId="42" xfId="0" applyFont="1" applyFill="1" applyBorder="1" applyAlignment="1">
      <alignment horizontal="center" vertical="center"/>
    </xf>
    <xf numFmtId="0" fontId="20" fillId="6" borderId="43" xfId="0" applyFont="1" applyFill="1" applyBorder="1" applyAlignment="1">
      <alignment horizontal="center" vertical="center"/>
    </xf>
    <xf numFmtId="0" fontId="20" fillId="6" borderId="44" xfId="0" applyFont="1" applyFill="1" applyBorder="1" applyAlignment="1">
      <alignment horizontal="center" vertical="center"/>
    </xf>
    <xf numFmtId="165" fontId="16" fillId="0" borderId="34" xfId="0" applyNumberFormat="1" applyFont="1" applyBorder="1" applyAlignment="1">
      <alignment horizontal="center" vertical="center"/>
    </xf>
    <xf numFmtId="165" fontId="16" fillId="0" borderId="35" xfId="0" applyNumberFormat="1" applyFont="1" applyBorder="1" applyAlignment="1">
      <alignment horizontal="center" vertical="center"/>
    </xf>
    <xf numFmtId="165" fontId="16" fillId="7" borderId="45" xfId="0" applyNumberFormat="1" applyFont="1" applyFill="1" applyBorder="1" applyAlignment="1">
      <alignment horizontal="center" vertical="center"/>
    </xf>
    <xf numFmtId="165" fontId="16" fillId="7" borderId="46" xfId="0" applyNumberFormat="1" applyFont="1" applyFill="1" applyBorder="1" applyAlignment="1">
      <alignment horizontal="center" vertical="center"/>
    </xf>
    <xf numFmtId="165" fontId="35" fillId="0" borderId="0" xfId="0" applyNumberFormat="1" applyFont="1" applyAlignment="1">
      <alignment horizontal="center"/>
    </xf>
    <xf numFmtId="0" fontId="20" fillId="6" borderId="47" xfId="0" applyFont="1" applyFill="1" applyBorder="1" applyAlignment="1">
      <alignment horizontal="center" vertical="center"/>
    </xf>
    <xf numFmtId="0" fontId="20" fillId="6" borderId="48" xfId="0" applyFont="1" applyFill="1" applyBorder="1" applyAlignment="1">
      <alignment horizontal="center" vertical="center"/>
    </xf>
    <xf numFmtId="0" fontId="20" fillId="6" borderId="17" xfId="0" applyFont="1" applyFill="1" applyBorder="1" applyAlignment="1">
      <alignment horizontal="center" vertical="center"/>
    </xf>
    <xf numFmtId="165" fontId="16" fillId="0" borderId="39" xfId="0" applyNumberFormat="1" applyFont="1" applyBorder="1" applyAlignment="1">
      <alignment horizontal="center" vertical="center"/>
    </xf>
    <xf numFmtId="165" fontId="16" fillId="0" borderId="0" xfId="0" applyNumberFormat="1" applyFont="1" applyAlignment="1">
      <alignment horizontal="center" vertical="center"/>
    </xf>
    <xf numFmtId="165" fontId="16" fillId="7" borderId="20" xfId="0" applyNumberFormat="1" applyFont="1" applyFill="1" applyBorder="1" applyAlignment="1">
      <alignment horizontal="center" vertical="center"/>
    </xf>
    <xf numFmtId="165" fontId="16" fillId="7" borderId="21" xfId="0" applyNumberFormat="1" applyFont="1" applyFill="1" applyBorder="1" applyAlignment="1">
      <alignment horizontal="center" vertical="center"/>
    </xf>
    <xf numFmtId="0" fontId="20" fillId="6" borderId="49" xfId="0" applyFont="1" applyFill="1" applyBorder="1" applyAlignment="1">
      <alignment horizontal="center" vertical="center"/>
    </xf>
    <xf numFmtId="0" fontId="20" fillId="6" borderId="50" xfId="0" applyFont="1" applyFill="1" applyBorder="1" applyAlignment="1">
      <alignment horizontal="center" vertical="center"/>
    </xf>
    <xf numFmtId="0" fontId="20" fillId="6" borderId="51" xfId="0" applyFont="1" applyFill="1" applyBorder="1" applyAlignment="1">
      <alignment horizontal="center" vertical="center"/>
    </xf>
    <xf numFmtId="165" fontId="16" fillId="0" borderId="37" xfId="0" applyNumberFormat="1" applyFont="1" applyBorder="1" applyAlignment="1">
      <alignment horizontal="center" vertical="center"/>
    </xf>
    <xf numFmtId="165" fontId="16" fillId="0" borderId="23" xfId="0" applyNumberFormat="1" applyFont="1" applyBorder="1" applyAlignment="1">
      <alignment horizontal="center" vertical="center"/>
    </xf>
    <xf numFmtId="165" fontId="16" fillId="7" borderId="24" xfId="0" applyNumberFormat="1" applyFont="1" applyFill="1" applyBorder="1" applyAlignment="1">
      <alignment horizontal="center" vertical="center"/>
    </xf>
    <xf numFmtId="165" fontId="16" fillId="7" borderId="25" xfId="0" applyNumberFormat="1" applyFont="1" applyFill="1" applyBorder="1" applyAlignment="1">
      <alignment horizontal="center" vertical="center"/>
    </xf>
    <xf numFmtId="0" fontId="20" fillId="6" borderId="52" xfId="0" applyFont="1" applyFill="1" applyBorder="1" applyAlignment="1">
      <alignment horizontal="center" vertical="center"/>
    </xf>
    <xf numFmtId="0" fontId="20" fillId="6" borderId="53" xfId="0" applyFont="1" applyFill="1" applyBorder="1" applyAlignment="1">
      <alignment horizontal="center" vertical="center"/>
    </xf>
    <xf numFmtId="0" fontId="20" fillId="6" borderId="54" xfId="0" applyFont="1" applyFill="1" applyBorder="1" applyAlignment="1">
      <alignment horizontal="center" vertical="center"/>
    </xf>
    <xf numFmtId="0" fontId="40" fillId="10" borderId="55" xfId="0" applyFont="1" applyFill="1" applyBorder="1" applyAlignment="1">
      <alignment horizontal="center"/>
    </xf>
    <xf numFmtId="0" fontId="10" fillId="10" borderId="55" xfId="0" applyFont="1" applyFill="1" applyBorder="1" applyAlignment="1">
      <alignment horizontal="center"/>
    </xf>
    <xf numFmtId="0" fontId="20" fillId="6" borderId="56" xfId="0" applyFont="1" applyFill="1" applyBorder="1" applyAlignment="1">
      <alignment horizontal="center" vertical="center"/>
    </xf>
    <xf numFmtId="0" fontId="20" fillId="6" borderId="57" xfId="0" applyFont="1" applyFill="1" applyBorder="1" applyAlignment="1">
      <alignment horizontal="center" vertical="center"/>
    </xf>
    <xf numFmtId="0" fontId="20" fillId="6" borderId="58" xfId="0" applyFont="1" applyFill="1" applyBorder="1" applyAlignment="1">
      <alignment horizontal="center" vertical="center"/>
    </xf>
    <xf numFmtId="0" fontId="42" fillId="0" borderId="0" xfId="0" applyFont="1" applyAlignment="1">
      <alignment horizontal="center"/>
    </xf>
    <xf numFmtId="0" fontId="18" fillId="2" borderId="41" xfId="0" applyFont="1" applyFill="1" applyBorder="1" applyAlignment="1">
      <alignment horizontal="center" vertical="center"/>
    </xf>
    <xf numFmtId="0" fontId="18" fillId="2" borderId="59" xfId="0" applyFont="1" applyFill="1" applyBorder="1" applyAlignment="1">
      <alignment horizontal="center" vertical="center"/>
    </xf>
    <xf numFmtId="0" fontId="43" fillId="2" borderId="27" xfId="0" applyFont="1" applyFill="1" applyBorder="1" applyAlignment="1">
      <alignment horizontal="center" vertical="center"/>
    </xf>
    <xf numFmtId="164" fontId="43" fillId="2" borderId="27" xfId="0" quotePrefix="1" applyNumberFormat="1" applyFont="1" applyFill="1" applyBorder="1" applyAlignment="1">
      <alignment horizontal="center" vertical="center"/>
    </xf>
    <xf numFmtId="0" fontId="43" fillId="2" borderId="27" xfId="0" quotePrefix="1" applyFont="1" applyFill="1" applyBorder="1" applyAlignment="1">
      <alignment horizontal="center" vertical="center"/>
    </xf>
    <xf numFmtId="0" fontId="43" fillId="2" borderId="29" xfId="0" quotePrefix="1" applyFont="1" applyFill="1" applyBorder="1" applyAlignment="1">
      <alignment horizontal="center" vertical="center"/>
    </xf>
    <xf numFmtId="49" fontId="39" fillId="0" borderId="0" xfId="0" applyNumberFormat="1" applyFont="1" applyAlignment="1">
      <alignment horizontal="center"/>
    </xf>
    <xf numFmtId="0" fontId="20" fillId="6" borderId="62" xfId="0" applyFont="1" applyFill="1" applyBorder="1" applyAlignment="1">
      <alignment horizontal="center" vertical="center"/>
    </xf>
    <xf numFmtId="165" fontId="16" fillId="0" borderId="63" xfId="0" applyNumberFormat="1" applyFont="1" applyBorder="1" applyAlignment="1">
      <alignment horizontal="center" vertical="center"/>
    </xf>
    <xf numFmtId="165" fontId="16" fillId="9" borderId="24" xfId="0" applyNumberFormat="1" applyFont="1" applyFill="1" applyBorder="1" applyAlignment="1">
      <alignment horizontal="center" vertical="center"/>
    </xf>
    <xf numFmtId="165" fontId="16" fillId="9" borderId="64" xfId="0" applyNumberFormat="1" applyFont="1" applyFill="1" applyBorder="1" applyAlignment="1">
      <alignment horizontal="center" vertical="center"/>
    </xf>
    <xf numFmtId="0" fontId="15" fillId="12" borderId="13" xfId="0" applyFont="1" applyFill="1" applyBorder="1" applyAlignment="1">
      <alignment horizontal="center" vertical="center"/>
    </xf>
    <xf numFmtId="0" fontId="45" fillId="0" borderId="0" xfId="0" quotePrefix="1" applyFont="1" applyAlignment="1">
      <alignment horizontal="left"/>
    </xf>
    <xf numFmtId="0" fontId="16" fillId="0" borderId="65" xfId="0" applyFont="1" applyBorder="1" applyAlignment="1">
      <alignment horizontal="left"/>
    </xf>
    <xf numFmtId="0" fontId="6" fillId="0" borderId="66" xfId="0" applyFont="1" applyBorder="1"/>
    <xf numFmtId="0" fontId="6" fillId="0" borderId="67" xfId="0" applyFont="1" applyBorder="1"/>
    <xf numFmtId="0" fontId="22" fillId="12" borderId="26" xfId="0" applyFont="1" applyFill="1" applyBorder="1" applyAlignment="1">
      <alignment horizontal="left" vertical="center"/>
    </xf>
    <xf numFmtId="165" fontId="21" fillId="12" borderId="27" xfId="0" applyNumberFormat="1" applyFont="1" applyFill="1" applyBorder="1" applyAlignment="1">
      <alignment horizontal="center" vertical="center"/>
    </xf>
    <xf numFmtId="165" fontId="21" fillId="12" borderId="28" xfId="0" applyNumberFormat="1" applyFont="1" applyFill="1" applyBorder="1" applyAlignment="1">
      <alignment horizontal="center" vertical="center"/>
    </xf>
    <xf numFmtId="165" fontId="21" fillId="12" borderId="29" xfId="0" applyNumberFormat="1" applyFont="1" applyFill="1" applyBorder="1" applyAlignment="1">
      <alignment horizontal="center" vertical="center"/>
    </xf>
    <xf numFmtId="0" fontId="46" fillId="0" borderId="34" xfId="0" applyFont="1" applyBorder="1" applyAlignment="1">
      <alignment horizontal="center"/>
    </xf>
    <xf numFmtId="0" fontId="35" fillId="0" borderId="32" xfId="0" applyFont="1" applyBorder="1" applyAlignment="1">
      <alignment horizontal="center"/>
    </xf>
    <xf numFmtId="0" fontId="38" fillId="0" borderId="32" xfId="0" applyFont="1" applyBorder="1" applyAlignment="1">
      <alignment horizontal="center"/>
    </xf>
    <xf numFmtId="0" fontId="38" fillId="0" borderId="33" xfId="0" applyFont="1" applyBorder="1" applyAlignment="1">
      <alignment horizontal="center"/>
    </xf>
    <xf numFmtId="0" fontId="48" fillId="0" borderId="0" xfId="0" applyFont="1"/>
    <xf numFmtId="0" fontId="35" fillId="0" borderId="0" xfId="0" applyFont="1" applyAlignment="1">
      <alignment horizontal="center"/>
    </xf>
    <xf numFmtId="0" fontId="42" fillId="13" borderId="59" xfId="0" applyFont="1" applyFill="1" applyBorder="1"/>
    <xf numFmtId="0" fontId="42" fillId="14" borderId="59" xfId="0" applyFont="1" applyFill="1" applyBorder="1"/>
    <xf numFmtId="0" fontId="42" fillId="6" borderId="59" xfId="0" applyFont="1" applyFill="1" applyBorder="1" applyAlignment="1">
      <alignment horizontal="center"/>
    </xf>
    <xf numFmtId="0" fontId="42" fillId="2" borderId="59" xfId="0" applyFont="1" applyFill="1" applyBorder="1" applyAlignment="1">
      <alignment horizontal="center"/>
    </xf>
    <xf numFmtId="0" fontId="49" fillId="0" borderId="0" xfId="0" applyFont="1"/>
    <xf numFmtId="0" fontId="50" fillId="0" borderId="39" xfId="0" applyFont="1" applyBorder="1" applyAlignment="1">
      <alignment horizontal="left"/>
    </xf>
    <xf numFmtId="0" fontId="50" fillId="0" borderId="0" xfId="0" applyFont="1" applyAlignment="1">
      <alignment horizontal="left"/>
    </xf>
    <xf numFmtId="0" fontId="50" fillId="15" borderId="30" xfId="0" applyFont="1" applyFill="1" applyBorder="1" applyAlignment="1">
      <alignment horizontal="left"/>
    </xf>
    <xf numFmtId="0" fontId="50" fillId="15" borderId="21" xfId="0" applyFont="1" applyFill="1" applyBorder="1" applyAlignment="1">
      <alignment horizontal="left"/>
    </xf>
    <xf numFmtId="0" fontId="50" fillId="15" borderId="21" xfId="0" applyFont="1" applyFill="1" applyBorder="1" applyAlignment="1">
      <alignment horizontal="center"/>
    </xf>
    <xf numFmtId="0" fontId="35" fillId="0" borderId="68" xfId="0" applyFont="1" applyBorder="1" applyAlignment="1">
      <alignment horizontal="center"/>
    </xf>
    <xf numFmtId="0" fontId="35" fillId="0" borderId="69" xfId="0" applyFont="1" applyBorder="1" applyAlignment="1">
      <alignment horizontal="center"/>
    </xf>
    <xf numFmtId="0" fontId="50" fillId="0" borderId="37" xfId="0" applyFont="1" applyBorder="1" applyAlignment="1">
      <alignment horizontal="left"/>
    </xf>
    <xf numFmtId="0" fontId="50" fillId="0" borderId="23" xfId="0" applyFont="1" applyBorder="1" applyAlignment="1">
      <alignment horizontal="left"/>
    </xf>
    <xf numFmtId="0" fontId="50" fillId="15" borderId="70" xfId="0" applyFont="1" applyFill="1" applyBorder="1" applyAlignment="1">
      <alignment horizontal="left"/>
    </xf>
    <xf numFmtId="0" fontId="50" fillId="15" borderId="25" xfId="0" applyFont="1" applyFill="1" applyBorder="1" applyAlignment="1">
      <alignment horizontal="left"/>
    </xf>
    <xf numFmtId="0" fontId="50" fillId="15" borderId="25" xfId="0" applyFont="1" applyFill="1" applyBorder="1" applyAlignment="1">
      <alignment horizontal="center"/>
    </xf>
    <xf numFmtId="0" fontId="35" fillId="0" borderId="71" xfId="0" applyFont="1" applyBorder="1" applyAlignment="1">
      <alignment horizontal="center"/>
    </xf>
    <xf numFmtId="0" fontId="8" fillId="0" borderId="2" xfId="0" applyFont="1" applyBorder="1"/>
    <xf numFmtId="0" fontId="8" fillId="0" borderId="3" xfId="0" applyFont="1" applyBorder="1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" fontId="41" fillId="11" borderId="0" xfId="0" applyNumberFormat="1" applyFont="1" applyFill="1" applyAlignment="1">
      <alignment horizontal="center"/>
    </xf>
    <xf numFmtId="0" fontId="53" fillId="0" borderId="0" xfId="0" applyFont="1" applyAlignment="1">
      <alignment horizontal="left"/>
    </xf>
    <xf numFmtId="0" fontId="53" fillId="0" borderId="0" xfId="0" applyFont="1"/>
    <xf numFmtId="0" fontId="4" fillId="0" borderId="0" xfId="0" applyFont="1"/>
    <xf numFmtId="42" fontId="0" fillId="0" borderId="0" xfId="1" applyFont="1" applyAlignment="1">
      <alignment horizontal="center"/>
    </xf>
    <xf numFmtId="0" fontId="53" fillId="10" borderId="55" xfId="0" applyFont="1" applyFill="1" applyBorder="1" applyAlignment="1">
      <alignment horizontal="center"/>
    </xf>
    <xf numFmtId="165" fontId="16" fillId="0" borderId="30" xfId="0" applyNumberFormat="1" applyFont="1" applyBorder="1" applyAlignment="1">
      <alignment horizontal="center" vertical="center"/>
    </xf>
    <xf numFmtId="165" fontId="16" fillId="7" borderId="30" xfId="0" applyNumberFormat="1" applyFont="1" applyFill="1" applyBorder="1" applyAlignment="1">
      <alignment horizontal="center" vertical="center"/>
    </xf>
    <xf numFmtId="165" fontId="16" fillId="7" borderId="40" xfId="0" applyNumberFormat="1" applyFont="1" applyFill="1" applyBorder="1" applyAlignment="1">
      <alignment horizontal="center" vertical="center"/>
    </xf>
    <xf numFmtId="42" fontId="0" fillId="0" borderId="0" xfId="0" applyNumberFormat="1" applyAlignment="1">
      <alignment horizontal="center"/>
    </xf>
    <xf numFmtId="0" fontId="54" fillId="0" borderId="0" xfId="0" applyFont="1" applyAlignment="1">
      <alignment vertical="center" wrapText="1"/>
    </xf>
    <xf numFmtId="0" fontId="51" fillId="0" borderId="0" xfId="0" applyFont="1" applyAlignment="1">
      <alignment horizontal="left" vertical="top" wrapText="1"/>
    </xf>
    <xf numFmtId="0" fontId="52" fillId="0" borderId="0" xfId="0" applyFont="1" applyAlignment="1">
      <alignment horizontal="center"/>
    </xf>
    <xf numFmtId="165" fontId="6" fillId="0" borderId="0" xfId="0" applyNumberFormat="1" applyFont="1"/>
    <xf numFmtId="0" fontId="0" fillId="18" borderId="0" xfId="0" applyFill="1"/>
    <xf numFmtId="1" fontId="6" fillId="0" borderId="0" xfId="0" quotePrefix="1" applyNumberFormat="1" applyFont="1" applyAlignment="1">
      <alignment horizontal="center"/>
    </xf>
    <xf numFmtId="1" fontId="51" fillId="17" borderId="0" xfId="0" applyNumberFormat="1" applyFont="1" applyFill="1" applyAlignment="1">
      <alignment horizontal="center"/>
    </xf>
    <xf numFmtId="1" fontId="57" fillId="17" borderId="0" xfId="0" applyNumberFormat="1" applyFont="1" applyFill="1" applyAlignment="1">
      <alignment horizontal="center"/>
    </xf>
    <xf numFmtId="1" fontId="6" fillId="0" borderId="0" xfId="0" applyNumberFormat="1" applyFont="1" applyAlignment="1">
      <alignment horizontal="center"/>
    </xf>
    <xf numFmtId="0" fontId="8" fillId="0" borderId="40" xfId="0" applyFont="1" applyBorder="1"/>
    <xf numFmtId="10" fontId="0" fillId="0" borderId="0" xfId="0" applyNumberFormat="1"/>
    <xf numFmtId="0" fontId="18" fillId="2" borderId="35" xfId="0" applyFont="1" applyFill="1" applyBorder="1" applyAlignment="1">
      <alignment horizontal="center" vertical="center"/>
    </xf>
    <xf numFmtId="0" fontId="18" fillId="2" borderId="46" xfId="0" quotePrefix="1" applyFont="1" applyFill="1" applyBorder="1" applyAlignment="1">
      <alignment horizontal="center" vertical="center"/>
    </xf>
    <xf numFmtId="0" fontId="8" fillId="0" borderId="30" xfId="0" applyFont="1" applyBorder="1"/>
    <xf numFmtId="0" fontId="59" fillId="10" borderId="55" xfId="0" applyFont="1" applyFill="1" applyBorder="1" applyAlignment="1">
      <alignment horizontal="left"/>
    </xf>
    <xf numFmtId="0" fontId="3" fillId="0" borderId="0" xfId="0" applyFont="1"/>
    <xf numFmtId="0" fontId="59" fillId="10" borderId="72" xfId="0" applyFont="1" applyFill="1" applyBorder="1" applyAlignment="1">
      <alignment horizontal="left"/>
    </xf>
    <xf numFmtId="0" fontId="0" fillId="0" borderId="72" xfId="0" applyBorder="1" applyAlignment="1">
      <alignment horizontal="center"/>
    </xf>
    <xf numFmtId="165" fontId="0" fillId="0" borderId="0" xfId="0" applyNumberFormat="1"/>
    <xf numFmtId="1" fontId="6" fillId="0" borderId="0" xfId="0" applyNumberFormat="1" applyFont="1"/>
    <xf numFmtId="1" fontId="0" fillId="0" borderId="72" xfId="0" applyNumberFormat="1" applyBorder="1" applyAlignment="1">
      <alignment horizontal="center"/>
    </xf>
    <xf numFmtId="0" fontId="59" fillId="19" borderId="72" xfId="0" applyFont="1" applyFill="1" applyBorder="1" applyAlignment="1">
      <alignment horizontal="left"/>
    </xf>
    <xf numFmtId="9" fontId="0" fillId="0" borderId="0" xfId="2" applyFont="1"/>
    <xf numFmtId="0" fontId="60" fillId="0" borderId="0" xfId="0" applyFont="1"/>
    <xf numFmtId="0" fontId="1" fillId="0" borderId="72" xfId="0" applyFont="1" applyBorder="1" applyAlignment="1">
      <alignment horizontal="center"/>
    </xf>
    <xf numFmtId="41" fontId="0" fillId="0" borderId="0" xfId="3" applyFont="1"/>
    <xf numFmtId="0" fontId="32" fillId="3" borderId="1" xfId="0" applyFont="1" applyFill="1" applyBorder="1" applyAlignment="1">
      <alignment horizontal="center" vertical="center"/>
    </xf>
    <xf numFmtId="0" fontId="8" fillId="0" borderId="2" xfId="0" applyFont="1" applyBorder="1"/>
    <xf numFmtId="0" fontId="8" fillId="0" borderId="3" xfId="0" applyFont="1" applyBorder="1"/>
    <xf numFmtId="0" fontId="15" fillId="4" borderId="14" xfId="0" applyFont="1" applyFill="1" applyBorder="1" applyAlignment="1">
      <alignment horizontal="center" vertical="center"/>
    </xf>
    <xf numFmtId="0" fontId="8" fillId="0" borderId="15" xfId="0" applyFont="1" applyBorder="1"/>
    <xf numFmtId="0" fontId="8" fillId="0" borderId="16" xfId="0" applyFont="1" applyBorder="1"/>
    <xf numFmtId="0" fontId="25" fillId="8" borderId="31" xfId="0" applyFont="1" applyFill="1" applyBorder="1" applyAlignment="1">
      <alignment horizontal="center"/>
    </xf>
    <xf numFmtId="0" fontId="8" fillId="0" borderId="32" xfId="0" applyFont="1" applyBorder="1"/>
    <xf numFmtId="0" fontId="8" fillId="0" borderId="33" xfId="0" applyFont="1" applyBorder="1"/>
    <xf numFmtId="0" fontId="34" fillId="0" borderId="0" xfId="0" applyFont="1" applyAlignment="1">
      <alignment horizontal="left" vertical="center" wrapText="1"/>
    </xf>
    <xf numFmtId="0" fontId="0" fillId="0" borderId="0" xfId="0"/>
    <xf numFmtId="0" fontId="24" fillId="3" borderId="31" xfId="0" applyFont="1" applyFill="1" applyBorder="1" applyAlignment="1">
      <alignment horizontal="left" vertical="center"/>
    </xf>
    <xf numFmtId="0" fontId="30" fillId="3" borderId="34" xfId="0" applyFont="1" applyFill="1" applyBorder="1" applyAlignment="1">
      <alignment horizontal="left" vertical="center" wrapText="1"/>
    </xf>
    <xf numFmtId="0" fontId="8" fillId="0" borderId="35" xfId="0" applyFont="1" applyBorder="1"/>
    <xf numFmtId="0" fontId="8" fillId="0" borderId="36" xfId="0" applyFont="1" applyBorder="1"/>
    <xf numFmtId="0" fontId="8" fillId="0" borderId="37" xfId="0" applyFont="1" applyBorder="1"/>
    <xf numFmtId="0" fontId="8" fillId="0" borderId="23" xfId="0" applyFont="1" applyBorder="1"/>
    <xf numFmtId="0" fontId="8" fillId="0" borderId="38" xfId="0" applyFont="1" applyBorder="1"/>
    <xf numFmtId="0" fontId="31" fillId="8" borderId="34" xfId="0" applyFont="1" applyFill="1" applyBorder="1" applyAlignment="1">
      <alignment horizontal="center" vertical="center"/>
    </xf>
    <xf numFmtId="166" fontId="30" fillId="3" borderId="34" xfId="0" applyNumberFormat="1" applyFont="1" applyFill="1" applyBorder="1" applyAlignment="1">
      <alignment horizontal="left" vertical="center" wrapText="1"/>
    </xf>
    <xf numFmtId="0" fontId="8" fillId="0" borderId="39" xfId="0" applyFont="1" applyBorder="1"/>
    <xf numFmtId="0" fontId="8" fillId="0" borderId="40" xfId="0" applyFont="1" applyBorder="1"/>
    <xf numFmtId="166" fontId="31" fillId="8" borderId="34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 vertical="center"/>
    </xf>
    <xf numFmtId="0" fontId="8" fillId="0" borderId="5" xfId="0" applyFont="1" applyBorder="1"/>
    <xf numFmtId="0" fontId="8" fillId="0" borderId="6" xfId="0" applyFont="1" applyBorder="1"/>
    <xf numFmtId="0" fontId="7" fillId="2" borderId="7" xfId="0" applyFont="1" applyFill="1" applyBorder="1" applyAlignment="1">
      <alignment horizontal="center"/>
    </xf>
    <xf numFmtId="0" fontId="8" fillId="0" borderId="8" xfId="0" applyFont="1" applyBorder="1"/>
    <xf numFmtId="0" fontId="8" fillId="0" borderId="9" xfId="0" applyFont="1" applyBorder="1"/>
    <xf numFmtId="0" fontId="12" fillId="2" borderId="10" xfId="0" applyFont="1" applyFill="1" applyBorder="1" applyAlignment="1">
      <alignment horizontal="center" vertical="center"/>
    </xf>
    <xf numFmtId="0" fontId="8" fillId="0" borderId="11" xfId="0" applyFont="1" applyBorder="1"/>
    <xf numFmtId="0" fontId="8" fillId="0" borderId="12" xfId="0" applyFont="1" applyBorder="1"/>
    <xf numFmtId="0" fontId="13" fillId="3" borderId="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43" fillId="2" borderId="31" xfId="0" applyFont="1" applyFill="1" applyBorder="1" applyAlignment="1">
      <alignment horizontal="center" vertical="center"/>
    </xf>
    <xf numFmtId="0" fontId="8" fillId="0" borderId="60" xfId="0" applyFont="1" applyBorder="1"/>
    <xf numFmtId="0" fontId="20" fillId="6" borderId="7" xfId="0" applyFont="1" applyFill="1" applyBorder="1" applyAlignment="1">
      <alignment horizontal="center" vertical="center"/>
    </xf>
    <xf numFmtId="0" fontId="8" fillId="0" borderId="61" xfId="0" applyFont="1" applyBorder="1"/>
    <xf numFmtId="0" fontId="12" fillId="2" borderId="31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56" fillId="3" borderId="41" xfId="0" applyFont="1" applyFill="1" applyBorder="1" applyAlignment="1">
      <alignment horizontal="center" vertical="center"/>
    </xf>
    <xf numFmtId="0" fontId="56" fillId="3" borderId="60" xfId="0" applyFont="1" applyFill="1" applyBorder="1" applyAlignment="1">
      <alignment horizontal="center" vertical="center"/>
    </xf>
    <xf numFmtId="0" fontId="51" fillId="0" borderId="0" xfId="0" applyFont="1" applyAlignment="1">
      <alignment horizontal="left" vertical="top" wrapText="1"/>
    </xf>
    <xf numFmtId="0" fontId="2" fillId="16" borderId="58" xfId="0" applyFont="1" applyFill="1" applyBorder="1" applyAlignment="1">
      <alignment horizontal="center" vertical="center"/>
    </xf>
    <xf numFmtId="0" fontId="4" fillId="16" borderId="30" xfId="0" applyFont="1" applyFill="1" applyBorder="1" applyAlignment="1">
      <alignment horizontal="center" vertical="center"/>
    </xf>
    <xf numFmtId="0" fontId="54" fillId="0" borderId="0" xfId="0" applyFont="1" applyAlignment="1">
      <alignment horizontal="center" vertical="center" wrapText="1"/>
    </xf>
    <xf numFmtId="0" fontId="1" fillId="16" borderId="58" xfId="0" applyFont="1" applyFill="1" applyBorder="1" applyAlignment="1">
      <alignment horizontal="center" vertical="center"/>
    </xf>
    <xf numFmtId="0" fontId="51" fillId="17" borderId="0" xfId="0" applyFont="1" applyFill="1" applyAlignment="1">
      <alignment horizontal="center"/>
    </xf>
    <xf numFmtId="0" fontId="51" fillId="16" borderId="30" xfId="0" applyFont="1" applyFill="1" applyBorder="1" applyAlignment="1">
      <alignment horizontal="left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16" borderId="58" xfId="0" applyFont="1" applyFill="1" applyBorder="1" applyAlignment="1">
      <alignment horizontal="center" vertical="center"/>
    </xf>
    <xf numFmtId="42" fontId="0" fillId="0" borderId="58" xfId="1" applyFont="1" applyBorder="1" applyAlignment="1">
      <alignment horizontal="center" vertical="center"/>
    </xf>
    <xf numFmtId="42" fontId="0" fillId="0" borderId="30" xfId="1" applyFont="1" applyBorder="1" applyAlignment="1">
      <alignment horizontal="center" vertical="center"/>
    </xf>
    <xf numFmtId="42" fontId="0" fillId="0" borderId="58" xfId="0" applyNumberFormat="1" applyBorder="1" applyAlignment="1">
      <alignment horizontal="center" vertical="center"/>
    </xf>
    <xf numFmtId="42" fontId="0" fillId="0" borderId="30" xfId="0" applyNumberFormat="1" applyBorder="1" applyAlignment="1">
      <alignment horizontal="center" vertical="center"/>
    </xf>
    <xf numFmtId="0" fontId="15" fillId="12" borderId="14" xfId="0" applyFont="1" applyFill="1" applyBorder="1" applyAlignment="1">
      <alignment horizontal="center" vertical="center"/>
    </xf>
    <xf numFmtId="0" fontId="16" fillId="0" borderId="0" xfId="0" applyFont="1" applyAlignment="1">
      <alignment horizontal="left" wrapText="1"/>
    </xf>
    <xf numFmtId="0" fontId="6" fillId="2" borderId="1" xfId="0" applyFont="1" applyFill="1" applyBorder="1" applyAlignment="1">
      <alignment horizontal="center"/>
    </xf>
    <xf numFmtId="0" fontId="44" fillId="2" borderId="4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/>
    </xf>
    <xf numFmtId="0" fontId="47" fillId="2" borderId="31" xfId="0" applyFont="1" applyFill="1" applyBorder="1" applyAlignment="1">
      <alignment horizontal="center"/>
    </xf>
  </cellXfs>
  <cellStyles count="4">
    <cellStyle name="Millares [0]" xfId="3" builtinId="6"/>
    <cellStyle name="Moneda [0]" xfId="1" builtinId="7"/>
    <cellStyle name="Normal" xfId="0" builtinId="0"/>
    <cellStyle name="Porcentaje" xfId="2" builtinId="5"/>
  </cellStyles>
  <dxfs count="4"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W1000"/>
  <sheetViews>
    <sheetView showGridLines="0" workbookViewId="0"/>
  </sheetViews>
  <sheetFormatPr baseColWidth="10" defaultColWidth="12.6640625" defaultRowHeight="15" customHeight="1" x14ac:dyDescent="0.3"/>
  <cols>
    <col min="1" max="1" width="10.6640625" customWidth="1"/>
    <col min="2" max="2" width="27" customWidth="1"/>
    <col min="3" max="3" width="23.6640625" customWidth="1"/>
    <col min="4" max="23" width="11.33203125" customWidth="1"/>
    <col min="24" max="26" width="10.6640625" customWidth="1"/>
  </cols>
  <sheetData>
    <row r="1" spans="2:23" ht="14.4" x14ac:dyDescent="0.3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2:23" ht="15.6" x14ac:dyDescent="0.3">
      <c r="B2" s="192"/>
      <c r="C2" s="170"/>
      <c r="D2" s="170"/>
      <c r="E2" s="170"/>
      <c r="F2" s="170"/>
      <c r="G2" s="170"/>
      <c r="H2" s="170"/>
      <c r="I2" s="170"/>
      <c r="J2" s="170"/>
      <c r="K2" s="17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2:23" ht="15.6" x14ac:dyDescent="0.3">
      <c r="B3" s="193" t="s">
        <v>1</v>
      </c>
      <c r="C3" s="194"/>
      <c r="D3" s="194"/>
      <c r="E3" s="194"/>
      <c r="F3" s="194"/>
      <c r="G3" s="194"/>
      <c r="H3" s="194"/>
      <c r="I3" s="194"/>
      <c r="J3" s="194"/>
      <c r="K3" s="195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2:23" ht="15.6" x14ac:dyDescent="0.3">
      <c r="B4" s="196"/>
      <c r="C4" s="197"/>
      <c r="D4" s="197"/>
      <c r="E4" s="197"/>
      <c r="F4" s="197"/>
      <c r="G4" s="197"/>
      <c r="H4" s="197"/>
      <c r="I4" s="197"/>
      <c r="J4" s="197"/>
      <c r="K4" s="198"/>
      <c r="L4" s="2"/>
      <c r="M4" s="2">
        <f>16826+(49.1-20)*685</f>
        <v>36759.5</v>
      </c>
      <c r="N4" s="2">
        <f>M4*1.19</f>
        <v>43743.805</v>
      </c>
      <c r="O4" s="3"/>
      <c r="P4" s="2"/>
      <c r="Q4" s="2"/>
      <c r="R4" s="2"/>
      <c r="S4" s="2"/>
      <c r="T4" s="2"/>
      <c r="U4" s="2"/>
      <c r="V4" s="2"/>
      <c r="W4" s="2"/>
    </row>
    <row r="5" spans="2:23" ht="14.4" x14ac:dyDescent="0.3">
      <c r="B5" s="4" t="s">
        <v>2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2:23" ht="34.799999999999997" x14ac:dyDescent="0.3">
      <c r="B6" s="199" t="s">
        <v>3</v>
      </c>
      <c r="C6" s="200"/>
      <c r="D6" s="200"/>
      <c r="E6" s="200"/>
      <c r="F6" s="200"/>
      <c r="G6" s="200"/>
      <c r="H6" s="200"/>
      <c r="I6" s="200"/>
      <c r="J6" s="200"/>
      <c r="K6" s="201"/>
      <c r="L6" s="2"/>
      <c r="O6" s="2"/>
      <c r="P6" s="2"/>
      <c r="Q6" s="2"/>
      <c r="R6" s="2"/>
      <c r="S6" s="2"/>
      <c r="T6" s="2"/>
      <c r="U6" s="2"/>
      <c r="V6" s="2"/>
      <c r="W6" s="2"/>
    </row>
    <row r="7" spans="2:23" ht="28.8" x14ac:dyDescent="0.7">
      <c r="B7" s="202" t="s">
        <v>4</v>
      </c>
      <c r="C7" s="194"/>
      <c r="D7" s="194"/>
      <c r="E7" s="194"/>
      <c r="F7" s="194"/>
      <c r="G7" s="194"/>
      <c r="H7" s="194"/>
      <c r="I7" s="194"/>
      <c r="J7" s="194"/>
      <c r="K7" s="195"/>
      <c r="L7" s="2"/>
      <c r="M7" s="5" t="s">
        <v>5</v>
      </c>
      <c r="N7" s="2"/>
      <c r="O7" s="2"/>
      <c r="P7" s="2"/>
      <c r="Q7" s="2"/>
      <c r="R7" s="2"/>
      <c r="S7" s="2"/>
      <c r="T7" s="2"/>
      <c r="U7" s="2"/>
      <c r="V7" s="2"/>
      <c r="W7" s="2"/>
    </row>
    <row r="8" spans="2:23" ht="24" x14ac:dyDescent="0.7">
      <c r="B8" s="6" t="s">
        <v>6</v>
      </c>
      <c r="C8" s="172" t="s">
        <v>7</v>
      </c>
      <c r="D8" s="173"/>
      <c r="E8" s="173"/>
      <c r="F8" s="173"/>
      <c r="G8" s="173"/>
      <c r="H8" s="173"/>
      <c r="I8" s="173"/>
      <c r="J8" s="173"/>
      <c r="K8" s="174"/>
      <c r="L8" s="2"/>
      <c r="M8" s="7" t="s">
        <v>8</v>
      </c>
      <c r="N8" s="2"/>
      <c r="O8" s="2"/>
      <c r="P8" s="2"/>
      <c r="Q8" s="2"/>
      <c r="R8" s="2"/>
      <c r="S8" s="2"/>
      <c r="T8" s="2"/>
      <c r="U8" s="2"/>
      <c r="V8" s="2"/>
      <c r="W8" s="2"/>
    </row>
    <row r="9" spans="2:23" ht="20.399999999999999" x14ac:dyDescent="0.7">
      <c r="B9" s="8" t="s">
        <v>9</v>
      </c>
      <c r="C9" s="9" t="s">
        <v>10</v>
      </c>
      <c r="D9" s="9" t="s">
        <v>11</v>
      </c>
      <c r="E9" s="9" t="s">
        <v>12</v>
      </c>
      <c r="F9" s="10" t="s">
        <v>13</v>
      </c>
      <c r="G9" s="10" t="s">
        <v>14</v>
      </c>
      <c r="H9" s="11" t="s">
        <v>15</v>
      </c>
      <c r="I9" s="11" t="s">
        <v>16</v>
      </c>
      <c r="J9" s="9" t="s">
        <v>17</v>
      </c>
      <c r="K9" s="12" t="s">
        <v>18</v>
      </c>
      <c r="L9" s="2"/>
      <c r="M9" s="13" t="s">
        <v>19</v>
      </c>
      <c r="N9" s="2"/>
      <c r="O9" s="2"/>
      <c r="P9" s="2"/>
      <c r="Q9" s="2"/>
      <c r="R9" s="2"/>
      <c r="S9" s="2"/>
      <c r="T9" s="2"/>
      <c r="U9" s="2"/>
      <c r="V9" s="2"/>
      <c r="W9" s="2"/>
    </row>
    <row r="10" spans="2:23" ht="20.399999999999999" x14ac:dyDescent="0.7">
      <c r="B10" s="14" t="s">
        <v>20</v>
      </c>
      <c r="C10" s="15">
        <v>4526</v>
      </c>
      <c r="D10" s="15">
        <v>4982</v>
      </c>
      <c r="E10" s="15">
        <v>5537</v>
      </c>
      <c r="F10" s="15">
        <v>6259</v>
      </c>
      <c r="G10" s="15">
        <v>7796</v>
      </c>
      <c r="H10" s="15">
        <v>9314</v>
      </c>
      <c r="I10" s="15">
        <v>10566</v>
      </c>
      <c r="J10" s="16">
        <v>541</v>
      </c>
      <c r="K10" s="17">
        <v>444</v>
      </c>
      <c r="L10" s="2"/>
      <c r="M10" s="7" t="s">
        <v>21</v>
      </c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2:23" ht="20.399999999999999" x14ac:dyDescent="0.7">
      <c r="B11" s="14" t="s">
        <v>22</v>
      </c>
      <c r="C11" s="15">
        <v>4244</v>
      </c>
      <c r="D11" s="15">
        <v>4672</v>
      </c>
      <c r="E11" s="15">
        <v>5192</v>
      </c>
      <c r="F11" s="15">
        <v>5869</v>
      </c>
      <c r="G11" s="15">
        <v>7201</v>
      </c>
      <c r="H11" s="15">
        <v>8604</v>
      </c>
      <c r="I11" s="15">
        <v>9767</v>
      </c>
      <c r="J11" s="16">
        <v>532</v>
      </c>
      <c r="K11" s="17">
        <v>436</v>
      </c>
      <c r="L11" s="2"/>
      <c r="M11" s="7" t="s">
        <v>23</v>
      </c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2:23" ht="20.399999999999999" x14ac:dyDescent="0.7">
      <c r="B12" s="14" t="s">
        <v>24</v>
      </c>
      <c r="C12" s="15">
        <v>4305</v>
      </c>
      <c r="D12" s="15">
        <v>4741</v>
      </c>
      <c r="E12" s="15">
        <v>5267</v>
      </c>
      <c r="F12" s="15">
        <v>5955</v>
      </c>
      <c r="G12" s="15">
        <v>7131</v>
      </c>
      <c r="H12" s="15">
        <v>8616</v>
      </c>
      <c r="I12" s="15">
        <v>9781</v>
      </c>
      <c r="J12" s="16">
        <v>533</v>
      </c>
      <c r="K12" s="17">
        <v>437</v>
      </c>
      <c r="L12" s="2"/>
      <c r="M12" s="7" t="s">
        <v>25</v>
      </c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2:23" ht="20.399999999999999" x14ac:dyDescent="0.7">
      <c r="B13" s="14" t="s">
        <v>26</v>
      </c>
      <c r="C13" s="15">
        <v>3710</v>
      </c>
      <c r="D13" s="15">
        <v>3925</v>
      </c>
      <c r="E13" s="15">
        <v>4542</v>
      </c>
      <c r="F13" s="15">
        <v>5282</v>
      </c>
      <c r="G13" s="15">
        <v>6529</v>
      </c>
      <c r="H13" s="15">
        <v>7847</v>
      </c>
      <c r="I13" s="15">
        <v>8814</v>
      </c>
      <c r="J13" s="16">
        <v>447</v>
      </c>
      <c r="K13" s="17">
        <v>376</v>
      </c>
      <c r="L13" s="2"/>
      <c r="M13" s="7" t="s">
        <v>27</v>
      </c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2:23" ht="20.399999999999999" x14ac:dyDescent="0.7">
      <c r="B14" s="14" t="s">
        <v>28</v>
      </c>
      <c r="C14" s="15">
        <v>3673</v>
      </c>
      <c r="D14" s="15">
        <v>3886</v>
      </c>
      <c r="E14" s="15">
        <v>4496</v>
      </c>
      <c r="F14" s="15">
        <v>5230</v>
      </c>
      <c r="G14" s="15">
        <v>6465</v>
      </c>
      <c r="H14" s="15">
        <v>7769</v>
      </c>
      <c r="I14" s="15">
        <v>8731</v>
      </c>
      <c r="J14" s="16">
        <v>445</v>
      </c>
      <c r="K14" s="17">
        <v>374</v>
      </c>
      <c r="L14" s="2"/>
      <c r="M14" s="7" t="s">
        <v>29</v>
      </c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2:23" ht="20.399999999999999" x14ac:dyDescent="0.7">
      <c r="B15" s="18" t="s">
        <v>30</v>
      </c>
      <c r="C15" s="19">
        <v>3589</v>
      </c>
      <c r="D15" s="19">
        <v>3839</v>
      </c>
      <c r="E15" s="19">
        <v>4357</v>
      </c>
      <c r="F15" s="19">
        <v>5160</v>
      </c>
      <c r="G15" s="19">
        <v>6411</v>
      </c>
      <c r="H15" s="19">
        <v>7245</v>
      </c>
      <c r="I15" s="19">
        <v>8131</v>
      </c>
      <c r="J15" s="20">
        <v>410</v>
      </c>
      <c r="K15" s="21">
        <v>340</v>
      </c>
      <c r="L15" s="2"/>
      <c r="M15" s="7" t="s">
        <v>31</v>
      </c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2:23" ht="20.399999999999999" x14ac:dyDescent="0.7">
      <c r="B16" s="22" t="s">
        <v>32</v>
      </c>
      <c r="C16" s="23">
        <v>2932</v>
      </c>
      <c r="D16" s="23">
        <v>3041</v>
      </c>
      <c r="E16" s="23">
        <v>3237</v>
      </c>
      <c r="F16" s="23">
        <v>3524</v>
      </c>
      <c r="G16" s="23">
        <v>4081</v>
      </c>
      <c r="H16" s="23">
        <v>4439</v>
      </c>
      <c r="I16" s="23">
        <v>5197</v>
      </c>
      <c r="J16" s="24">
        <v>300</v>
      </c>
      <c r="K16" s="25">
        <v>229</v>
      </c>
      <c r="L16" s="2"/>
      <c r="M16" s="7" t="s">
        <v>33</v>
      </c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2:23" ht="20.399999999999999" x14ac:dyDescent="0.7">
      <c r="B17" s="14" t="s">
        <v>34</v>
      </c>
      <c r="C17" s="15">
        <v>3589</v>
      </c>
      <c r="D17" s="15">
        <v>3839</v>
      </c>
      <c r="E17" s="15">
        <v>4357</v>
      </c>
      <c r="F17" s="15">
        <v>5160</v>
      </c>
      <c r="G17" s="15">
        <v>6411</v>
      </c>
      <c r="H17" s="15">
        <v>7245</v>
      </c>
      <c r="I17" s="15">
        <v>8131</v>
      </c>
      <c r="J17" s="16">
        <v>410</v>
      </c>
      <c r="K17" s="17">
        <v>340</v>
      </c>
      <c r="L17" s="2"/>
      <c r="M17" s="7" t="s">
        <v>35</v>
      </c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2:23" ht="20.399999999999999" x14ac:dyDescent="0.7">
      <c r="B18" s="14" t="s">
        <v>36</v>
      </c>
      <c r="C18" s="15">
        <v>3673</v>
      </c>
      <c r="D18" s="15">
        <v>3886</v>
      </c>
      <c r="E18" s="15">
        <v>4496</v>
      </c>
      <c r="F18" s="15">
        <v>5230</v>
      </c>
      <c r="G18" s="15">
        <v>6465</v>
      </c>
      <c r="H18" s="15">
        <v>7769</v>
      </c>
      <c r="I18" s="15">
        <v>8731</v>
      </c>
      <c r="J18" s="16">
        <v>445</v>
      </c>
      <c r="K18" s="17">
        <v>374</v>
      </c>
      <c r="L18" s="2"/>
      <c r="M18" s="7" t="s">
        <v>37</v>
      </c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2:23" ht="20.399999999999999" x14ac:dyDescent="0.7">
      <c r="B19" s="14" t="s">
        <v>38</v>
      </c>
      <c r="C19" s="15">
        <v>3822</v>
      </c>
      <c r="D19" s="15">
        <v>4089</v>
      </c>
      <c r="E19" s="15">
        <v>4695</v>
      </c>
      <c r="F19" s="15">
        <v>5392</v>
      </c>
      <c r="G19" s="15">
        <v>6756</v>
      </c>
      <c r="H19" s="15">
        <v>8188</v>
      </c>
      <c r="I19" s="15">
        <v>9170</v>
      </c>
      <c r="J19" s="16">
        <v>454</v>
      </c>
      <c r="K19" s="17">
        <v>386</v>
      </c>
      <c r="L19" s="2"/>
      <c r="M19" s="7" t="s">
        <v>39</v>
      </c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2:23" ht="20.399999999999999" x14ac:dyDescent="0.3">
      <c r="B20" s="14" t="s">
        <v>40</v>
      </c>
      <c r="C20" s="15">
        <v>3822</v>
      </c>
      <c r="D20" s="15">
        <v>4089</v>
      </c>
      <c r="E20" s="15">
        <v>4695</v>
      </c>
      <c r="F20" s="15">
        <v>5392</v>
      </c>
      <c r="G20" s="15">
        <v>6756</v>
      </c>
      <c r="H20" s="15">
        <v>8188</v>
      </c>
      <c r="I20" s="15">
        <v>9170</v>
      </c>
      <c r="J20" s="16">
        <v>454</v>
      </c>
      <c r="K20" s="17">
        <v>386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2:23" ht="15.75" customHeight="1" x14ac:dyDescent="0.3">
      <c r="B21" s="14" t="s">
        <v>41</v>
      </c>
      <c r="C21" s="15">
        <v>4288</v>
      </c>
      <c r="D21" s="15">
        <v>4579</v>
      </c>
      <c r="E21" s="15">
        <v>5092</v>
      </c>
      <c r="F21" s="15">
        <v>5807</v>
      </c>
      <c r="G21" s="15">
        <v>7082</v>
      </c>
      <c r="H21" s="15">
        <v>8385</v>
      </c>
      <c r="I21" s="15">
        <v>9580</v>
      </c>
      <c r="J21" s="16">
        <v>547</v>
      </c>
      <c r="K21" s="17">
        <v>441</v>
      </c>
      <c r="L21" s="2"/>
      <c r="M21" s="26" t="s">
        <v>42</v>
      </c>
      <c r="N21" s="27"/>
      <c r="O21" s="27"/>
      <c r="P21" s="27"/>
      <c r="Q21" s="27"/>
      <c r="R21" s="2"/>
      <c r="S21" s="2"/>
      <c r="T21" s="2"/>
      <c r="U21" s="2"/>
      <c r="V21" s="2"/>
      <c r="W21" s="2"/>
    </row>
    <row r="22" spans="2:23" ht="15.75" customHeight="1" x14ac:dyDescent="0.3">
      <c r="B22" s="14" t="s">
        <v>43</v>
      </c>
      <c r="C22" s="15">
        <v>4288</v>
      </c>
      <c r="D22" s="15">
        <v>4579</v>
      </c>
      <c r="E22" s="15">
        <v>5092</v>
      </c>
      <c r="F22" s="15">
        <v>5807</v>
      </c>
      <c r="G22" s="15">
        <v>7082</v>
      </c>
      <c r="H22" s="15">
        <v>8385</v>
      </c>
      <c r="I22" s="15">
        <v>9580</v>
      </c>
      <c r="J22" s="16">
        <v>547</v>
      </c>
      <c r="K22" s="17">
        <v>441</v>
      </c>
      <c r="L22" s="2"/>
      <c r="M22" s="2"/>
      <c r="N22" s="2"/>
      <c r="O22" s="2"/>
      <c r="P22" s="27"/>
      <c r="Q22" s="27"/>
      <c r="R22" s="2"/>
      <c r="S22" s="2"/>
      <c r="T22" s="2"/>
      <c r="U22" s="2"/>
      <c r="V22" s="2"/>
      <c r="W22" s="2"/>
    </row>
    <row r="23" spans="2:23" ht="15.75" customHeight="1" x14ac:dyDescent="0.7">
      <c r="B23" s="14" t="s">
        <v>44</v>
      </c>
      <c r="C23" s="15">
        <v>4440</v>
      </c>
      <c r="D23" s="15">
        <v>4743</v>
      </c>
      <c r="E23" s="15">
        <v>5274</v>
      </c>
      <c r="F23" s="15">
        <v>6013</v>
      </c>
      <c r="G23" s="15">
        <v>7319</v>
      </c>
      <c r="H23" s="15">
        <v>8646</v>
      </c>
      <c r="I23" s="15">
        <v>9847</v>
      </c>
      <c r="J23" s="16">
        <v>550</v>
      </c>
      <c r="K23" s="17">
        <v>448</v>
      </c>
      <c r="L23" s="2"/>
      <c r="M23" s="180" t="s">
        <v>45</v>
      </c>
      <c r="N23" s="176"/>
      <c r="O23" s="176"/>
      <c r="P23" s="176"/>
      <c r="Q23" s="176"/>
      <c r="R23" s="177"/>
      <c r="S23" s="175" t="s">
        <v>46</v>
      </c>
      <c r="T23" s="176"/>
      <c r="U23" s="177"/>
      <c r="V23" s="2"/>
      <c r="W23" s="2"/>
    </row>
    <row r="24" spans="2:23" ht="15.75" customHeight="1" x14ac:dyDescent="0.3">
      <c r="B24" s="14" t="s">
        <v>47</v>
      </c>
      <c r="C24" s="15">
        <v>4604</v>
      </c>
      <c r="D24" s="15">
        <v>4839</v>
      </c>
      <c r="E24" s="15">
        <v>5391</v>
      </c>
      <c r="F24" s="15">
        <v>6109</v>
      </c>
      <c r="G24" s="15">
        <v>7563</v>
      </c>
      <c r="H24" s="15">
        <v>8917</v>
      </c>
      <c r="I24" s="15">
        <v>10121</v>
      </c>
      <c r="J24" s="16">
        <v>552</v>
      </c>
      <c r="K24" s="17">
        <v>451</v>
      </c>
      <c r="L24" s="2"/>
      <c r="M24" s="28"/>
      <c r="N24" s="29"/>
      <c r="O24" s="30"/>
      <c r="P24" s="30"/>
      <c r="Q24" s="31"/>
      <c r="R24" s="32"/>
      <c r="S24" s="32"/>
      <c r="T24" s="2"/>
      <c r="U24" s="2"/>
      <c r="V24" s="2"/>
      <c r="W24" s="2"/>
    </row>
    <row r="25" spans="2:23" ht="15.75" customHeight="1" x14ac:dyDescent="0.3">
      <c r="B25" s="14" t="s">
        <v>48</v>
      </c>
      <c r="C25" s="15">
        <v>4956</v>
      </c>
      <c r="D25" s="15">
        <v>5291</v>
      </c>
      <c r="E25" s="15">
        <v>5863</v>
      </c>
      <c r="F25" s="15">
        <v>6489</v>
      </c>
      <c r="G25" s="15">
        <v>8253</v>
      </c>
      <c r="H25" s="15">
        <v>9418</v>
      </c>
      <c r="I25" s="15">
        <v>10641</v>
      </c>
      <c r="J25" s="16">
        <v>560</v>
      </c>
      <c r="K25" s="17">
        <v>466</v>
      </c>
      <c r="L25" s="2"/>
      <c r="V25" s="2"/>
      <c r="W25" s="2"/>
    </row>
    <row r="26" spans="2:23" ht="15.75" customHeight="1" x14ac:dyDescent="0.3">
      <c r="B26" s="14" t="s">
        <v>49</v>
      </c>
      <c r="C26" s="15">
        <v>4956</v>
      </c>
      <c r="D26" s="15">
        <v>5291</v>
      </c>
      <c r="E26" s="15">
        <v>5863</v>
      </c>
      <c r="F26" s="15">
        <v>6489</v>
      </c>
      <c r="G26" s="15">
        <v>8253</v>
      </c>
      <c r="H26" s="15">
        <v>9418</v>
      </c>
      <c r="I26" s="15">
        <v>10641</v>
      </c>
      <c r="J26" s="16">
        <v>560</v>
      </c>
      <c r="K26" s="17">
        <v>466</v>
      </c>
      <c r="L26" s="2"/>
      <c r="M26" s="30"/>
      <c r="N26" s="30"/>
      <c r="O26" s="30"/>
      <c r="P26" s="30"/>
      <c r="Q26" s="33"/>
      <c r="R26" s="30"/>
      <c r="S26" s="30"/>
      <c r="T26" s="2"/>
      <c r="U26" s="2"/>
      <c r="V26" s="2"/>
      <c r="W26" s="2"/>
    </row>
    <row r="27" spans="2:23" ht="15.75" customHeight="1" x14ac:dyDescent="0.3">
      <c r="B27" s="14" t="s">
        <v>50</v>
      </c>
      <c r="C27" s="15">
        <v>4844</v>
      </c>
      <c r="D27" s="15">
        <v>5170</v>
      </c>
      <c r="E27" s="15">
        <v>5729</v>
      </c>
      <c r="F27" s="15">
        <v>6406</v>
      </c>
      <c r="G27" s="15">
        <v>8039</v>
      </c>
      <c r="H27" s="15">
        <v>9226</v>
      </c>
      <c r="I27" s="15">
        <v>10454</v>
      </c>
      <c r="J27" s="16">
        <v>562</v>
      </c>
      <c r="K27" s="17">
        <v>457</v>
      </c>
      <c r="L27" s="2"/>
      <c r="M27" s="181" t="s">
        <v>51</v>
      </c>
      <c r="N27" s="182"/>
      <c r="O27" s="182"/>
      <c r="P27" s="182"/>
      <c r="Q27" s="182"/>
      <c r="R27" s="183"/>
      <c r="S27" s="187" t="s">
        <v>52</v>
      </c>
      <c r="T27" s="182"/>
      <c r="U27" s="183"/>
      <c r="V27" s="2"/>
      <c r="W27" s="2"/>
    </row>
    <row r="28" spans="2:23" ht="15.75" customHeight="1" x14ac:dyDescent="0.3">
      <c r="B28" s="18" t="s">
        <v>53</v>
      </c>
      <c r="C28" s="19">
        <v>5413</v>
      </c>
      <c r="D28" s="19">
        <v>6042</v>
      </c>
      <c r="E28" s="19">
        <v>6748</v>
      </c>
      <c r="F28" s="19">
        <v>8043</v>
      </c>
      <c r="G28" s="19">
        <v>9379</v>
      </c>
      <c r="H28" s="19">
        <v>11204</v>
      </c>
      <c r="I28" s="19">
        <v>12568</v>
      </c>
      <c r="J28" s="20">
        <v>577</v>
      </c>
      <c r="K28" s="21">
        <v>471</v>
      </c>
      <c r="L28" s="2"/>
      <c r="M28" s="184"/>
      <c r="N28" s="185"/>
      <c r="O28" s="185"/>
      <c r="P28" s="185"/>
      <c r="Q28" s="185"/>
      <c r="R28" s="186"/>
      <c r="S28" s="184"/>
      <c r="T28" s="185"/>
      <c r="U28" s="186"/>
      <c r="V28" s="2"/>
      <c r="W28" s="2"/>
    </row>
    <row r="29" spans="2:23" ht="15.75" customHeight="1" x14ac:dyDescent="0.3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30"/>
      <c r="N29" s="30"/>
      <c r="O29" s="30"/>
      <c r="P29" s="30"/>
      <c r="Q29" s="33"/>
      <c r="R29" s="30"/>
      <c r="S29" s="30"/>
      <c r="T29" s="2"/>
      <c r="U29" s="2"/>
      <c r="V29" s="2"/>
      <c r="W29" s="2"/>
    </row>
    <row r="30" spans="2:23" ht="15.75" customHeight="1" x14ac:dyDescent="0.3">
      <c r="B30" s="169" t="s">
        <v>54</v>
      </c>
      <c r="C30" s="170"/>
      <c r="D30" s="170"/>
      <c r="E30" s="170"/>
      <c r="F30" s="170"/>
      <c r="G30" s="170"/>
      <c r="H30" s="170"/>
      <c r="I30" s="170"/>
      <c r="J30" s="170"/>
      <c r="K30" s="171"/>
      <c r="L30" s="2"/>
      <c r="M30" s="188" t="s">
        <v>55</v>
      </c>
      <c r="N30" s="182"/>
      <c r="O30" s="182"/>
      <c r="P30" s="182"/>
      <c r="Q30" s="182"/>
      <c r="R30" s="183"/>
      <c r="S30" s="191" t="s">
        <v>56</v>
      </c>
      <c r="T30" s="182"/>
      <c r="U30" s="183"/>
      <c r="V30" s="2"/>
      <c r="W30" s="2"/>
    </row>
    <row r="31" spans="2:23" ht="15.75" customHeight="1" x14ac:dyDescent="0.3">
      <c r="B31" s="8" t="s">
        <v>9</v>
      </c>
      <c r="C31" s="9" t="s">
        <v>10</v>
      </c>
      <c r="D31" s="9" t="s">
        <v>11</v>
      </c>
      <c r="E31" s="9" t="s">
        <v>12</v>
      </c>
      <c r="F31" s="10" t="s">
        <v>13</v>
      </c>
      <c r="G31" s="10" t="s">
        <v>14</v>
      </c>
      <c r="H31" s="11" t="s">
        <v>15</v>
      </c>
      <c r="I31" s="11" t="s">
        <v>16</v>
      </c>
      <c r="J31" s="9" t="s">
        <v>17</v>
      </c>
      <c r="K31" s="12" t="s">
        <v>18</v>
      </c>
      <c r="L31" s="2"/>
      <c r="M31" s="189"/>
      <c r="N31" s="179"/>
      <c r="O31" s="179"/>
      <c r="P31" s="179"/>
      <c r="Q31" s="179"/>
      <c r="R31" s="190"/>
      <c r="S31" s="189"/>
      <c r="T31" s="179"/>
      <c r="U31" s="190"/>
      <c r="V31" s="2"/>
      <c r="W31" s="2"/>
    </row>
    <row r="32" spans="2:23" ht="15.75" customHeight="1" x14ac:dyDescent="0.3">
      <c r="B32" s="14" t="s">
        <v>57</v>
      </c>
      <c r="C32" s="15">
        <v>5549</v>
      </c>
      <c r="D32" s="15">
        <v>6178</v>
      </c>
      <c r="E32" s="15">
        <v>6792</v>
      </c>
      <c r="F32" s="15">
        <v>8213</v>
      </c>
      <c r="G32" s="15">
        <v>10740</v>
      </c>
      <c r="H32" s="15">
        <v>14176</v>
      </c>
      <c r="I32" s="15">
        <v>16826</v>
      </c>
      <c r="J32" s="16">
        <v>685</v>
      </c>
      <c r="K32" s="17">
        <v>585</v>
      </c>
      <c r="L32" s="2"/>
      <c r="M32" s="189"/>
      <c r="N32" s="179"/>
      <c r="O32" s="179"/>
      <c r="P32" s="179"/>
      <c r="Q32" s="179"/>
      <c r="R32" s="190"/>
      <c r="S32" s="189"/>
      <c r="T32" s="179"/>
      <c r="U32" s="190"/>
      <c r="V32" s="2"/>
      <c r="W32" s="2"/>
    </row>
    <row r="33" spans="2:23" ht="15.75" customHeight="1" x14ac:dyDescent="0.3">
      <c r="B33" s="14" t="s">
        <v>58</v>
      </c>
      <c r="C33" s="15">
        <v>5293</v>
      </c>
      <c r="D33" s="15">
        <v>5773</v>
      </c>
      <c r="E33" s="15">
        <v>6348</v>
      </c>
      <c r="F33" s="15">
        <v>7677</v>
      </c>
      <c r="G33" s="15">
        <v>10038</v>
      </c>
      <c r="H33" s="15">
        <v>13249</v>
      </c>
      <c r="I33" s="15">
        <v>15812</v>
      </c>
      <c r="J33" s="16">
        <v>673</v>
      </c>
      <c r="K33" s="17">
        <v>559</v>
      </c>
      <c r="L33" s="2"/>
      <c r="M33" s="184"/>
      <c r="N33" s="185"/>
      <c r="O33" s="185"/>
      <c r="P33" s="185"/>
      <c r="Q33" s="185"/>
      <c r="R33" s="186"/>
      <c r="S33" s="184"/>
      <c r="T33" s="185"/>
      <c r="U33" s="186"/>
      <c r="V33" s="2"/>
      <c r="W33" s="2"/>
    </row>
    <row r="34" spans="2:23" ht="15.75" customHeight="1" x14ac:dyDescent="0.3">
      <c r="B34" s="14" t="s">
        <v>59</v>
      </c>
      <c r="C34" s="15">
        <v>5293</v>
      </c>
      <c r="D34" s="15">
        <v>5773</v>
      </c>
      <c r="E34" s="15">
        <v>6348</v>
      </c>
      <c r="F34" s="15">
        <v>7677</v>
      </c>
      <c r="G34" s="15">
        <v>10038</v>
      </c>
      <c r="H34" s="15">
        <v>13249</v>
      </c>
      <c r="I34" s="15">
        <v>15812</v>
      </c>
      <c r="J34" s="16">
        <v>673</v>
      </c>
      <c r="K34" s="17">
        <v>559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2:23" ht="15.75" customHeight="1" x14ac:dyDescent="0.85">
      <c r="B35" s="18" t="s">
        <v>60</v>
      </c>
      <c r="C35" s="19">
        <v>5081</v>
      </c>
      <c r="D35" s="19">
        <v>5432</v>
      </c>
      <c r="E35" s="19">
        <v>5971</v>
      </c>
      <c r="F35" s="19">
        <v>7220</v>
      </c>
      <c r="G35" s="19">
        <v>8990</v>
      </c>
      <c r="H35" s="19">
        <v>11867</v>
      </c>
      <c r="I35" s="19">
        <v>14235</v>
      </c>
      <c r="J35" s="20">
        <v>643</v>
      </c>
      <c r="K35" s="21">
        <v>530</v>
      </c>
      <c r="L35" s="2"/>
      <c r="M35" s="34" t="s">
        <v>61</v>
      </c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2:23" ht="15.75" customHeight="1" x14ac:dyDescent="0.3">
      <c r="B36" s="14" t="s">
        <v>62</v>
      </c>
      <c r="C36" s="15">
        <v>5943</v>
      </c>
      <c r="D36" s="15">
        <v>6631</v>
      </c>
      <c r="E36" s="15">
        <v>7509</v>
      </c>
      <c r="F36" s="15">
        <v>9013</v>
      </c>
      <c r="G36" s="15">
        <v>11211</v>
      </c>
      <c r="H36" s="15">
        <v>14921</v>
      </c>
      <c r="I36" s="15">
        <v>17715</v>
      </c>
      <c r="J36" s="16">
        <v>737</v>
      </c>
      <c r="K36" s="17">
        <v>569</v>
      </c>
      <c r="L36" s="2"/>
      <c r="M36" s="178" t="s">
        <v>63</v>
      </c>
      <c r="N36" s="179"/>
      <c r="O36" s="179"/>
      <c r="P36" s="179"/>
      <c r="Q36" s="179"/>
      <c r="R36" s="179"/>
      <c r="S36" s="179"/>
      <c r="T36" s="179"/>
      <c r="U36" s="179"/>
      <c r="V36" s="179"/>
      <c r="W36" s="179"/>
    </row>
    <row r="37" spans="2:23" ht="15.75" customHeight="1" x14ac:dyDescent="0.3">
      <c r="B37" s="18" t="s">
        <v>64</v>
      </c>
      <c r="C37" s="19">
        <v>5943</v>
      </c>
      <c r="D37" s="19">
        <v>6631</v>
      </c>
      <c r="E37" s="19">
        <v>7509</v>
      </c>
      <c r="F37" s="19">
        <v>9013</v>
      </c>
      <c r="G37" s="19">
        <v>11211</v>
      </c>
      <c r="H37" s="19">
        <v>14921</v>
      </c>
      <c r="I37" s="19">
        <v>17715</v>
      </c>
      <c r="J37" s="20">
        <v>737</v>
      </c>
      <c r="K37" s="21">
        <v>569</v>
      </c>
      <c r="L37" s="2"/>
      <c r="M37" s="179"/>
      <c r="N37" s="179"/>
      <c r="O37" s="179"/>
      <c r="P37" s="179"/>
      <c r="Q37" s="179"/>
      <c r="R37" s="179"/>
      <c r="S37" s="179"/>
      <c r="T37" s="179"/>
      <c r="U37" s="179"/>
      <c r="V37" s="179"/>
      <c r="W37" s="179"/>
    </row>
    <row r="38" spans="2:23" ht="15.75" customHeight="1" x14ac:dyDescent="0.3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179"/>
      <c r="N38" s="179"/>
      <c r="O38" s="179"/>
      <c r="P38" s="179"/>
      <c r="Q38" s="179"/>
      <c r="R38" s="179"/>
      <c r="S38" s="179"/>
      <c r="T38" s="179"/>
      <c r="U38" s="179"/>
      <c r="V38" s="179"/>
      <c r="W38" s="179"/>
    </row>
    <row r="39" spans="2:23" ht="15.75" customHeight="1" x14ac:dyDescent="0.3">
      <c r="B39" s="169" t="s">
        <v>65</v>
      </c>
      <c r="C39" s="170"/>
      <c r="D39" s="170"/>
      <c r="E39" s="170"/>
      <c r="F39" s="170"/>
      <c r="G39" s="170"/>
      <c r="H39" s="170"/>
      <c r="I39" s="170"/>
      <c r="J39" s="170"/>
      <c r="K39" s="171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2:23" ht="15.75" customHeight="1" x14ac:dyDescent="0.3">
      <c r="B40" s="8" t="s">
        <v>9</v>
      </c>
      <c r="C40" s="9" t="s">
        <v>10</v>
      </c>
      <c r="D40" s="9" t="s">
        <v>11</v>
      </c>
      <c r="E40" s="9" t="s">
        <v>12</v>
      </c>
      <c r="F40" s="10" t="s">
        <v>13</v>
      </c>
      <c r="G40" s="10" t="s">
        <v>14</v>
      </c>
      <c r="H40" s="11" t="s">
        <v>15</v>
      </c>
      <c r="I40" s="11" t="s">
        <v>16</v>
      </c>
      <c r="J40" s="9" t="s">
        <v>17</v>
      </c>
      <c r="K40" s="12" t="s">
        <v>18</v>
      </c>
      <c r="L40" s="2"/>
      <c r="M40" s="178" t="s">
        <v>66</v>
      </c>
      <c r="N40" s="179"/>
      <c r="O40" s="179"/>
      <c r="P40" s="179"/>
      <c r="Q40" s="179"/>
      <c r="R40" s="179"/>
      <c r="S40" s="179"/>
      <c r="T40" s="179"/>
      <c r="U40" s="179"/>
      <c r="V40" s="179"/>
      <c r="W40" s="179"/>
    </row>
    <row r="41" spans="2:23" ht="15.75" customHeight="1" x14ac:dyDescent="0.3">
      <c r="B41" s="14" t="s">
        <v>57</v>
      </c>
      <c r="C41" s="15">
        <v>6099</v>
      </c>
      <c r="D41" s="15">
        <v>7189</v>
      </c>
      <c r="E41" s="15">
        <v>8703</v>
      </c>
      <c r="F41" s="15">
        <v>10294</v>
      </c>
      <c r="G41" s="15">
        <v>17165</v>
      </c>
      <c r="H41" s="15">
        <v>26933</v>
      </c>
      <c r="I41" s="15">
        <v>31578</v>
      </c>
      <c r="J41" s="16">
        <v>1559</v>
      </c>
      <c r="K41" s="17">
        <v>1505</v>
      </c>
      <c r="L41" s="2"/>
      <c r="M41" s="179"/>
      <c r="N41" s="179"/>
      <c r="O41" s="179"/>
      <c r="P41" s="179"/>
      <c r="Q41" s="179"/>
      <c r="R41" s="179"/>
      <c r="S41" s="179"/>
      <c r="T41" s="179"/>
      <c r="U41" s="179"/>
      <c r="V41" s="179"/>
      <c r="W41" s="179"/>
    </row>
    <row r="42" spans="2:23" ht="15.75" customHeight="1" x14ac:dyDescent="0.3">
      <c r="B42" s="14" t="s">
        <v>58</v>
      </c>
      <c r="C42" s="15">
        <v>5701</v>
      </c>
      <c r="D42" s="15">
        <v>6719</v>
      </c>
      <c r="E42" s="15">
        <v>8135</v>
      </c>
      <c r="F42" s="15">
        <v>9620</v>
      </c>
      <c r="G42" s="15">
        <v>16041</v>
      </c>
      <c r="H42" s="15">
        <v>25174</v>
      </c>
      <c r="I42" s="15">
        <v>29712</v>
      </c>
      <c r="J42" s="16">
        <v>1512</v>
      </c>
      <c r="K42" s="17">
        <v>1422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2:23" ht="15.75" customHeight="1" x14ac:dyDescent="0.3">
      <c r="B43" s="14" t="s">
        <v>59</v>
      </c>
      <c r="C43" s="15">
        <v>5701</v>
      </c>
      <c r="D43" s="15">
        <v>6719</v>
      </c>
      <c r="E43" s="15">
        <v>8135</v>
      </c>
      <c r="F43" s="15">
        <v>9620</v>
      </c>
      <c r="G43" s="15">
        <v>16041</v>
      </c>
      <c r="H43" s="15">
        <v>25174</v>
      </c>
      <c r="I43" s="15">
        <v>29712</v>
      </c>
      <c r="J43" s="16">
        <v>1512</v>
      </c>
      <c r="K43" s="17">
        <v>1422</v>
      </c>
      <c r="L43" s="2"/>
      <c r="M43" s="178" t="s">
        <v>67</v>
      </c>
      <c r="N43" s="179"/>
      <c r="O43" s="179"/>
      <c r="P43" s="179"/>
      <c r="Q43" s="179"/>
      <c r="R43" s="179"/>
      <c r="S43" s="179"/>
      <c r="T43" s="179"/>
      <c r="U43" s="179"/>
      <c r="V43" s="179"/>
      <c r="W43" s="179"/>
    </row>
    <row r="44" spans="2:23" ht="15.75" customHeight="1" x14ac:dyDescent="0.3">
      <c r="B44" s="18" t="s">
        <v>60</v>
      </c>
      <c r="C44" s="19">
        <v>5517</v>
      </c>
      <c r="D44" s="19">
        <v>6381</v>
      </c>
      <c r="E44" s="19">
        <v>7728</v>
      </c>
      <c r="F44" s="19">
        <v>9139</v>
      </c>
      <c r="G44" s="19">
        <v>15240</v>
      </c>
      <c r="H44" s="19">
        <v>23914</v>
      </c>
      <c r="I44" s="19">
        <v>28296</v>
      </c>
      <c r="J44" s="20">
        <v>1443</v>
      </c>
      <c r="K44" s="21">
        <v>1346</v>
      </c>
      <c r="L44" s="2"/>
      <c r="M44" s="179"/>
      <c r="N44" s="179"/>
      <c r="O44" s="179"/>
      <c r="P44" s="179"/>
      <c r="Q44" s="179"/>
      <c r="R44" s="179"/>
      <c r="S44" s="179"/>
      <c r="T44" s="179"/>
      <c r="U44" s="179"/>
      <c r="V44" s="179"/>
      <c r="W44" s="179"/>
    </row>
    <row r="45" spans="2:23" ht="15.75" customHeight="1" x14ac:dyDescent="0.3">
      <c r="B45" s="14" t="s">
        <v>62</v>
      </c>
      <c r="C45" s="15">
        <v>6199</v>
      </c>
      <c r="D45" s="15">
        <v>7251</v>
      </c>
      <c r="E45" s="15">
        <v>8774</v>
      </c>
      <c r="F45" s="15">
        <v>9982</v>
      </c>
      <c r="G45" s="15">
        <v>17014</v>
      </c>
      <c r="H45" s="15">
        <v>28200</v>
      </c>
      <c r="I45" s="15">
        <v>33209</v>
      </c>
      <c r="J45" s="16">
        <v>1718</v>
      </c>
      <c r="K45" s="17">
        <v>1620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2:23" ht="15.75" customHeight="1" x14ac:dyDescent="0.7">
      <c r="B46" s="18" t="s">
        <v>64</v>
      </c>
      <c r="C46" s="19">
        <v>6199</v>
      </c>
      <c r="D46" s="19">
        <v>7251</v>
      </c>
      <c r="E46" s="19">
        <v>8774</v>
      </c>
      <c r="F46" s="19">
        <v>9982</v>
      </c>
      <c r="G46" s="19">
        <v>17014</v>
      </c>
      <c r="H46" s="19">
        <v>28200</v>
      </c>
      <c r="I46" s="19">
        <v>33209</v>
      </c>
      <c r="J46" s="20">
        <v>1718</v>
      </c>
      <c r="K46" s="21">
        <v>1620</v>
      </c>
      <c r="L46" s="2"/>
      <c r="M46" s="35" t="s">
        <v>68</v>
      </c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2:23" ht="15.75" customHeight="1" x14ac:dyDescent="0.3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2:23" ht="15.75" customHeight="1" x14ac:dyDescent="0.3">
      <c r="B48" s="169" t="s">
        <v>69</v>
      </c>
      <c r="C48" s="170"/>
      <c r="D48" s="170"/>
      <c r="E48" s="170"/>
      <c r="F48" s="170"/>
      <c r="G48" s="170"/>
      <c r="H48" s="170"/>
      <c r="I48" s="170"/>
      <c r="J48" s="170"/>
      <c r="K48" s="171"/>
      <c r="L48" s="2"/>
      <c r="M48" s="4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2:23" ht="15.75" customHeight="1" x14ac:dyDescent="0.3">
      <c r="B49" s="8" t="s">
        <v>9</v>
      </c>
      <c r="C49" s="9" t="s">
        <v>10</v>
      </c>
      <c r="D49" s="9" t="s">
        <v>11</v>
      </c>
      <c r="E49" s="9" t="s">
        <v>12</v>
      </c>
      <c r="F49" s="10" t="s">
        <v>13</v>
      </c>
      <c r="G49" s="10" t="s">
        <v>14</v>
      </c>
      <c r="H49" s="11" t="s">
        <v>15</v>
      </c>
      <c r="I49" s="11" t="s">
        <v>16</v>
      </c>
      <c r="J49" s="9" t="s">
        <v>17</v>
      </c>
      <c r="K49" s="12" t="s">
        <v>18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2:23" ht="15.75" customHeight="1" x14ac:dyDescent="0.3">
      <c r="B50" s="18" t="s">
        <v>32</v>
      </c>
      <c r="C50" s="19">
        <v>3225</v>
      </c>
      <c r="D50" s="19">
        <v>3345</v>
      </c>
      <c r="E50" s="19">
        <v>3561</v>
      </c>
      <c r="F50" s="19">
        <v>3877</v>
      </c>
      <c r="G50" s="19">
        <v>4490</v>
      </c>
      <c r="H50" s="19">
        <v>4883</v>
      </c>
      <c r="I50" s="19">
        <v>5716</v>
      </c>
      <c r="J50" s="36">
        <v>451</v>
      </c>
      <c r="K50" s="37">
        <v>451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2:23" ht="15.75" customHeight="1" x14ac:dyDescent="0.3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2:23" ht="15.75" customHeight="1" x14ac:dyDescent="0.3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2:23" ht="15.75" customHeight="1" x14ac:dyDescent="0.3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2:23" ht="15.75" customHeight="1" x14ac:dyDescent="0.3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2:23" ht="15.75" customHeight="1" x14ac:dyDescent="0.3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2:23" ht="15.75" customHeight="1" x14ac:dyDescent="0.3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2:23" ht="15.75" customHeight="1" x14ac:dyDescent="0.3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2:23" ht="15.75" customHeight="1" x14ac:dyDescent="0.3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2:23" ht="15.75" customHeight="1" x14ac:dyDescent="0.3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2:23" ht="15.75" customHeight="1" x14ac:dyDescent="0.3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2:23" ht="15.75" customHeight="1" x14ac:dyDescent="0.3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2:23" ht="15.75" customHeight="1" x14ac:dyDescent="0.3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2:23" ht="15.75" customHeight="1" x14ac:dyDescent="0.3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2:23" ht="15.75" customHeight="1" x14ac:dyDescent="0.3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2:23" ht="15.75" customHeight="1" x14ac:dyDescent="0.3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2:23" ht="15.75" customHeight="1" x14ac:dyDescent="0.3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2:23" ht="15.75" customHeight="1" x14ac:dyDescent="0.3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2:23" ht="15.75" customHeight="1" x14ac:dyDescent="0.3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2:23" ht="15.75" customHeight="1" x14ac:dyDescent="0.3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2:23" ht="15.75" customHeight="1" x14ac:dyDescent="0.3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2:23" ht="15.75" customHeight="1" x14ac:dyDescent="0.3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2:23" ht="15.75" customHeight="1" x14ac:dyDescent="0.3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2:23" ht="15.75" customHeight="1" x14ac:dyDescent="0.3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2:23" ht="15.75" customHeight="1" x14ac:dyDescent="0.3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2:23" ht="15.75" customHeight="1" x14ac:dyDescent="0.3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2:23" ht="15.75" customHeight="1" x14ac:dyDescent="0.3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2:23" ht="15.75" customHeight="1" x14ac:dyDescent="0.3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2:23" ht="15.75" customHeight="1" x14ac:dyDescent="0.3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2:23" ht="15.75" customHeight="1" x14ac:dyDescent="0.3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2:23" ht="15.75" customHeight="1" x14ac:dyDescent="0.3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2:23" ht="15.75" customHeight="1" x14ac:dyDescent="0.3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2:23" ht="15.75" customHeight="1" x14ac:dyDescent="0.3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2:23" ht="15.75" customHeight="1" x14ac:dyDescent="0.3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2:23" ht="15.75" customHeight="1" x14ac:dyDescent="0.3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2:23" ht="15.75" customHeight="1" x14ac:dyDescent="0.3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2:23" ht="15.75" customHeight="1" x14ac:dyDescent="0.3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2:23" ht="15.75" customHeight="1" x14ac:dyDescent="0.3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2:23" ht="15.75" customHeight="1" x14ac:dyDescent="0.3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2:23" ht="15.75" customHeight="1" x14ac:dyDescent="0.3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2:23" ht="15.75" customHeight="1" x14ac:dyDescent="0.3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2:23" ht="15.75" customHeight="1" x14ac:dyDescent="0.3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2:23" ht="15.75" customHeight="1" x14ac:dyDescent="0.3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2:23" ht="15.75" customHeight="1" x14ac:dyDescent="0.3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2:23" ht="15.75" customHeight="1" x14ac:dyDescent="0.3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2:23" ht="15.75" customHeight="1" x14ac:dyDescent="0.3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2:23" ht="15.75" customHeight="1" x14ac:dyDescent="0.3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2:23" ht="15.75" customHeight="1" x14ac:dyDescent="0.3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2:23" ht="15.75" customHeight="1" x14ac:dyDescent="0.3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2:23" ht="15.75" customHeight="1" x14ac:dyDescent="0.3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2:23" ht="15.75" customHeight="1" x14ac:dyDescent="0.3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2:23" ht="15.75" customHeight="1" x14ac:dyDescent="0.3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2:23" ht="15.75" customHeight="1" x14ac:dyDescent="0.3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2:23" ht="15.75" customHeight="1" x14ac:dyDescent="0.3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2:23" ht="15.75" customHeight="1" x14ac:dyDescent="0.3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2:23" ht="15.75" customHeight="1" x14ac:dyDescent="0.3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2:23" ht="15.75" customHeight="1" x14ac:dyDescent="0.3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2:23" ht="15.75" customHeight="1" x14ac:dyDescent="0.3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2:23" ht="15.75" customHeight="1" x14ac:dyDescent="0.3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2:23" ht="15.75" customHeight="1" x14ac:dyDescent="0.3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2:23" ht="15.75" customHeight="1" x14ac:dyDescent="0.3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2:23" ht="15.75" customHeight="1" x14ac:dyDescent="0.3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2:23" ht="15.75" customHeight="1" x14ac:dyDescent="0.3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2:23" ht="15.75" customHeight="1" x14ac:dyDescent="0.3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2:23" ht="15.75" customHeight="1" x14ac:dyDescent="0.3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2:23" ht="15.75" customHeight="1" x14ac:dyDescent="0.3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2:23" ht="15.75" customHeight="1" x14ac:dyDescent="0.3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2:23" ht="15.75" customHeight="1" x14ac:dyDescent="0.3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2:23" ht="15.75" customHeight="1" x14ac:dyDescent="0.3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2:23" ht="15.75" customHeight="1" x14ac:dyDescent="0.3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2:23" ht="15.75" customHeight="1" x14ac:dyDescent="0.3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2:23" ht="15.75" customHeight="1" x14ac:dyDescent="0.3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2:23" ht="15.75" customHeight="1" x14ac:dyDescent="0.3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2:23" ht="15.75" customHeight="1" x14ac:dyDescent="0.3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2:23" ht="15.75" customHeight="1" x14ac:dyDescent="0.3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2:23" ht="15.75" customHeight="1" x14ac:dyDescent="0.3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2:23" ht="15.75" customHeight="1" x14ac:dyDescent="0.3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2:23" ht="15.75" customHeight="1" x14ac:dyDescent="0.3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2:23" ht="15.75" customHeight="1" x14ac:dyDescent="0.3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2:23" ht="15.75" customHeight="1" x14ac:dyDescent="0.3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2:23" ht="15.75" customHeight="1" x14ac:dyDescent="0.3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2:23" ht="15.75" customHeight="1" x14ac:dyDescent="0.3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2:23" ht="15.75" customHeight="1" x14ac:dyDescent="0.3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2:23" ht="15.75" customHeight="1" x14ac:dyDescent="0.3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2:23" ht="15.75" customHeight="1" x14ac:dyDescent="0.3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2:23" ht="15.75" customHeight="1" x14ac:dyDescent="0.3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2:23" ht="15.75" customHeight="1" x14ac:dyDescent="0.3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2:23" ht="15.75" customHeight="1" x14ac:dyDescent="0.3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2:23" ht="15.75" customHeight="1" x14ac:dyDescent="0.3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2:23" ht="15.75" customHeight="1" x14ac:dyDescent="0.3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2:23" ht="15.75" customHeight="1" x14ac:dyDescent="0.3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2:23" ht="15.75" customHeight="1" x14ac:dyDescent="0.3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2:23" ht="15.75" customHeight="1" x14ac:dyDescent="0.3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2:23" ht="15.75" customHeight="1" x14ac:dyDescent="0.3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2:23" ht="15.75" customHeight="1" x14ac:dyDescent="0.3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2:23" ht="15.75" customHeight="1" x14ac:dyDescent="0.3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2:23" ht="15.75" customHeight="1" x14ac:dyDescent="0.3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2:23" ht="15.75" customHeight="1" x14ac:dyDescent="0.3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2:23" ht="15.75" customHeight="1" x14ac:dyDescent="0.3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2:23" ht="15.75" customHeight="1" x14ac:dyDescent="0.3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2:23" ht="15.75" customHeight="1" x14ac:dyDescent="0.3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2:23" ht="15.75" customHeight="1" x14ac:dyDescent="0.3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2:23" ht="15.75" customHeight="1" x14ac:dyDescent="0.3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2:23" ht="15.75" customHeight="1" x14ac:dyDescent="0.3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2:23" ht="15.75" customHeight="1" x14ac:dyDescent="0.3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2:23" ht="15.75" customHeight="1" x14ac:dyDescent="0.3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2:23" ht="15.75" customHeight="1" x14ac:dyDescent="0.3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2:23" ht="15.75" customHeight="1" x14ac:dyDescent="0.3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2:23" ht="15.75" customHeight="1" x14ac:dyDescent="0.3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2:23" ht="15.75" customHeight="1" x14ac:dyDescent="0.3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2:23" ht="15.75" customHeight="1" x14ac:dyDescent="0.3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2:23" ht="15.75" customHeight="1" x14ac:dyDescent="0.3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2:23" ht="15.75" customHeight="1" x14ac:dyDescent="0.3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2:23" ht="15.75" customHeight="1" x14ac:dyDescent="0.3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2:23" ht="15.75" customHeight="1" x14ac:dyDescent="0.3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2:23" ht="15.75" customHeight="1" x14ac:dyDescent="0.3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2:23" ht="15.75" customHeight="1" x14ac:dyDescent="0.3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2:23" ht="15.75" customHeight="1" x14ac:dyDescent="0.3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2:23" ht="15.75" customHeight="1" x14ac:dyDescent="0.3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2:23" ht="15.75" customHeight="1" x14ac:dyDescent="0.3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2:23" ht="15.75" customHeight="1" x14ac:dyDescent="0.3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2:23" ht="15.75" customHeight="1" x14ac:dyDescent="0.3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2:23" ht="15.75" customHeight="1" x14ac:dyDescent="0.3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2:23" ht="15.75" customHeight="1" x14ac:dyDescent="0.3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2:23" ht="15.75" customHeight="1" x14ac:dyDescent="0.3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2:23" ht="15.75" customHeight="1" x14ac:dyDescent="0.3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2:23" ht="15.75" customHeight="1" x14ac:dyDescent="0.3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2:23" ht="15.75" customHeight="1" x14ac:dyDescent="0.3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2:23" ht="15.75" customHeight="1" x14ac:dyDescent="0.3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2:23" ht="15.75" customHeight="1" x14ac:dyDescent="0.3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2:23" ht="15.75" customHeight="1" x14ac:dyDescent="0.3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2:23" ht="15.75" customHeight="1" x14ac:dyDescent="0.3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2:23" ht="15.75" customHeight="1" x14ac:dyDescent="0.3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2:23" ht="15.75" customHeight="1" x14ac:dyDescent="0.3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2:23" ht="15.75" customHeight="1" x14ac:dyDescent="0.3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2:23" ht="15.75" customHeight="1" x14ac:dyDescent="0.3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2:23" ht="15.75" customHeight="1" x14ac:dyDescent="0.3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2:23" ht="15.75" customHeight="1" x14ac:dyDescent="0.3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2:23" ht="15.75" customHeight="1" x14ac:dyDescent="0.3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2:23" ht="15.75" customHeight="1" x14ac:dyDescent="0.3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2:23" ht="15.75" customHeight="1" x14ac:dyDescent="0.3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2:23" ht="15.75" customHeight="1" x14ac:dyDescent="0.3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2:23" ht="15.75" customHeight="1" x14ac:dyDescent="0.3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2:23" ht="15.75" customHeight="1" x14ac:dyDescent="0.3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2:23" ht="15.75" customHeight="1" x14ac:dyDescent="0.3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2:23" ht="15.75" customHeight="1" x14ac:dyDescent="0.3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2:23" ht="15.75" customHeight="1" x14ac:dyDescent="0.3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2:23" ht="15.75" customHeight="1" x14ac:dyDescent="0.3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2:23" ht="15.75" customHeight="1" x14ac:dyDescent="0.3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2:23" ht="15.75" customHeight="1" x14ac:dyDescent="0.3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2:23" ht="15.75" customHeight="1" x14ac:dyDescent="0.3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2:23" ht="15.75" customHeight="1" x14ac:dyDescent="0.3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2:23" ht="15.75" customHeight="1" x14ac:dyDescent="0.3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2:23" ht="15.75" customHeight="1" x14ac:dyDescent="0.3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2:23" ht="15.75" customHeight="1" x14ac:dyDescent="0.3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2:23" ht="15.75" customHeight="1" x14ac:dyDescent="0.3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2:23" ht="15.75" customHeight="1" x14ac:dyDescent="0.3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2:23" ht="15.75" customHeight="1" x14ac:dyDescent="0.3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2:23" ht="15.75" customHeight="1" x14ac:dyDescent="0.3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2:23" ht="15.75" customHeight="1" x14ac:dyDescent="0.3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2:23" ht="15.75" customHeight="1" x14ac:dyDescent="0.3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2:23" ht="15.75" customHeight="1" x14ac:dyDescent="0.3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2:23" ht="15.75" customHeight="1" x14ac:dyDescent="0.3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2:23" ht="15.75" customHeight="1" x14ac:dyDescent="0.3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2:23" ht="15.75" customHeight="1" x14ac:dyDescent="0.3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2:23" ht="15.75" customHeight="1" x14ac:dyDescent="0.3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2:23" ht="15.75" customHeight="1" x14ac:dyDescent="0.3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2:23" ht="15.75" customHeight="1" x14ac:dyDescent="0.3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2:23" ht="15.75" customHeight="1" x14ac:dyDescent="0.3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2:23" ht="15.75" customHeight="1" x14ac:dyDescent="0.3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2:23" ht="15.75" customHeight="1" x14ac:dyDescent="0.3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2:23" ht="15.75" customHeight="1" x14ac:dyDescent="0.3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2:23" ht="15.75" customHeight="1" x14ac:dyDescent="0.3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2:23" ht="15.75" customHeight="1" x14ac:dyDescent="0.3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2:23" ht="15.75" customHeight="1" x14ac:dyDescent="0.3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2:23" ht="15.75" customHeight="1" x14ac:dyDescent="0.3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2:23" ht="15.75" customHeight="1" x14ac:dyDescent="0.3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2:23" ht="15.75" customHeight="1" x14ac:dyDescent="0.3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spans="2:23" ht="15.75" customHeight="1" x14ac:dyDescent="0.3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spans="2:23" ht="15.75" customHeight="1" x14ac:dyDescent="0.3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spans="2:23" ht="15.75" customHeight="1" x14ac:dyDescent="0.3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spans="2:23" ht="15.75" customHeight="1" x14ac:dyDescent="0.3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spans="2:23" ht="15.75" customHeight="1" x14ac:dyDescent="0.3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spans="2:23" ht="15.75" customHeight="1" x14ac:dyDescent="0.3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spans="2:23" ht="15.75" customHeight="1" x14ac:dyDescent="0.3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spans="2:23" ht="15.75" customHeight="1" x14ac:dyDescent="0.3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spans="2:23" ht="15.75" customHeight="1" x14ac:dyDescent="0.3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spans="2:23" ht="15.75" customHeight="1" x14ac:dyDescent="0.3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spans="2:23" ht="15.75" customHeight="1" x14ac:dyDescent="0.3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spans="2:23" ht="15.75" customHeight="1" x14ac:dyDescent="0.3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spans="2:23" ht="15.75" customHeight="1" x14ac:dyDescent="0.3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spans="2:23" ht="15.75" customHeight="1" x14ac:dyDescent="0.3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spans="2:23" ht="15.75" customHeight="1" x14ac:dyDescent="0.3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spans="2:23" ht="15.75" customHeight="1" x14ac:dyDescent="0.3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spans="2:23" ht="15.75" customHeight="1" x14ac:dyDescent="0.3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spans="2:23" ht="15.75" customHeight="1" x14ac:dyDescent="0.3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spans="2:23" ht="15.75" customHeight="1" x14ac:dyDescent="0.3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spans="2:23" ht="15.75" customHeight="1" x14ac:dyDescent="0.3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spans="2:23" ht="15.75" customHeight="1" x14ac:dyDescent="0.3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spans="2:23" ht="15.75" customHeight="1" x14ac:dyDescent="0.3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 spans="2:23" ht="15.75" customHeight="1" x14ac:dyDescent="0.3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spans="2:23" ht="15.75" customHeight="1" x14ac:dyDescent="0.3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spans="2:23" ht="15.75" customHeight="1" x14ac:dyDescent="0.3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spans="2:23" ht="15.75" customHeight="1" x14ac:dyDescent="0.3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spans="2:23" ht="15.75" customHeight="1" x14ac:dyDescent="0.3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spans="2:23" ht="15.75" customHeight="1" x14ac:dyDescent="0.3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spans="2:23" ht="15.75" customHeight="1" x14ac:dyDescent="0.3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spans="2:23" ht="15.75" customHeight="1" x14ac:dyDescent="0.3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spans="2:23" ht="15.75" customHeight="1" x14ac:dyDescent="0.3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spans="2:23" ht="15.75" customHeight="1" x14ac:dyDescent="0.3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spans="2:23" ht="15.75" customHeight="1" x14ac:dyDescent="0.3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spans="2:23" ht="15.75" customHeight="1" x14ac:dyDescent="0.3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spans="2:23" ht="15.75" customHeight="1" x14ac:dyDescent="0.3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spans="2:23" ht="15.75" customHeight="1" x14ac:dyDescent="0.3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spans="2:23" ht="15.75" customHeight="1" x14ac:dyDescent="0.3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spans="2:23" ht="15.75" customHeight="1" x14ac:dyDescent="0.3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spans="2:23" ht="15.75" customHeight="1" x14ac:dyDescent="0.3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spans="2:23" ht="15.75" customHeight="1" x14ac:dyDescent="0.3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spans="2:23" ht="15.75" customHeight="1" x14ac:dyDescent="0.3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spans="2:23" ht="15.75" customHeight="1" x14ac:dyDescent="0.3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spans="2:23" ht="15.75" customHeight="1" x14ac:dyDescent="0.3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spans="2:23" ht="15.75" customHeight="1" x14ac:dyDescent="0.3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spans="2:23" ht="15.75" customHeight="1" x14ac:dyDescent="0.3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spans="2:23" ht="15.75" customHeight="1" x14ac:dyDescent="0.3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spans="2:23" ht="15.75" customHeight="1" x14ac:dyDescent="0.3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 spans="2:23" ht="15.75" customHeight="1" x14ac:dyDescent="0.3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spans="2:23" ht="15.75" customHeight="1" x14ac:dyDescent="0.3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spans="2:23" ht="15.75" customHeight="1" x14ac:dyDescent="0.3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spans="2:23" ht="15.75" customHeight="1" x14ac:dyDescent="0.3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spans="2:23" ht="15.75" customHeight="1" x14ac:dyDescent="0.3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spans="2:23" ht="15.75" customHeight="1" x14ac:dyDescent="0.3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spans="2:23" ht="15.75" customHeight="1" x14ac:dyDescent="0.3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spans="2:23" ht="15.75" customHeight="1" x14ac:dyDescent="0.3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spans="2:23" ht="15.75" customHeight="1" x14ac:dyDescent="0.3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spans="2:23" ht="15.75" customHeight="1" x14ac:dyDescent="0.3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spans="2:23" ht="15.75" customHeight="1" x14ac:dyDescent="0.3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spans="2:23" ht="15.75" customHeight="1" x14ac:dyDescent="0.3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spans="2:23" ht="15.75" customHeight="1" x14ac:dyDescent="0.3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spans="2:23" ht="15.75" customHeight="1" x14ac:dyDescent="0.3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spans="2:23" ht="15.75" customHeight="1" x14ac:dyDescent="0.3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spans="2:23" ht="15.75" customHeight="1" x14ac:dyDescent="0.3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spans="2:23" ht="15.75" customHeight="1" x14ac:dyDescent="0.3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spans="2:23" ht="15.75" customHeight="1" x14ac:dyDescent="0.3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 spans="2:23" ht="15.75" customHeight="1" x14ac:dyDescent="0.3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 spans="2:23" ht="15.75" customHeight="1" x14ac:dyDescent="0.3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 spans="2:23" ht="15.75" customHeight="1" x14ac:dyDescent="0.3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spans="2:23" ht="15.75" customHeight="1" x14ac:dyDescent="0.3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 spans="2:23" ht="15.75" customHeight="1" x14ac:dyDescent="0.3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spans="2:23" ht="15.75" customHeight="1" x14ac:dyDescent="0.3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spans="2:23" ht="15.75" customHeight="1" x14ac:dyDescent="0.3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 spans="2:23" ht="15.75" customHeight="1" x14ac:dyDescent="0.3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 spans="2:23" ht="15.75" customHeight="1" x14ac:dyDescent="0.3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spans="2:23" ht="15.75" customHeight="1" x14ac:dyDescent="0.3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2:23" ht="15.75" customHeight="1" x14ac:dyDescent="0.3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2:23" ht="15.75" customHeight="1" x14ac:dyDescent="0.3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 spans="2:23" ht="15.75" customHeight="1" x14ac:dyDescent="0.3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spans="2:23" ht="15.75" customHeight="1" x14ac:dyDescent="0.3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 spans="2:23" ht="15.75" customHeight="1" x14ac:dyDescent="0.3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spans="2:23" ht="15.75" customHeight="1" x14ac:dyDescent="0.3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spans="2:23" ht="15.75" customHeight="1" x14ac:dyDescent="0.3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spans="2:23" ht="15.75" customHeight="1" x14ac:dyDescent="0.3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spans="2:23" ht="15.75" customHeight="1" x14ac:dyDescent="0.3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spans="2:23" ht="15.75" customHeight="1" x14ac:dyDescent="0.3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spans="2:23" ht="15.75" customHeight="1" x14ac:dyDescent="0.3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spans="2:23" ht="15.75" customHeight="1" x14ac:dyDescent="0.3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 spans="2:23" ht="15.75" customHeight="1" x14ac:dyDescent="0.3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spans="2:23" ht="15.75" customHeight="1" x14ac:dyDescent="0.3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 spans="2:23" ht="15.75" customHeight="1" x14ac:dyDescent="0.3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 spans="2:23" ht="15.75" customHeight="1" x14ac:dyDescent="0.3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 spans="2:23" ht="15.75" customHeight="1" x14ac:dyDescent="0.3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 spans="2:23" ht="15.75" customHeight="1" x14ac:dyDescent="0.3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 spans="2:23" ht="15.75" customHeight="1" x14ac:dyDescent="0.3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spans="2:23" ht="15.75" customHeight="1" x14ac:dyDescent="0.3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 spans="2:23" ht="15.75" customHeight="1" x14ac:dyDescent="0.3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 spans="2:23" ht="15.75" customHeight="1" x14ac:dyDescent="0.3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 spans="2:23" ht="15.75" customHeight="1" x14ac:dyDescent="0.3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 spans="2:23" ht="15.75" customHeight="1" x14ac:dyDescent="0.3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 spans="2:23" ht="15.75" customHeight="1" x14ac:dyDescent="0.3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 spans="2:23" ht="15.75" customHeight="1" x14ac:dyDescent="0.3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 spans="2:23" ht="15.75" customHeight="1" x14ac:dyDescent="0.3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 spans="2:23" ht="15.75" customHeight="1" x14ac:dyDescent="0.3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 spans="2:23" ht="15.75" customHeight="1" x14ac:dyDescent="0.3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 spans="2:23" ht="15.75" customHeight="1" x14ac:dyDescent="0.3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 spans="2:23" ht="15.75" customHeight="1" x14ac:dyDescent="0.3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 spans="2:23" ht="15.75" customHeight="1" x14ac:dyDescent="0.3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 spans="2:23" ht="15.75" customHeight="1" x14ac:dyDescent="0.3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 spans="2:23" ht="15.75" customHeight="1" x14ac:dyDescent="0.3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 spans="2:23" ht="15.75" customHeight="1" x14ac:dyDescent="0.3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 spans="2:23" ht="15.75" customHeight="1" x14ac:dyDescent="0.3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 spans="2:23" ht="15.75" customHeight="1" x14ac:dyDescent="0.3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 spans="2:23" ht="15.75" customHeight="1" x14ac:dyDescent="0.3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 spans="2:23" ht="15.75" customHeight="1" x14ac:dyDescent="0.3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 spans="2:23" ht="15.75" customHeight="1" x14ac:dyDescent="0.3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 spans="2:23" ht="15.75" customHeight="1" x14ac:dyDescent="0.3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 spans="2:23" ht="15.75" customHeight="1" x14ac:dyDescent="0.3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 spans="2:23" ht="15.75" customHeight="1" x14ac:dyDescent="0.3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 spans="2:23" ht="15.75" customHeight="1" x14ac:dyDescent="0.3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 spans="2:23" ht="15.75" customHeight="1" x14ac:dyDescent="0.3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 spans="2:23" ht="15.75" customHeight="1" x14ac:dyDescent="0.3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 spans="2:23" ht="15.75" customHeight="1" x14ac:dyDescent="0.3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 spans="2:23" ht="15.75" customHeight="1" x14ac:dyDescent="0.3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 spans="2:23" ht="15.75" customHeight="1" x14ac:dyDescent="0.3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 spans="2:23" ht="15.75" customHeight="1" x14ac:dyDescent="0.3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 spans="2:23" ht="15.75" customHeight="1" x14ac:dyDescent="0.3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 spans="2:23" ht="15.75" customHeight="1" x14ac:dyDescent="0.3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 spans="2:23" ht="15.75" customHeight="1" x14ac:dyDescent="0.3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 spans="2:23" ht="15.75" customHeight="1" x14ac:dyDescent="0.3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 spans="2:23" ht="15.75" customHeight="1" x14ac:dyDescent="0.3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 spans="2:23" ht="15.75" customHeight="1" x14ac:dyDescent="0.3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 spans="2:23" ht="15.75" customHeight="1" x14ac:dyDescent="0.3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 spans="2:23" ht="15.75" customHeight="1" x14ac:dyDescent="0.3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 spans="2:23" ht="15.75" customHeight="1" x14ac:dyDescent="0.3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 spans="2:23" ht="15.75" customHeight="1" x14ac:dyDescent="0.3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 spans="2:23" ht="15.75" customHeight="1" x14ac:dyDescent="0.3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 spans="2:23" ht="15.75" customHeight="1" x14ac:dyDescent="0.3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 spans="2:23" ht="15.75" customHeight="1" x14ac:dyDescent="0.3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 spans="2:23" ht="15.75" customHeight="1" x14ac:dyDescent="0.3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 spans="2:23" ht="15.75" customHeight="1" x14ac:dyDescent="0.3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 spans="2:23" ht="15.75" customHeight="1" x14ac:dyDescent="0.3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 spans="2:23" ht="15.75" customHeight="1" x14ac:dyDescent="0.3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 spans="2:23" ht="15.75" customHeight="1" x14ac:dyDescent="0.3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 spans="2:23" ht="15.75" customHeight="1" x14ac:dyDescent="0.3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 spans="2:23" ht="15.75" customHeight="1" x14ac:dyDescent="0.3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 spans="2:23" ht="15.75" customHeight="1" x14ac:dyDescent="0.3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 spans="2:23" ht="15.75" customHeight="1" x14ac:dyDescent="0.3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 spans="2:23" ht="15.75" customHeight="1" x14ac:dyDescent="0.3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 spans="2:23" ht="15.75" customHeight="1" x14ac:dyDescent="0.3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 spans="2:23" ht="15.75" customHeight="1" x14ac:dyDescent="0.3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 spans="2:23" ht="15.75" customHeight="1" x14ac:dyDescent="0.3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 spans="2:23" ht="15.75" customHeight="1" x14ac:dyDescent="0.3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 spans="2:23" ht="15.75" customHeight="1" x14ac:dyDescent="0.3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 spans="2:23" ht="15.75" customHeight="1" x14ac:dyDescent="0.3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 spans="2:23" ht="15.75" customHeight="1" x14ac:dyDescent="0.3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 spans="2:23" ht="15.75" customHeight="1" x14ac:dyDescent="0.3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 spans="2:23" ht="15.75" customHeight="1" x14ac:dyDescent="0.3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 spans="2:23" ht="15.75" customHeight="1" x14ac:dyDescent="0.3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 spans="2:23" ht="15.75" customHeight="1" x14ac:dyDescent="0.3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 spans="2:23" ht="15.75" customHeight="1" x14ac:dyDescent="0.3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 spans="2:23" ht="15.75" customHeight="1" x14ac:dyDescent="0.3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 spans="2:23" ht="15.75" customHeight="1" x14ac:dyDescent="0.3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 spans="2:23" ht="15.75" customHeight="1" x14ac:dyDescent="0.3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 spans="2:23" ht="15.75" customHeight="1" x14ac:dyDescent="0.3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 spans="2:23" ht="15.75" customHeight="1" x14ac:dyDescent="0.3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 spans="2:23" ht="15.75" customHeight="1" x14ac:dyDescent="0.3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 spans="2:23" ht="15.75" customHeight="1" x14ac:dyDescent="0.3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 spans="2:23" ht="15.75" customHeight="1" x14ac:dyDescent="0.3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 spans="2:23" ht="15.75" customHeight="1" x14ac:dyDescent="0.3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 spans="2:23" ht="15.75" customHeight="1" x14ac:dyDescent="0.3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 spans="2:23" ht="15.75" customHeight="1" x14ac:dyDescent="0.3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 spans="2:23" ht="15.75" customHeight="1" x14ac:dyDescent="0.3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 spans="2:23" ht="15.75" customHeight="1" x14ac:dyDescent="0.3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 spans="2:23" ht="15.75" customHeight="1" x14ac:dyDescent="0.3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 spans="2:23" ht="15.75" customHeight="1" x14ac:dyDescent="0.3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 spans="2:23" ht="15.75" customHeight="1" x14ac:dyDescent="0.3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 spans="2:23" ht="15.75" customHeight="1" x14ac:dyDescent="0.3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 spans="2:23" ht="15.75" customHeight="1" x14ac:dyDescent="0.3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 spans="2:23" ht="15.75" customHeight="1" x14ac:dyDescent="0.3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 spans="2:23" ht="15.75" customHeight="1" x14ac:dyDescent="0.3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 spans="2:23" ht="15.75" customHeight="1" x14ac:dyDescent="0.3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 spans="2:23" ht="15.75" customHeight="1" x14ac:dyDescent="0.3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 spans="2:23" ht="15.75" customHeight="1" x14ac:dyDescent="0.3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 spans="2:23" ht="15.75" customHeight="1" x14ac:dyDescent="0.3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 spans="2:23" ht="15.75" customHeight="1" x14ac:dyDescent="0.3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 spans="2:23" ht="15.75" customHeight="1" x14ac:dyDescent="0.3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 spans="2:23" ht="15.75" customHeight="1" x14ac:dyDescent="0.3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 spans="2:23" ht="15.75" customHeight="1" x14ac:dyDescent="0.3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 spans="2:23" ht="15.75" customHeight="1" x14ac:dyDescent="0.3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 spans="2:23" ht="15.75" customHeight="1" x14ac:dyDescent="0.3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 spans="2:23" ht="15.75" customHeight="1" x14ac:dyDescent="0.3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 spans="2:23" ht="15.75" customHeight="1" x14ac:dyDescent="0.3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 spans="2:23" ht="15.75" customHeight="1" x14ac:dyDescent="0.3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 spans="2:23" ht="15.75" customHeight="1" x14ac:dyDescent="0.3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 spans="2:23" ht="15.75" customHeight="1" x14ac:dyDescent="0.3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 spans="2:23" ht="15.75" customHeight="1" x14ac:dyDescent="0.3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 spans="2:23" ht="15.75" customHeight="1" x14ac:dyDescent="0.3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 spans="2:23" ht="15.75" customHeight="1" x14ac:dyDescent="0.3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 spans="2:23" ht="15.75" customHeight="1" x14ac:dyDescent="0.3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 spans="2:23" ht="15.75" customHeight="1" x14ac:dyDescent="0.3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 spans="2:23" ht="15.75" customHeight="1" x14ac:dyDescent="0.3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 spans="2:23" ht="15.75" customHeight="1" x14ac:dyDescent="0.3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 spans="2:23" ht="15.75" customHeight="1" x14ac:dyDescent="0.3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 spans="2:23" ht="15.75" customHeight="1" x14ac:dyDescent="0.3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 spans="2:23" ht="15.75" customHeight="1" x14ac:dyDescent="0.3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 spans="2:23" ht="15.75" customHeight="1" x14ac:dyDescent="0.3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 spans="2:23" ht="15.75" customHeight="1" x14ac:dyDescent="0.3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 spans="2:23" ht="15.75" customHeight="1" x14ac:dyDescent="0.3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 spans="2:23" ht="15.75" customHeight="1" x14ac:dyDescent="0.3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 spans="2:23" ht="15.75" customHeight="1" x14ac:dyDescent="0.3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 spans="2:23" ht="15.75" customHeight="1" x14ac:dyDescent="0.3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 spans="2:23" ht="15.75" customHeight="1" x14ac:dyDescent="0.3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 spans="2:23" ht="15.75" customHeight="1" x14ac:dyDescent="0.3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 spans="2:23" ht="15.75" customHeight="1" x14ac:dyDescent="0.3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 spans="2:23" ht="15.75" customHeight="1" x14ac:dyDescent="0.3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 spans="2:23" ht="15.75" customHeight="1" x14ac:dyDescent="0.3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 spans="2:23" ht="15.75" customHeight="1" x14ac:dyDescent="0.3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 spans="2:23" ht="15.75" customHeight="1" x14ac:dyDescent="0.3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 spans="2:23" ht="15.75" customHeight="1" x14ac:dyDescent="0.3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 spans="2:23" ht="15.75" customHeight="1" x14ac:dyDescent="0.3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 spans="2:23" ht="15.75" customHeight="1" x14ac:dyDescent="0.3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 spans="2:23" ht="15.75" customHeight="1" x14ac:dyDescent="0.3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 spans="2:23" ht="15.75" customHeight="1" x14ac:dyDescent="0.3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 spans="2:23" ht="15.75" customHeight="1" x14ac:dyDescent="0.3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 spans="2:23" ht="15.75" customHeight="1" x14ac:dyDescent="0.3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 spans="2:23" ht="15.75" customHeight="1" x14ac:dyDescent="0.3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 spans="2:23" ht="15.75" customHeight="1" x14ac:dyDescent="0.3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 spans="2:23" ht="15.75" customHeight="1" x14ac:dyDescent="0.3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 spans="2:23" ht="15.75" customHeight="1" x14ac:dyDescent="0.3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 spans="2:23" ht="15.75" customHeight="1" x14ac:dyDescent="0.3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 spans="2:23" ht="15.75" customHeight="1" x14ac:dyDescent="0.3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 spans="2:23" ht="15.75" customHeight="1" x14ac:dyDescent="0.3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 spans="2:23" ht="15.75" customHeight="1" x14ac:dyDescent="0.3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 spans="2:23" ht="15.75" customHeight="1" x14ac:dyDescent="0.3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 spans="2:23" ht="15.75" customHeight="1" x14ac:dyDescent="0.3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 spans="2:23" ht="15.75" customHeight="1" x14ac:dyDescent="0.3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 spans="2:23" ht="15.75" customHeight="1" x14ac:dyDescent="0.3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 spans="2:23" ht="15.75" customHeight="1" x14ac:dyDescent="0.3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 spans="2:23" ht="15.75" customHeight="1" x14ac:dyDescent="0.3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 spans="2:23" ht="15.75" customHeight="1" x14ac:dyDescent="0.3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 spans="2:23" ht="15.75" customHeight="1" x14ac:dyDescent="0.3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 spans="2:23" ht="15.75" customHeight="1" x14ac:dyDescent="0.3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 spans="2:23" ht="15.75" customHeight="1" x14ac:dyDescent="0.3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 spans="2:23" ht="15.75" customHeight="1" x14ac:dyDescent="0.3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 spans="2:23" ht="15.75" customHeight="1" x14ac:dyDescent="0.3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 spans="2:23" ht="15.75" customHeight="1" x14ac:dyDescent="0.3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 spans="2:23" ht="15.75" customHeight="1" x14ac:dyDescent="0.3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 spans="2:23" ht="15.75" customHeight="1" x14ac:dyDescent="0.3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 spans="2:23" ht="15.75" customHeight="1" x14ac:dyDescent="0.3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 spans="2:23" ht="15.75" customHeight="1" x14ac:dyDescent="0.3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 spans="2:23" ht="15.75" customHeight="1" x14ac:dyDescent="0.3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 spans="2:23" ht="15.75" customHeight="1" x14ac:dyDescent="0.3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 spans="2:23" ht="15.75" customHeight="1" x14ac:dyDescent="0.3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 spans="2:23" ht="15.75" customHeight="1" x14ac:dyDescent="0.3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 spans="2:23" ht="15.75" customHeight="1" x14ac:dyDescent="0.3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 spans="2:23" ht="15.75" customHeight="1" x14ac:dyDescent="0.3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 spans="2:23" ht="15.75" customHeight="1" x14ac:dyDescent="0.3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 spans="2:23" ht="15.75" customHeight="1" x14ac:dyDescent="0.3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 spans="2:23" ht="15.75" customHeight="1" x14ac:dyDescent="0.3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 spans="2:23" ht="15.75" customHeight="1" x14ac:dyDescent="0.3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 spans="2:23" ht="15.75" customHeight="1" x14ac:dyDescent="0.3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 spans="2:23" ht="15.75" customHeight="1" x14ac:dyDescent="0.3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2:23" ht="15.75" customHeight="1" x14ac:dyDescent="0.3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 spans="2:23" ht="15.75" customHeight="1" x14ac:dyDescent="0.3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 spans="2:23" ht="15.75" customHeight="1" x14ac:dyDescent="0.3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 spans="2:23" ht="15.75" customHeight="1" x14ac:dyDescent="0.3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 spans="2:23" ht="15.75" customHeight="1" x14ac:dyDescent="0.3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 spans="2:23" ht="15.75" customHeight="1" x14ac:dyDescent="0.3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 spans="2:23" ht="15.75" customHeight="1" x14ac:dyDescent="0.3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 spans="2:23" ht="15.75" customHeight="1" x14ac:dyDescent="0.3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 spans="2:23" ht="15.75" customHeight="1" x14ac:dyDescent="0.3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 spans="2:23" ht="15.75" customHeight="1" x14ac:dyDescent="0.3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 spans="2:23" ht="15.75" customHeight="1" x14ac:dyDescent="0.3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 spans="2:23" ht="15.75" customHeight="1" x14ac:dyDescent="0.3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 spans="2:23" ht="15.75" customHeight="1" x14ac:dyDescent="0.3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 spans="2:23" ht="15.75" customHeight="1" x14ac:dyDescent="0.3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 spans="2:23" ht="15.75" customHeight="1" x14ac:dyDescent="0.3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 spans="2:23" ht="15.75" customHeight="1" x14ac:dyDescent="0.3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 spans="2:23" ht="15.75" customHeight="1" x14ac:dyDescent="0.3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 spans="2:23" ht="15.75" customHeight="1" x14ac:dyDescent="0.3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 spans="2:23" ht="15.75" customHeight="1" x14ac:dyDescent="0.3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 spans="2:23" ht="15.75" customHeight="1" x14ac:dyDescent="0.3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 spans="2:23" ht="15.75" customHeight="1" x14ac:dyDescent="0.3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 spans="2:23" ht="15.75" customHeight="1" x14ac:dyDescent="0.3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 spans="2:23" ht="15.75" customHeight="1" x14ac:dyDescent="0.3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 spans="2:23" ht="15.75" customHeight="1" x14ac:dyDescent="0.3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 spans="2:23" ht="15.75" customHeight="1" x14ac:dyDescent="0.3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 spans="2:23" ht="15.75" customHeight="1" x14ac:dyDescent="0.3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 spans="2:23" ht="15.75" customHeight="1" x14ac:dyDescent="0.3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 spans="2:23" ht="15.75" customHeight="1" x14ac:dyDescent="0.3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 spans="2:23" ht="15.75" customHeight="1" x14ac:dyDescent="0.3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 spans="2:23" ht="15.75" customHeight="1" x14ac:dyDescent="0.3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 spans="2:23" ht="15.75" customHeight="1" x14ac:dyDescent="0.3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 spans="2:23" ht="15.75" customHeight="1" x14ac:dyDescent="0.3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 spans="2:23" ht="15.75" customHeight="1" x14ac:dyDescent="0.3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 spans="2:23" ht="15.75" customHeight="1" x14ac:dyDescent="0.3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 spans="2:23" ht="15.75" customHeight="1" x14ac:dyDescent="0.3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 spans="2:23" ht="15.75" customHeight="1" x14ac:dyDescent="0.3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 spans="2:23" ht="15.75" customHeight="1" x14ac:dyDescent="0.3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 spans="2:23" ht="15.75" customHeight="1" x14ac:dyDescent="0.3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 spans="2:23" ht="15.75" customHeight="1" x14ac:dyDescent="0.3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 spans="2:23" ht="15.75" customHeight="1" x14ac:dyDescent="0.3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 spans="2:23" ht="15.75" customHeight="1" x14ac:dyDescent="0.3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 spans="2:23" ht="15.75" customHeight="1" x14ac:dyDescent="0.3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 spans="2:23" ht="15.75" customHeight="1" x14ac:dyDescent="0.3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 spans="2:23" ht="15.75" customHeight="1" x14ac:dyDescent="0.3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 spans="2:23" ht="15.75" customHeight="1" x14ac:dyDescent="0.3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 spans="2:23" ht="15.75" customHeight="1" x14ac:dyDescent="0.3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 spans="2:23" ht="15.75" customHeight="1" x14ac:dyDescent="0.3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 spans="2:23" ht="15.75" customHeight="1" x14ac:dyDescent="0.3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 spans="2:23" ht="15.75" customHeight="1" x14ac:dyDescent="0.3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 spans="2:23" ht="15.75" customHeight="1" x14ac:dyDescent="0.3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 spans="2:23" ht="15.75" customHeight="1" x14ac:dyDescent="0.3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 spans="2:23" ht="15.75" customHeight="1" x14ac:dyDescent="0.3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 spans="2:23" ht="15.75" customHeight="1" x14ac:dyDescent="0.3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 spans="2:23" ht="15.75" customHeight="1" x14ac:dyDescent="0.3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 spans="2:23" ht="15.75" customHeight="1" x14ac:dyDescent="0.3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 spans="2:23" ht="15.75" customHeight="1" x14ac:dyDescent="0.3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 spans="2:23" ht="15.75" customHeight="1" x14ac:dyDescent="0.3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 spans="2:23" ht="15.75" customHeight="1" x14ac:dyDescent="0.3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 spans="2:23" ht="15.75" customHeight="1" x14ac:dyDescent="0.3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 spans="2:23" ht="15.75" customHeight="1" x14ac:dyDescent="0.3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 spans="2:23" ht="15.75" customHeight="1" x14ac:dyDescent="0.3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 spans="2:23" ht="15.75" customHeight="1" x14ac:dyDescent="0.3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 spans="2:23" ht="15.75" customHeight="1" x14ac:dyDescent="0.3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 spans="2:23" ht="15.75" customHeight="1" x14ac:dyDescent="0.3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 spans="2:23" ht="15.75" customHeight="1" x14ac:dyDescent="0.3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 spans="2:23" ht="15.75" customHeight="1" x14ac:dyDescent="0.3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 spans="2:23" ht="15.75" customHeight="1" x14ac:dyDescent="0.3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 spans="2:23" ht="15.75" customHeight="1" x14ac:dyDescent="0.3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 spans="2:23" ht="15.75" customHeight="1" x14ac:dyDescent="0.3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 spans="2:23" ht="15.75" customHeight="1" x14ac:dyDescent="0.3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 spans="2:23" ht="15.75" customHeight="1" x14ac:dyDescent="0.3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 spans="2:23" ht="15.75" customHeight="1" x14ac:dyDescent="0.3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 spans="2:23" ht="15.75" customHeight="1" x14ac:dyDescent="0.3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 spans="2:23" ht="15.75" customHeight="1" x14ac:dyDescent="0.3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 spans="2:23" ht="15.75" customHeight="1" x14ac:dyDescent="0.3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 spans="2:23" ht="15.75" customHeight="1" x14ac:dyDescent="0.3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 spans="2:23" ht="15.75" customHeight="1" x14ac:dyDescent="0.3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 spans="2:23" ht="15.75" customHeight="1" x14ac:dyDescent="0.3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 spans="2:23" ht="15.75" customHeight="1" x14ac:dyDescent="0.3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 spans="2:23" ht="15.75" customHeight="1" x14ac:dyDescent="0.3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 spans="2:23" ht="15.75" customHeight="1" x14ac:dyDescent="0.3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 spans="2:23" ht="15.75" customHeight="1" x14ac:dyDescent="0.3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 spans="2:23" ht="15.75" customHeight="1" x14ac:dyDescent="0.3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 spans="2:23" ht="15.75" customHeight="1" x14ac:dyDescent="0.3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 spans="2:23" ht="15.75" customHeight="1" x14ac:dyDescent="0.3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 spans="2:23" ht="15.75" customHeight="1" x14ac:dyDescent="0.3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 spans="2:23" ht="15.75" customHeight="1" x14ac:dyDescent="0.3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 spans="2:23" ht="15.75" customHeight="1" x14ac:dyDescent="0.3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 spans="2:23" ht="15.75" customHeight="1" x14ac:dyDescent="0.3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 spans="2:23" ht="15.75" customHeight="1" x14ac:dyDescent="0.3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 spans="2:23" ht="15.75" customHeight="1" x14ac:dyDescent="0.3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 spans="2:23" ht="15.75" customHeight="1" x14ac:dyDescent="0.3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 spans="2:23" ht="15.75" customHeight="1" x14ac:dyDescent="0.3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 spans="2:23" ht="15.75" customHeight="1" x14ac:dyDescent="0.3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 spans="2:23" ht="15.75" customHeight="1" x14ac:dyDescent="0.3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 spans="2:23" ht="15.75" customHeight="1" x14ac:dyDescent="0.3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 spans="2:23" ht="15.75" customHeight="1" x14ac:dyDescent="0.3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 spans="2:23" ht="15.75" customHeight="1" x14ac:dyDescent="0.3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 spans="2:23" ht="15.75" customHeight="1" x14ac:dyDescent="0.3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 spans="2:23" ht="15.75" customHeight="1" x14ac:dyDescent="0.3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 spans="2:23" ht="15.75" customHeight="1" x14ac:dyDescent="0.3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 spans="2:23" ht="15.75" customHeight="1" x14ac:dyDescent="0.3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 spans="2:23" ht="15.75" customHeight="1" x14ac:dyDescent="0.3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 spans="2:23" ht="15.75" customHeight="1" x14ac:dyDescent="0.3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 spans="2:23" ht="15.75" customHeight="1" x14ac:dyDescent="0.3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 spans="2:23" ht="15.75" customHeight="1" x14ac:dyDescent="0.3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 spans="2:23" ht="15.75" customHeight="1" x14ac:dyDescent="0.3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 spans="2:23" ht="15.75" customHeight="1" x14ac:dyDescent="0.3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 spans="2:23" ht="15.75" customHeight="1" x14ac:dyDescent="0.3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 spans="2:23" ht="15.75" customHeight="1" x14ac:dyDescent="0.3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 spans="2:23" ht="15.75" customHeight="1" x14ac:dyDescent="0.3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 spans="2:23" ht="15.75" customHeight="1" x14ac:dyDescent="0.3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 spans="2:23" ht="15.75" customHeight="1" x14ac:dyDescent="0.3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 spans="2:23" ht="15.75" customHeight="1" x14ac:dyDescent="0.3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 spans="2:23" ht="15.75" customHeight="1" x14ac:dyDescent="0.3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 spans="2:23" ht="15.75" customHeight="1" x14ac:dyDescent="0.3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 spans="2:23" ht="15.75" customHeight="1" x14ac:dyDescent="0.3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 spans="2:23" ht="15.75" customHeight="1" x14ac:dyDescent="0.3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 spans="2:23" ht="15.75" customHeight="1" x14ac:dyDescent="0.3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 spans="2:23" ht="15.75" customHeight="1" x14ac:dyDescent="0.3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 spans="2:23" ht="15.75" customHeight="1" x14ac:dyDescent="0.3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 spans="2:23" ht="15.75" customHeight="1" x14ac:dyDescent="0.3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 spans="2:23" ht="15.75" customHeight="1" x14ac:dyDescent="0.3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 spans="2:23" ht="15.75" customHeight="1" x14ac:dyDescent="0.3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 spans="2:23" ht="15.75" customHeight="1" x14ac:dyDescent="0.3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 spans="2:23" ht="15.75" customHeight="1" x14ac:dyDescent="0.3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 spans="2:23" ht="15.75" customHeight="1" x14ac:dyDescent="0.3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 spans="2:23" ht="15.75" customHeight="1" x14ac:dyDescent="0.3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 spans="2:23" ht="15.75" customHeight="1" x14ac:dyDescent="0.3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 spans="2:23" ht="15.75" customHeight="1" x14ac:dyDescent="0.3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 spans="2:23" ht="15.75" customHeight="1" x14ac:dyDescent="0.3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 spans="2:23" ht="15.75" customHeight="1" x14ac:dyDescent="0.3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 spans="2:23" ht="15.75" customHeight="1" x14ac:dyDescent="0.3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 spans="2:23" ht="15.75" customHeight="1" x14ac:dyDescent="0.3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 spans="2:23" ht="15.75" customHeight="1" x14ac:dyDescent="0.3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 spans="2:23" ht="15.75" customHeight="1" x14ac:dyDescent="0.3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 spans="2:23" ht="15.75" customHeight="1" x14ac:dyDescent="0.3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 spans="2:23" ht="15.75" customHeight="1" x14ac:dyDescent="0.3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 spans="2:23" ht="15.75" customHeight="1" x14ac:dyDescent="0.3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 spans="2:23" ht="15.75" customHeight="1" x14ac:dyDescent="0.3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 spans="2:23" ht="15.75" customHeight="1" x14ac:dyDescent="0.3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 spans="2:23" ht="15.75" customHeight="1" x14ac:dyDescent="0.3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 spans="2:23" ht="15.75" customHeight="1" x14ac:dyDescent="0.3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 spans="2:23" ht="15.75" customHeight="1" x14ac:dyDescent="0.3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 spans="2:23" ht="15.75" customHeight="1" x14ac:dyDescent="0.3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 spans="2:23" ht="15.75" customHeight="1" x14ac:dyDescent="0.3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 spans="2:23" ht="15.75" customHeight="1" x14ac:dyDescent="0.3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 spans="2:23" ht="15.75" customHeight="1" x14ac:dyDescent="0.3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 spans="2:23" ht="15.75" customHeight="1" x14ac:dyDescent="0.3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 spans="2:23" ht="15.75" customHeight="1" x14ac:dyDescent="0.3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 spans="2:23" ht="15.75" customHeight="1" x14ac:dyDescent="0.3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 spans="2:23" ht="15.75" customHeight="1" x14ac:dyDescent="0.3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 spans="2:23" ht="15.75" customHeight="1" x14ac:dyDescent="0.3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 spans="2:23" ht="15.75" customHeight="1" x14ac:dyDescent="0.3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 spans="2:23" ht="15.75" customHeight="1" x14ac:dyDescent="0.3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 spans="2:23" ht="15.75" customHeight="1" x14ac:dyDescent="0.3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 spans="2:23" ht="15.75" customHeight="1" x14ac:dyDescent="0.3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 spans="2:23" ht="15.75" customHeight="1" x14ac:dyDescent="0.3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 spans="2:23" ht="15.75" customHeight="1" x14ac:dyDescent="0.3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 spans="2:23" ht="15.75" customHeight="1" x14ac:dyDescent="0.3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 spans="2:23" ht="15.75" customHeight="1" x14ac:dyDescent="0.3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 spans="2:23" ht="15.75" customHeight="1" x14ac:dyDescent="0.3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 spans="2:23" ht="15.75" customHeight="1" x14ac:dyDescent="0.3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 spans="2:23" ht="15.75" customHeight="1" x14ac:dyDescent="0.3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 spans="2:23" ht="15.75" customHeight="1" x14ac:dyDescent="0.3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 spans="2:23" ht="15.75" customHeight="1" x14ac:dyDescent="0.3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 spans="2:23" ht="15.75" customHeight="1" x14ac:dyDescent="0.3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 spans="2:23" ht="15.75" customHeight="1" x14ac:dyDescent="0.3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 spans="2:23" ht="15.75" customHeight="1" x14ac:dyDescent="0.3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 spans="2:23" ht="15.75" customHeight="1" x14ac:dyDescent="0.3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 spans="2:23" ht="15.75" customHeight="1" x14ac:dyDescent="0.3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 spans="2:23" ht="15.75" customHeight="1" x14ac:dyDescent="0.3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 spans="2:23" ht="15.75" customHeight="1" x14ac:dyDescent="0.3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 spans="2:23" ht="15.75" customHeight="1" x14ac:dyDescent="0.3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 spans="2:23" ht="15.75" customHeight="1" x14ac:dyDescent="0.3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 spans="2:23" ht="15.75" customHeight="1" x14ac:dyDescent="0.3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 spans="2:23" ht="15.75" customHeight="1" x14ac:dyDescent="0.3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 spans="2:23" ht="15.75" customHeight="1" x14ac:dyDescent="0.3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 spans="2:23" ht="15.75" customHeight="1" x14ac:dyDescent="0.3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 spans="2:23" ht="15.75" customHeight="1" x14ac:dyDescent="0.3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 spans="2:23" ht="15.75" customHeight="1" x14ac:dyDescent="0.3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 spans="2:23" ht="15.75" customHeight="1" x14ac:dyDescent="0.3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 spans="2:23" ht="15.75" customHeight="1" x14ac:dyDescent="0.3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 spans="2:23" ht="15.75" customHeight="1" x14ac:dyDescent="0.3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 spans="2:23" ht="15.75" customHeight="1" x14ac:dyDescent="0.3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 spans="2:23" ht="15.75" customHeight="1" x14ac:dyDescent="0.3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 spans="2:23" ht="15.75" customHeight="1" x14ac:dyDescent="0.3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 spans="2:23" ht="15.75" customHeight="1" x14ac:dyDescent="0.3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 spans="2:23" ht="15.75" customHeight="1" x14ac:dyDescent="0.3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 spans="2:23" ht="15.75" customHeight="1" x14ac:dyDescent="0.3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 spans="2:23" ht="15.75" customHeight="1" x14ac:dyDescent="0.3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 spans="2:23" ht="15.75" customHeight="1" x14ac:dyDescent="0.3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 spans="2:23" ht="15.75" customHeight="1" x14ac:dyDescent="0.3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 spans="2:23" ht="15.75" customHeight="1" x14ac:dyDescent="0.3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 spans="2:23" ht="15.75" customHeight="1" x14ac:dyDescent="0.3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 spans="2:23" ht="15.75" customHeight="1" x14ac:dyDescent="0.3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 spans="2:23" ht="15.75" customHeight="1" x14ac:dyDescent="0.3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 spans="2:23" ht="15.75" customHeight="1" x14ac:dyDescent="0.3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 spans="2:23" ht="15.75" customHeight="1" x14ac:dyDescent="0.3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 spans="2:23" ht="15.75" customHeight="1" x14ac:dyDescent="0.3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 spans="2:23" ht="15.75" customHeight="1" x14ac:dyDescent="0.3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 spans="2:23" ht="15.75" customHeight="1" x14ac:dyDescent="0.3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 spans="2:23" ht="15.75" customHeight="1" x14ac:dyDescent="0.3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 spans="2:23" ht="15.75" customHeight="1" x14ac:dyDescent="0.3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 spans="2:23" ht="15.75" customHeight="1" x14ac:dyDescent="0.3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 spans="2:23" ht="15.75" customHeight="1" x14ac:dyDescent="0.3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 spans="2:23" ht="15.75" customHeight="1" x14ac:dyDescent="0.3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 spans="2:23" ht="15.75" customHeight="1" x14ac:dyDescent="0.3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 spans="2:23" ht="15.75" customHeight="1" x14ac:dyDescent="0.3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 spans="2:23" ht="15.75" customHeight="1" x14ac:dyDescent="0.3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 spans="2:23" ht="15.75" customHeight="1" x14ac:dyDescent="0.3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 spans="2:23" ht="15.75" customHeight="1" x14ac:dyDescent="0.3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 spans="2:23" ht="15.75" customHeight="1" x14ac:dyDescent="0.3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 spans="2:23" ht="15.75" customHeight="1" x14ac:dyDescent="0.3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 spans="2:23" ht="15.75" customHeight="1" x14ac:dyDescent="0.3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 spans="2:23" ht="15.75" customHeight="1" x14ac:dyDescent="0.3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 spans="2:23" ht="15.75" customHeight="1" x14ac:dyDescent="0.3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 spans="2:23" ht="15.75" customHeight="1" x14ac:dyDescent="0.3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 spans="2:23" ht="15.75" customHeight="1" x14ac:dyDescent="0.3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 spans="2:23" ht="15.75" customHeight="1" x14ac:dyDescent="0.3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 spans="2:23" ht="15.75" customHeight="1" x14ac:dyDescent="0.3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 spans="2:23" ht="15.75" customHeight="1" x14ac:dyDescent="0.3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 spans="2:23" ht="15.75" customHeight="1" x14ac:dyDescent="0.3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 spans="2:23" ht="15.75" customHeight="1" x14ac:dyDescent="0.3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 spans="2:23" ht="15.75" customHeight="1" x14ac:dyDescent="0.3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 spans="2:23" ht="15.75" customHeight="1" x14ac:dyDescent="0.3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 spans="2:23" ht="15.75" customHeight="1" x14ac:dyDescent="0.3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 spans="2:23" ht="15.75" customHeight="1" x14ac:dyDescent="0.3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 spans="2:23" ht="15.75" customHeight="1" x14ac:dyDescent="0.3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 spans="2:23" ht="15.75" customHeight="1" x14ac:dyDescent="0.3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 spans="2:23" ht="15.75" customHeight="1" x14ac:dyDescent="0.3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 spans="2:23" ht="15.75" customHeight="1" x14ac:dyDescent="0.3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 spans="2:23" ht="15.75" customHeight="1" x14ac:dyDescent="0.3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 spans="2:23" ht="15.75" customHeight="1" x14ac:dyDescent="0.3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 spans="2:23" ht="15.75" customHeight="1" x14ac:dyDescent="0.3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 spans="2:23" ht="15.75" customHeight="1" x14ac:dyDescent="0.3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 spans="2:23" ht="15.75" customHeight="1" x14ac:dyDescent="0.3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 spans="2:23" ht="15.75" customHeight="1" x14ac:dyDescent="0.3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 spans="2:23" ht="15.75" customHeight="1" x14ac:dyDescent="0.3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 spans="2:23" ht="15.75" customHeight="1" x14ac:dyDescent="0.3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 spans="2:23" ht="15.75" customHeight="1" x14ac:dyDescent="0.3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 spans="2:23" ht="15.75" customHeight="1" x14ac:dyDescent="0.3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 spans="2:23" ht="15.75" customHeight="1" x14ac:dyDescent="0.3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 spans="2:23" ht="15.75" customHeight="1" x14ac:dyDescent="0.3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 spans="2:23" ht="15.75" customHeight="1" x14ac:dyDescent="0.3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 spans="2:23" ht="15.75" customHeight="1" x14ac:dyDescent="0.3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 spans="2:23" ht="15.75" customHeight="1" x14ac:dyDescent="0.3"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 spans="2:23" ht="15.75" customHeight="1" x14ac:dyDescent="0.3"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 spans="2:23" ht="15.75" customHeight="1" x14ac:dyDescent="0.3"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 spans="2:23" ht="15.75" customHeight="1" x14ac:dyDescent="0.3"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 spans="2:23" ht="15.75" customHeight="1" x14ac:dyDescent="0.3"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 spans="2:23" ht="15.75" customHeight="1" x14ac:dyDescent="0.3"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 spans="2:23" ht="15.75" customHeight="1" x14ac:dyDescent="0.3"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 spans="2:23" ht="15.75" customHeight="1" x14ac:dyDescent="0.3"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 spans="2:23" ht="15.75" customHeight="1" x14ac:dyDescent="0.3"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 spans="2:23" ht="15.75" customHeight="1" x14ac:dyDescent="0.3"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 spans="2:23" ht="15.75" customHeight="1" x14ac:dyDescent="0.3"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 spans="2:23" ht="15.75" customHeight="1" x14ac:dyDescent="0.3"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 spans="2:23" ht="15.75" customHeight="1" x14ac:dyDescent="0.3"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 spans="2:23" ht="15.75" customHeight="1" x14ac:dyDescent="0.3"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 spans="2:23" ht="15.75" customHeight="1" x14ac:dyDescent="0.3"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 spans="2:23" ht="15.75" customHeight="1" x14ac:dyDescent="0.3"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 spans="2:23" ht="15.75" customHeight="1" x14ac:dyDescent="0.3"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 spans="2:23" ht="15.75" customHeight="1" x14ac:dyDescent="0.3"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 spans="2:23" ht="15.75" customHeight="1" x14ac:dyDescent="0.3"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 spans="2:23" ht="15.75" customHeight="1" x14ac:dyDescent="0.3"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 spans="2:23" ht="15.75" customHeight="1" x14ac:dyDescent="0.3"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 spans="2:23" ht="15.75" customHeight="1" x14ac:dyDescent="0.3"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 spans="2:23" ht="15.75" customHeight="1" x14ac:dyDescent="0.3"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 spans="2:23" ht="15.75" customHeight="1" x14ac:dyDescent="0.3"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 spans="2:23" ht="15.75" customHeight="1" x14ac:dyDescent="0.3"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 spans="2:23" ht="15.75" customHeight="1" x14ac:dyDescent="0.3"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 spans="2:23" ht="15.75" customHeight="1" x14ac:dyDescent="0.3"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 spans="2:23" ht="15.75" customHeight="1" x14ac:dyDescent="0.3"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 spans="2:23" ht="15.75" customHeight="1" x14ac:dyDescent="0.3"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 spans="2:23" ht="15.75" customHeight="1" x14ac:dyDescent="0.3"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 spans="2:23" ht="15.75" customHeight="1" x14ac:dyDescent="0.3"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 spans="2:23" ht="15.75" customHeight="1" x14ac:dyDescent="0.3"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 spans="2:23" ht="15.75" customHeight="1" x14ac:dyDescent="0.3"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 spans="2:23" ht="15.75" customHeight="1" x14ac:dyDescent="0.3"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 spans="2:23" ht="15.75" customHeight="1" x14ac:dyDescent="0.3"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 spans="2:23" ht="15.75" customHeight="1" x14ac:dyDescent="0.3"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 spans="2:23" ht="15.75" customHeight="1" x14ac:dyDescent="0.3"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 spans="2:23" ht="15.75" customHeight="1" x14ac:dyDescent="0.3"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 spans="2:23" ht="15.75" customHeight="1" x14ac:dyDescent="0.3"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 spans="2:23" ht="15.75" customHeight="1" x14ac:dyDescent="0.3"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 spans="2:23" ht="15.75" customHeight="1" x14ac:dyDescent="0.3"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 spans="2:23" ht="15.75" customHeight="1" x14ac:dyDescent="0.3"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 spans="2:23" ht="15.75" customHeight="1" x14ac:dyDescent="0.3"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 spans="2:23" ht="15.75" customHeight="1" x14ac:dyDescent="0.3"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 spans="2:23" ht="15.75" customHeight="1" x14ac:dyDescent="0.3"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 spans="2:23" ht="15.75" customHeight="1" x14ac:dyDescent="0.3"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 spans="2:23" ht="15.75" customHeight="1" x14ac:dyDescent="0.3"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 spans="2:23" ht="15.75" customHeight="1" x14ac:dyDescent="0.3"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 spans="2:23" ht="15.75" customHeight="1" x14ac:dyDescent="0.3"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 spans="2:23" ht="15.75" customHeight="1" x14ac:dyDescent="0.3"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 spans="2:23" ht="15.75" customHeight="1" x14ac:dyDescent="0.3"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 spans="2:23" ht="15.75" customHeight="1" x14ac:dyDescent="0.3"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 spans="2:23" ht="15.75" customHeight="1" x14ac:dyDescent="0.3"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 spans="2:23" ht="15.75" customHeight="1" x14ac:dyDescent="0.3"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 spans="2:23" ht="15.75" customHeight="1" x14ac:dyDescent="0.3"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 spans="2:23" ht="15.75" customHeight="1" x14ac:dyDescent="0.3"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 spans="2:23" ht="15.75" customHeight="1" x14ac:dyDescent="0.3"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 spans="2:23" ht="15.75" customHeight="1" x14ac:dyDescent="0.3"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 spans="2:23" ht="15.75" customHeight="1" x14ac:dyDescent="0.3"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 spans="2:23" ht="15.75" customHeight="1" x14ac:dyDescent="0.3"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 spans="2:23" ht="15.75" customHeight="1" x14ac:dyDescent="0.3"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 spans="2:23" ht="15.75" customHeight="1" x14ac:dyDescent="0.3"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 spans="2:23" ht="15.75" customHeight="1" x14ac:dyDescent="0.3"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 spans="2:23" ht="15.75" customHeight="1" x14ac:dyDescent="0.3"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 spans="2:23" ht="15.75" customHeight="1" x14ac:dyDescent="0.3"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 spans="2:23" ht="15.75" customHeight="1" x14ac:dyDescent="0.3"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 spans="2:23" ht="15.75" customHeight="1" x14ac:dyDescent="0.3"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 spans="2:23" ht="15.75" customHeight="1" x14ac:dyDescent="0.3"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 spans="2:23" ht="15.75" customHeight="1" x14ac:dyDescent="0.3"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 spans="2:23" ht="15.75" customHeight="1" x14ac:dyDescent="0.3"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 spans="2:23" ht="15.75" customHeight="1" x14ac:dyDescent="0.3"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 spans="2:23" ht="15.75" customHeight="1" x14ac:dyDescent="0.3"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 spans="2:23" ht="15.75" customHeight="1" x14ac:dyDescent="0.3"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 spans="2:23" ht="15.75" customHeight="1" x14ac:dyDescent="0.3"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 spans="2:23" ht="15.75" customHeight="1" x14ac:dyDescent="0.3"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 spans="2:23" ht="15.75" customHeight="1" x14ac:dyDescent="0.3"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 spans="2:23" ht="15.75" customHeight="1" x14ac:dyDescent="0.3"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 spans="2:23" ht="15.75" customHeight="1" x14ac:dyDescent="0.3"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 spans="2:23" ht="15.75" customHeight="1" x14ac:dyDescent="0.3"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 spans="2:23" ht="15.75" customHeight="1" x14ac:dyDescent="0.3"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 spans="2:23" ht="15.75" customHeight="1" x14ac:dyDescent="0.3"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 spans="2:23" ht="15.75" customHeight="1" x14ac:dyDescent="0.3"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 spans="2:23" ht="15.75" customHeight="1" x14ac:dyDescent="0.3"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 spans="2:23" ht="15.75" customHeight="1" x14ac:dyDescent="0.3"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 spans="2:23" ht="15.75" customHeight="1" x14ac:dyDescent="0.3"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 spans="2:23" ht="15.75" customHeight="1" x14ac:dyDescent="0.3"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 spans="2:23" ht="15.75" customHeight="1" x14ac:dyDescent="0.3"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 spans="2:23" ht="15.75" customHeight="1" x14ac:dyDescent="0.3"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 spans="2:23" ht="15.75" customHeight="1" x14ac:dyDescent="0.3"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 spans="2:23" ht="15.75" customHeight="1" x14ac:dyDescent="0.3"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 spans="2:23" ht="15.75" customHeight="1" x14ac:dyDescent="0.3"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 spans="2:23" ht="15.75" customHeight="1" x14ac:dyDescent="0.3"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 spans="2:23" ht="15.75" customHeight="1" x14ac:dyDescent="0.3"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 spans="2:23" ht="15.75" customHeight="1" x14ac:dyDescent="0.3"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 spans="2:23" ht="15.75" customHeight="1" x14ac:dyDescent="0.3"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 spans="2:23" ht="15.75" customHeight="1" x14ac:dyDescent="0.3"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 spans="2:23" ht="15.75" customHeight="1" x14ac:dyDescent="0.3"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 spans="2:23" ht="15.75" customHeight="1" x14ac:dyDescent="0.3"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 spans="2:23" ht="15.75" customHeight="1" x14ac:dyDescent="0.3"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 spans="2:23" ht="15.75" customHeight="1" x14ac:dyDescent="0.3"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 spans="2:23" ht="15.75" customHeight="1" x14ac:dyDescent="0.3"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 spans="2:23" ht="15.75" customHeight="1" x14ac:dyDescent="0.3"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 spans="2:23" ht="15.75" customHeight="1" x14ac:dyDescent="0.3"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 spans="2:23" ht="15.75" customHeight="1" x14ac:dyDescent="0.3"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 spans="2:23" ht="15.75" customHeight="1" x14ac:dyDescent="0.3"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 spans="2:23" ht="15.75" customHeight="1" x14ac:dyDescent="0.3"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 spans="2:23" ht="15.75" customHeight="1" x14ac:dyDescent="0.3"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 spans="2:23" ht="15.75" customHeight="1" x14ac:dyDescent="0.3"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 spans="2:23" ht="15.75" customHeight="1" x14ac:dyDescent="0.3"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 spans="2:23" ht="15.75" customHeight="1" x14ac:dyDescent="0.3"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 spans="2:23" ht="15.75" customHeight="1" x14ac:dyDescent="0.3"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 spans="2:23" ht="15.75" customHeight="1" x14ac:dyDescent="0.3"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 spans="2:23" ht="15.75" customHeight="1" x14ac:dyDescent="0.3"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 spans="2:23" ht="15.75" customHeight="1" x14ac:dyDescent="0.3"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 spans="2:23" ht="15.75" customHeight="1" x14ac:dyDescent="0.3"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 spans="2:23" ht="15.75" customHeight="1" x14ac:dyDescent="0.3"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 spans="2:23" ht="15.75" customHeight="1" x14ac:dyDescent="0.3"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 spans="2:23" ht="15.75" customHeight="1" x14ac:dyDescent="0.3"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 spans="2:23" ht="15.75" customHeight="1" x14ac:dyDescent="0.3"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 spans="2:23" ht="15.75" customHeight="1" x14ac:dyDescent="0.3"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 spans="2:23" ht="15.75" customHeight="1" x14ac:dyDescent="0.3"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 spans="2:23" ht="15.75" customHeight="1" x14ac:dyDescent="0.3"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 spans="2:23" ht="15.75" customHeight="1" x14ac:dyDescent="0.3"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 spans="2:23" ht="15.75" customHeight="1" x14ac:dyDescent="0.3"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 spans="2:23" ht="15.75" customHeight="1" x14ac:dyDescent="0.3"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 spans="2:23" ht="15.75" customHeight="1" x14ac:dyDescent="0.3"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 spans="2:23" ht="15.75" customHeight="1" x14ac:dyDescent="0.3"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 spans="2:23" ht="15.75" customHeight="1" x14ac:dyDescent="0.3"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 spans="2:23" ht="15.75" customHeight="1" x14ac:dyDescent="0.3"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 spans="2:23" ht="15.75" customHeight="1" x14ac:dyDescent="0.3"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 spans="2:23" ht="15.75" customHeight="1" x14ac:dyDescent="0.3"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 spans="2:23" ht="15.75" customHeight="1" x14ac:dyDescent="0.3"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 spans="2:23" ht="15.75" customHeight="1" x14ac:dyDescent="0.3"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 spans="2:23" ht="15.75" customHeight="1" x14ac:dyDescent="0.3"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 spans="2:23" ht="15.75" customHeight="1" x14ac:dyDescent="0.3"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 spans="2:23" ht="15.75" customHeight="1" x14ac:dyDescent="0.3"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 spans="2:23" ht="15.75" customHeight="1" x14ac:dyDescent="0.3"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 spans="2:23" ht="15.75" customHeight="1" x14ac:dyDescent="0.3"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 spans="2:23" ht="15.75" customHeight="1" x14ac:dyDescent="0.3"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 spans="2:23" ht="15.75" customHeight="1" x14ac:dyDescent="0.3"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 spans="2:23" ht="15.75" customHeight="1" x14ac:dyDescent="0.3"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 spans="2:23" ht="15.75" customHeight="1" x14ac:dyDescent="0.3"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 spans="2:23" ht="15.75" customHeight="1" x14ac:dyDescent="0.3"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 spans="2:23" ht="15.75" customHeight="1" x14ac:dyDescent="0.3"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 spans="2:23" ht="15.75" customHeight="1" x14ac:dyDescent="0.3"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 spans="2:23" ht="15.75" customHeight="1" x14ac:dyDescent="0.3"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 spans="2:23" ht="15.75" customHeight="1" x14ac:dyDescent="0.3"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 spans="2:23" ht="15.75" customHeight="1" x14ac:dyDescent="0.3"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 spans="2:23" ht="15.75" customHeight="1" x14ac:dyDescent="0.3"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 spans="2:23" ht="15.75" customHeight="1" x14ac:dyDescent="0.3"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 spans="2:23" ht="15.75" customHeight="1" x14ac:dyDescent="0.3"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 spans="2:23" ht="15.75" customHeight="1" x14ac:dyDescent="0.3"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 spans="2:23" ht="15.75" customHeight="1" x14ac:dyDescent="0.3"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 spans="2:23" ht="15.75" customHeight="1" x14ac:dyDescent="0.3"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 spans="2:23" ht="15.75" customHeight="1" x14ac:dyDescent="0.3"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 spans="2:23" ht="15.75" customHeight="1" x14ac:dyDescent="0.3"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 spans="2:23" ht="15.75" customHeight="1" x14ac:dyDescent="0.3"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 spans="2:23" ht="15.75" customHeight="1" x14ac:dyDescent="0.3"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 spans="2:23" ht="15.75" customHeight="1" x14ac:dyDescent="0.3"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 spans="2:23" ht="15.75" customHeight="1" x14ac:dyDescent="0.3"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 spans="2:23" ht="15.75" customHeight="1" x14ac:dyDescent="0.3"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 spans="2:23" ht="15.75" customHeight="1" x14ac:dyDescent="0.3"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 spans="2:23" ht="15.75" customHeight="1" x14ac:dyDescent="0.3"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 spans="2:23" ht="15.75" customHeight="1" x14ac:dyDescent="0.3"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 spans="2:23" ht="15.75" customHeight="1" x14ac:dyDescent="0.3"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 spans="2:23" ht="15.75" customHeight="1" x14ac:dyDescent="0.3"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 spans="2:23" ht="15.75" customHeight="1" x14ac:dyDescent="0.3"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 spans="2:23" ht="15.75" customHeight="1" x14ac:dyDescent="0.3"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 spans="2:23" ht="15.75" customHeight="1" x14ac:dyDescent="0.3"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 spans="2:23" ht="15.75" customHeight="1" x14ac:dyDescent="0.3"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 spans="2:23" ht="15.75" customHeight="1" x14ac:dyDescent="0.3"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 spans="2:23" ht="15.75" customHeight="1" x14ac:dyDescent="0.3"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 spans="2:23" ht="15.75" customHeight="1" x14ac:dyDescent="0.3"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 spans="2:23" ht="15.75" customHeight="1" x14ac:dyDescent="0.3"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 spans="2:23" ht="15.75" customHeight="1" x14ac:dyDescent="0.3"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 spans="2:23" ht="15.75" customHeight="1" x14ac:dyDescent="0.3"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 spans="2:23" ht="15.75" customHeight="1" x14ac:dyDescent="0.3"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 spans="2:23" ht="15.75" customHeight="1" x14ac:dyDescent="0.3"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 spans="2:23" ht="15.75" customHeight="1" x14ac:dyDescent="0.3"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 spans="2:23" ht="15.75" customHeight="1" x14ac:dyDescent="0.3"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 spans="2:23" ht="15.75" customHeight="1" x14ac:dyDescent="0.3"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 spans="2:23" ht="15.75" customHeight="1" x14ac:dyDescent="0.3"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 spans="2:23" ht="15.75" customHeight="1" x14ac:dyDescent="0.3"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 spans="2:23" ht="15.75" customHeight="1" x14ac:dyDescent="0.3"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 spans="2:23" ht="15.75" customHeight="1" x14ac:dyDescent="0.3"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 spans="2:23" ht="15.75" customHeight="1" x14ac:dyDescent="0.3"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 spans="2:23" ht="15.75" customHeight="1" x14ac:dyDescent="0.3"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 spans="2:23" ht="15.75" customHeight="1" x14ac:dyDescent="0.3"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 spans="2:23" ht="15.75" customHeight="1" x14ac:dyDescent="0.3"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 spans="2:23" ht="15.75" customHeight="1" x14ac:dyDescent="0.3"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 spans="2:23" ht="15.75" customHeight="1" x14ac:dyDescent="0.3"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 spans="2:23" ht="15.75" customHeight="1" x14ac:dyDescent="0.3"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 spans="2:23" ht="15.75" customHeight="1" x14ac:dyDescent="0.3"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 spans="2:23" ht="15.75" customHeight="1" x14ac:dyDescent="0.3"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 spans="2:23" ht="15.75" customHeight="1" x14ac:dyDescent="0.3"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 spans="2:23" ht="15.75" customHeight="1" x14ac:dyDescent="0.3"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 spans="2:23" ht="15.75" customHeight="1" x14ac:dyDescent="0.3"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 spans="2:23" ht="15.75" customHeight="1" x14ac:dyDescent="0.3"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 spans="2:23" ht="15.75" customHeight="1" x14ac:dyDescent="0.3"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 spans="2:23" ht="15.75" customHeight="1" x14ac:dyDescent="0.3"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 spans="2:23" ht="15.75" customHeight="1" x14ac:dyDescent="0.3"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 spans="2:23" ht="15.75" customHeight="1" x14ac:dyDescent="0.3"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 spans="2:23" ht="15.75" customHeight="1" x14ac:dyDescent="0.3"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 spans="2:23" ht="15.75" customHeight="1" x14ac:dyDescent="0.3"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 spans="2:23" ht="15.75" customHeight="1" x14ac:dyDescent="0.3"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 spans="2:23" ht="15.75" customHeight="1" x14ac:dyDescent="0.3"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 spans="2:23" ht="15.75" customHeight="1" x14ac:dyDescent="0.3"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 spans="2:23" ht="15.75" customHeight="1" x14ac:dyDescent="0.3"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 spans="2:23" ht="15.75" customHeight="1" x14ac:dyDescent="0.3"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 spans="2:23" ht="15.75" customHeight="1" x14ac:dyDescent="0.3"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 spans="2:23" ht="15.75" customHeight="1" x14ac:dyDescent="0.3"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 spans="2:23" ht="15.75" customHeight="1" x14ac:dyDescent="0.3"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 spans="2:23" ht="15.75" customHeight="1" x14ac:dyDescent="0.3"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 spans="2:23" ht="15.75" customHeight="1" x14ac:dyDescent="0.3"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 spans="2:23" ht="15.75" customHeight="1" x14ac:dyDescent="0.3"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 spans="2:23" ht="15.75" customHeight="1" x14ac:dyDescent="0.3"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 spans="2:23" ht="15.75" customHeight="1" x14ac:dyDescent="0.3"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 spans="2:23" ht="15.75" customHeight="1" x14ac:dyDescent="0.3"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 spans="2:23" ht="15.75" customHeight="1" x14ac:dyDescent="0.3"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 spans="2:23" ht="15.75" customHeight="1" x14ac:dyDescent="0.3"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 spans="2:23" ht="15.75" customHeight="1" x14ac:dyDescent="0.3"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 spans="2:23" ht="15.75" customHeight="1" x14ac:dyDescent="0.3"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 spans="2:23" ht="15.75" customHeight="1" x14ac:dyDescent="0.3"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 spans="2:23" ht="15.75" customHeight="1" x14ac:dyDescent="0.3"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 spans="2:23" ht="15.75" customHeight="1" x14ac:dyDescent="0.3"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 spans="2:23" ht="15.75" customHeight="1" x14ac:dyDescent="0.3"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 spans="2:23" ht="15.75" customHeight="1" x14ac:dyDescent="0.3"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 spans="2:23" ht="15.75" customHeight="1" x14ac:dyDescent="0.3"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 spans="2:23" ht="15.75" customHeight="1" x14ac:dyDescent="0.3"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 spans="2:23" ht="15.75" customHeight="1" x14ac:dyDescent="0.3"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 spans="2:23" ht="15.75" customHeight="1" x14ac:dyDescent="0.3"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 spans="2:23" ht="15.75" customHeight="1" x14ac:dyDescent="0.3"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 spans="2:23" ht="15.75" customHeight="1" x14ac:dyDescent="0.3"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 spans="2:23" ht="15.75" customHeight="1" x14ac:dyDescent="0.3"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 spans="2:23" ht="15.75" customHeight="1" x14ac:dyDescent="0.3"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 spans="2:23" ht="15.75" customHeight="1" x14ac:dyDescent="0.3"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 spans="2:23" ht="15.75" customHeight="1" x14ac:dyDescent="0.3"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 spans="2:23" ht="15.75" customHeight="1" x14ac:dyDescent="0.3"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 spans="2:23" ht="15.75" customHeight="1" x14ac:dyDescent="0.3"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 spans="2:23" ht="15.75" customHeight="1" x14ac:dyDescent="0.3"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 spans="2:23" ht="15.75" customHeight="1" x14ac:dyDescent="0.3"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 spans="2:23" ht="15.75" customHeight="1" x14ac:dyDescent="0.3"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 spans="2:23" ht="15.75" customHeight="1" x14ac:dyDescent="0.3"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 spans="2:23" ht="15.75" customHeight="1" x14ac:dyDescent="0.3"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 spans="2:23" ht="15.75" customHeight="1" x14ac:dyDescent="0.3"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 spans="2:23" ht="15.75" customHeight="1" x14ac:dyDescent="0.3"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 spans="2:23" ht="15.75" customHeight="1" x14ac:dyDescent="0.3"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 spans="2:23" ht="15.75" customHeight="1" x14ac:dyDescent="0.3"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 spans="2:23" ht="15.75" customHeight="1" x14ac:dyDescent="0.3"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 spans="2:23" ht="15.75" customHeight="1" x14ac:dyDescent="0.3"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 spans="2:23" ht="15.75" customHeight="1" x14ac:dyDescent="0.3"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  <row r="987" spans="2:23" ht="15.75" customHeight="1" x14ac:dyDescent="0.3"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</row>
    <row r="988" spans="2:23" ht="15.75" customHeight="1" x14ac:dyDescent="0.3"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</row>
    <row r="989" spans="2:23" ht="15.75" customHeight="1" x14ac:dyDescent="0.3"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</row>
    <row r="990" spans="2:23" ht="15.75" customHeight="1" x14ac:dyDescent="0.3"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</row>
    <row r="991" spans="2:23" ht="15.75" customHeight="1" x14ac:dyDescent="0.3"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</row>
    <row r="992" spans="2:23" ht="15.75" customHeight="1" x14ac:dyDescent="0.3"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</row>
    <row r="993" spans="2:23" ht="15.75" customHeight="1" x14ac:dyDescent="0.3"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</row>
    <row r="994" spans="2:23" ht="15.75" customHeight="1" x14ac:dyDescent="0.3"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</row>
    <row r="995" spans="2:23" ht="15.75" customHeight="1" x14ac:dyDescent="0.3"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</row>
    <row r="996" spans="2:23" ht="15.75" customHeight="1" x14ac:dyDescent="0.3"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</row>
    <row r="997" spans="2:23" ht="15.75" customHeight="1" x14ac:dyDescent="0.3"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</row>
    <row r="998" spans="2:23" ht="15.75" customHeight="1" x14ac:dyDescent="0.3"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</row>
    <row r="999" spans="2:23" ht="15.75" customHeight="1" x14ac:dyDescent="0.3"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</row>
    <row r="1000" spans="2:23" ht="15.75" customHeight="1" x14ac:dyDescent="0.3"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</row>
  </sheetData>
  <mergeCells count="18">
    <mergeCell ref="B2:K2"/>
    <mergeCell ref="B3:K3"/>
    <mergeCell ref="B4:K4"/>
    <mergeCell ref="B6:K6"/>
    <mergeCell ref="B7:K7"/>
    <mergeCell ref="B48:K48"/>
    <mergeCell ref="C8:K8"/>
    <mergeCell ref="S23:U23"/>
    <mergeCell ref="M36:W38"/>
    <mergeCell ref="M40:W41"/>
    <mergeCell ref="M43:W44"/>
    <mergeCell ref="M23:R23"/>
    <mergeCell ref="M27:R28"/>
    <mergeCell ref="S27:U28"/>
    <mergeCell ref="B30:K30"/>
    <mergeCell ref="M30:R33"/>
    <mergeCell ref="S30:U33"/>
    <mergeCell ref="B39:K39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Y999"/>
  <sheetViews>
    <sheetView showGridLines="0" workbookViewId="0">
      <pane ySplit="5" topLeftCell="A273" activePane="bottomLeft" state="frozen"/>
      <selection activeCell="I282" sqref="I282"/>
      <selection pane="bottomLeft" activeCell="I282" sqref="I282"/>
    </sheetView>
  </sheetViews>
  <sheetFormatPr baseColWidth="10" defaultColWidth="12.6640625" defaultRowHeight="15" customHeight="1" x14ac:dyDescent="0.3"/>
  <cols>
    <col min="1" max="1" width="10.6640625" customWidth="1"/>
    <col min="2" max="2" width="6.77734375" customWidth="1"/>
    <col min="3" max="3" width="29.88671875" customWidth="1"/>
    <col min="4" max="4" width="10.77734375" customWidth="1"/>
    <col min="5" max="5" width="28" customWidth="1"/>
    <col min="6" max="15" width="11.88671875" customWidth="1"/>
    <col min="16" max="23" width="11.6640625" customWidth="1"/>
    <col min="24" max="25" width="11.33203125" customWidth="1"/>
    <col min="26" max="26" width="10.6640625" customWidth="1"/>
  </cols>
  <sheetData>
    <row r="1" spans="2:25" thickBot="1" x14ac:dyDescent="0.35">
      <c r="B1" s="2"/>
      <c r="C1" s="4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8"/>
    </row>
    <row r="2" spans="2:25" ht="35.4" thickBot="1" x14ac:dyDescent="0.35">
      <c r="B2" s="2"/>
      <c r="C2" s="208" t="s">
        <v>3</v>
      </c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7"/>
      <c r="O2" s="2"/>
    </row>
    <row r="3" spans="2:25" ht="29.4" thickBot="1" x14ac:dyDescent="0.35">
      <c r="B3" s="2"/>
      <c r="C3" s="209" t="s">
        <v>4</v>
      </c>
      <c r="D3" s="197"/>
      <c r="E3" s="197"/>
      <c r="F3" s="197"/>
      <c r="G3" s="197"/>
      <c r="H3" s="197"/>
      <c r="I3" s="197"/>
      <c r="J3" s="197"/>
      <c r="K3" s="197"/>
      <c r="L3" s="197"/>
      <c r="M3" s="197"/>
      <c r="N3" s="198"/>
      <c r="O3" s="39"/>
    </row>
    <row r="4" spans="2:25" ht="21" thickBot="1" x14ac:dyDescent="0.75">
      <c r="B4" s="38"/>
      <c r="C4" s="40" t="s">
        <v>6</v>
      </c>
      <c r="D4" s="41"/>
      <c r="E4" s="41"/>
      <c r="F4" s="42">
        <v>1</v>
      </c>
      <c r="G4" s="42">
        <v>2</v>
      </c>
      <c r="H4" s="42">
        <v>3</v>
      </c>
      <c r="I4" s="42">
        <v>4</v>
      </c>
      <c r="J4" s="42">
        <v>5</v>
      </c>
      <c r="K4" s="42">
        <v>6</v>
      </c>
      <c r="L4" s="42">
        <v>7</v>
      </c>
      <c r="M4" s="42">
        <v>8</v>
      </c>
      <c r="N4" s="43">
        <v>9</v>
      </c>
      <c r="O4" s="44"/>
    </row>
    <row r="5" spans="2:25" ht="21" thickBot="1" x14ac:dyDescent="0.35">
      <c r="B5" s="2"/>
      <c r="C5" s="45" t="s">
        <v>70</v>
      </c>
      <c r="D5" s="46" t="s">
        <v>71</v>
      </c>
      <c r="E5" s="47" t="s">
        <v>72</v>
      </c>
      <c r="F5" s="48" t="s">
        <v>10</v>
      </c>
      <c r="G5" s="48" t="s">
        <v>11</v>
      </c>
      <c r="H5" s="48" t="s">
        <v>12</v>
      </c>
      <c r="I5" s="49" t="s">
        <v>13</v>
      </c>
      <c r="J5" s="49" t="s">
        <v>14</v>
      </c>
      <c r="K5" s="50" t="s">
        <v>15</v>
      </c>
      <c r="L5" s="50" t="s">
        <v>16</v>
      </c>
      <c r="M5" s="154" t="s">
        <v>17</v>
      </c>
      <c r="N5" s="155" t="s">
        <v>18</v>
      </c>
      <c r="O5" s="52"/>
    </row>
    <row r="6" spans="2:25" ht="20.399999999999999" x14ac:dyDescent="0.3">
      <c r="B6" s="2"/>
      <c r="C6" s="53" t="s">
        <v>74</v>
      </c>
      <c r="D6" s="54" t="s">
        <v>75</v>
      </c>
      <c r="E6" s="55" t="s">
        <v>32</v>
      </c>
      <c r="F6" s="56">
        <f>+'COMUNAS - HOME DELIVERY 2025'!F6*'COMUNAS - HOME DELIVERY 2025'!$Q$7</f>
        <v>3025.8240000000001</v>
      </c>
      <c r="G6" s="57">
        <f>+'COMUNAS - HOME DELIVERY 2025'!G6*'COMUNAS - HOME DELIVERY 2025'!$Q$7</f>
        <v>3138.3119999999999</v>
      </c>
      <c r="H6" s="57">
        <f>+'COMUNAS - HOME DELIVERY 2025'!H6*'COMUNAS - HOME DELIVERY 2025'!$Q$7</f>
        <v>3340.5840000000003</v>
      </c>
      <c r="I6" s="57">
        <f>+'COMUNAS - HOME DELIVERY 2025'!I6*'COMUNAS - HOME DELIVERY 2025'!$Q$7</f>
        <v>3636.768</v>
      </c>
      <c r="J6" s="57">
        <f>+'COMUNAS - HOME DELIVERY 2025'!J6*'COMUNAS - HOME DELIVERY 2025'!$Q$7</f>
        <v>4211.5920000000006</v>
      </c>
      <c r="K6" s="57">
        <f>+'COMUNAS - HOME DELIVERY 2025'!K6*'COMUNAS - HOME DELIVERY 2025'!$Q$7</f>
        <v>4581.0479999999998</v>
      </c>
      <c r="L6" s="57">
        <f>+'COMUNAS - HOME DELIVERY 2025'!L6*'COMUNAS - HOME DELIVERY 2025'!$Q$7</f>
        <v>5363.3040000000001</v>
      </c>
      <c r="M6" s="58">
        <f>+'COMUNAS - HOME DELIVERY 2025'!M6*'COMUNAS - HOME DELIVERY 2025'!$Q$7</f>
        <v>309.60000000000002</v>
      </c>
      <c r="N6" s="59">
        <f>+'COMUNAS - HOME DELIVERY 2025'!N6*'COMUNAS - HOME DELIVERY 2025'!$Q$7</f>
        <v>236.328</v>
      </c>
      <c r="O6" s="60"/>
    </row>
    <row r="7" spans="2:25" ht="20.399999999999999" x14ac:dyDescent="0.3">
      <c r="B7" s="2"/>
      <c r="C7" s="61" t="s">
        <v>74</v>
      </c>
      <c r="D7" s="62" t="s">
        <v>76</v>
      </c>
      <c r="E7" s="63" t="s">
        <v>77</v>
      </c>
      <c r="F7" s="64">
        <f>+'COMUNAS - HOME DELIVERY 2025'!F7*'COMUNAS - HOME DELIVERY 2025'!$Q$7</f>
        <v>3025.8240000000001</v>
      </c>
      <c r="G7" s="65">
        <f>+'COMUNAS - HOME DELIVERY 2025'!G7*'COMUNAS - HOME DELIVERY 2025'!$Q$7</f>
        <v>3138.3119999999999</v>
      </c>
      <c r="H7" s="65">
        <f>+'COMUNAS - HOME DELIVERY 2025'!H7*'COMUNAS - HOME DELIVERY 2025'!$Q$7</f>
        <v>3340.5840000000003</v>
      </c>
      <c r="I7" s="65">
        <f>+'COMUNAS - HOME DELIVERY 2025'!I7*'COMUNAS - HOME DELIVERY 2025'!$Q$7</f>
        <v>3636.768</v>
      </c>
      <c r="J7" s="65">
        <f>+'COMUNAS - HOME DELIVERY 2025'!J7*'COMUNAS - HOME DELIVERY 2025'!$Q$7</f>
        <v>4211.5920000000006</v>
      </c>
      <c r="K7" s="65">
        <f>+'COMUNAS - HOME DELIVERY 2025'!K7*'COMUNAS - HOME DELIVERY 2025'!$Q$7</f>
        <v>4581.0479999999998</v>
      </c>
      <c r="L7" s="65">
        <f>+'COMUNAS - HOME DELIVERY 2025'!L7*'COMUNAS - HOME DELIVERY 2025'!$Q$7</f>
        <v>5363.3040000000001</v>
      </c>
      <c r="M7" s="66">
        <f>+'COMUNAS - HOME DELIVERY 2025'!M7*'COMUNAS - HOME DELIVERY 2025'!$Q$7</f>
        <v>309.60000000000002</v>
      </c>
      <c r="N7" s="67">
        <f>+'COMUNAS - HOME DELIVERY 2025'!N7*'COMUNAS - HOME DELIVERY 2025'!$Q$7</f>
        <v>236.328</v>
      </c>
      <c r="O7" s="60"/>
    </row>
    <row r="8" spans="2:25" ht="20.399999999999999" x14ac:dyDescent="0.3">
      <c r="B8" s="2"/>
      <c r="C8" s="61" t="s">
        <v>74</v>
      </c>
      <c r="D8" s="62" t="s">
        <v>78</v>
      </c>
      <c r="E8" s="63" t="s">
        <v>79</v>
      </c>
      <c r="F8" s="64">
        <f>+'COMUNAS - HOME DELIVERY 2025'!F8*'COMUNAS - HOME DELIVERY 2025'!$Q$7</f>
        <v>3025.8240000000001</v>
      </c>
      <c r="G8" s="65">
        <f>+'COMUNAS - HOME DELIVERY 2025'!G8*'COMUNAS - HOME DELIVERY 2025'!$Q$7</f>
        <v>3138.3119999999999</v>
      </c>
      <c r="H8" s="65">
        <f>+'COMUNAS - HOME DELIVERY 2025'!H8*'COMUNAS - HOME DELIVERY 2025'!$Q$7</f>
        <v>3340.5840000000003</v>
      </c>
      <c r="I8" s="65">
        <f>+'COMUNAS - HOME DELIVERY 2025'!I8*'COMUNAS - HOME DELIVERY 2025'!$Q$7</f>
        <v>3636.768</v>
      </c>
      <c r="J8" s="65">
        <f>+'COMUNAS - HOME DELIVERY 2025'!J8*'COMUNAS - HOME DELIVERY 2025'!$Q$7</f>
        <v>4211.5920000000006</v>
      </c>
      <c r="K8" s="65">
        <f>+'COMUNAS - HOME DELIVERY 2025'!K8*'COMUNAS - HOME DELIVERY 2025'!$Q$7</f>
        <v>4581.0479999999998</v>
      </c>
      <c r="L8" s="65">
        <f>+'COMUNAS - HOME DELIVERY 2025'!L8*'COMUNAS - HOME DELIVERY 2025'!$Q$7</f>
        <v>5363.3040000000001</v>
      </c>
      <c r="M8" s="66">
        <f>+'COMUNAS - HOME DELIVERY 2025'!M8*'COMUNAS - HOME DELIVERY 2025'!$Q$7</f>
        <v>309.60000000000002</v>
      </c>
      <c r="N8" s="67">
        <f>+'COMUNAS - HOME DELIVERY 2025'!N8*'COMUNAS - HOME DELIVERY 2025'!$Q$7</f>
        <v>236.328</v>
      </c>
      <c r="O8" s="60"/>
    </row>
    <row r="9" spans="2:25" ht="20.399999999999999" x14ac:dyDescent="0.3">
      <c r="B9" s="2"/>
      <c r="C9" s="61" t="s">
        <v>74</v>
      </c>
      <c r="D9" s="62" t="s">
        <v>80</v>
      </c>
      <c r="E9" s="63" t="s">
        <v>81</v>
      </c>
      <c r="F9" s="64">
        <f>+'COMUNAS - HOME DELIVERY 2025'!F9*'COMUNAS - HOME DELIVERY 2025'!$Q$7</f>
        <v>3025.8240000000001</v>
      </c>
      <c r="G9" s="65">
        <f>+'COMUNAS - HOME DELIVERY 2025'!G9*'COMUNAS - HOME DELIVERY 2025'!$Q$7</f>
        <v>3138.3119999999999</v>
      </c>
      <c r="H9" s="65">
        <f>+'COMUNAS - HOME DELIVERY 2025'!H9*'COMUNAS - HOME DELIVERY 2025'!$Q$7</f>
        <v>3340.5840000000003</v>
      </c>
      <c r="I9" s="65">
        <f>+'COMUNAS - HOME DELIVERY 2025'!I9*'COMUNAS - HOME DELIVERY 2025'!$Q$7</f>
        <v>3636.768</v>
      </c>
      <c r="J9" s="65">
        <f>+'COMUNAS - HOME DELIVERY 2025'!J9*'COMUNAS - HOME DELIVERY 2025'!$Q$7</f>
        <v>4211.5920000000006</v>
      </c>
      <c r="K9" s="65">
        <f>+'COMUNAS - HOME DELIVERY 2025'!K9*'COMUNAS - HOME DELIVERY 2025'!$Q$7</f>
        <v>4581.0479999999998</v>
      </c>
      <c r="L9" s="65">
        <f>+'COMUNAS - HOME DELIVERY 2025'!L9*'COMUNAS - HOME DELIVERY 2025'!$Q$7</f>
        <v>5363.3040000000001</v>
      </c>
      <c r="M9" s="66">
        <f>+'COMUNAS - HOME DELIVERY 2025'!M9*'COMUNAS - HOME DELIVERY 2025'!$Q$7</f>
        <v>309.60000000000002</v>
      </c>
      <c r="N9" s="67">
        <f>+'COMUNAS - HOME DELIVERY 2025'!N9*'COMUNAS - HOME DELIVERY 2025'!$Q$7</f>
        <v>236.328</v>
      </c>
      <c r="O9" s="60"/>
    </row>
    <row r="10" spans="2:25" ht="20.399999999999999" x14ac:dyDescent="0.3">
      <c r="B10" s="2"/>
      <c r="C10" s="61" t="s">
        <v>74</v>
      </c>
      <c r="D10" s="62" t="s">
        <v>82</v>
      </c>
      <c r="E10" s="63" t="s">
        <v>83</v>
      </c>
      <c r="F10" s="64">
        <f>+'COMUNAS - HOME DELIVERY 2025'!F10*'COMUNAS - HOME DELIVERY 2025'!$Q$7</f>
        <v>3025.8240000000001</v>
      </c>
      <c r="G10" s="65">
        <f>+'COMUNAS - HOME DELIVERY 2025'!G10*'COMUNAS - HOME DELIVERY 2025'!$Q$7</f>
        <v>3138.3119999999999</v>
      </c>
      <c r="H10" s="65">
        <f>+'COMUNAS - HOME DELIVERY 2025'!H10*'COMUNAS - HOME DELIVERY 2025'!$Q$7</f>
        <v>3340.5840000000003</v>
      </c>
      <c r="I10" s="65">
        <f>+'COMUNAS - HOME DELIVERY 2025'!I10*'COMUNAS - HOME DELIVERY 2025'!$Q$7</f>
        <v>3636.768</v>
      </c>
      <c r="J10" s="65">
        <f>+'COMUNAS - HOME DELIVERY 2025'!J10*'COMUNAS - HOME DELIVERY 2025'!$Q$7</f>
        <v>4211.5920000000006</v>
      </c>
      <c r="K10" s="65">
        <f>+'COMUNAS - HOME DELIVERY 2025'!K10*'COMUNAS - HOME DELIVERY 2025'!$Q$7</f>
        <v>4581.0479999999998</v>
      </c>
      <c r="L10" s="65">
        <f>+'COMUNAS - HOME DELIVERY 2025'!L10*'COMUNAS - HOME DELIVERY 2025'!$Q$7</f>
        <v>5363.3040000000001</v>
      </c>
      <c r="M10" s="66">
        <f>+'COMUNAS - HOME DELIVERY 2025'!M10*'COMUNAS - HOME DELIVERY 2025'!$Q$7</f>
        <v>309.60000000000002</v>
      </c>
      <c r="N10" s="67">
        <f>+'COMUNAS - HOME DELIVERY 2025'!N10*'COMUNAS - HOME DELIVERY 2025'!$Q$7</f>
        <v>236.328</v>
      </c>
      <c r="O10" s="60"/>
    </row>
    <row r="11" spans="2:25" ht="20.399999999999999" x14ac:dyDescent="0.3">
      <c r="B11" s="2"/>
      <c r="C11" s="61" t="s">
        <v>74</v>
      </c>
      <c r="D11" s="62" t="s">
        <v>84</v>
      </c>
      <c r="E11" s="63" t="s">
        <v>85</v>
      </c>
      <c r="F11" s="64">
        <f>+'COMUNAS - HOME DELIVERY 2025'!F11*'COMUNAS - HOME DELIVERY 2025'!$Q$7</f>
        <v>3025.8240000000001</v>
      </c>
      <c r="G11" s="65">
        <f>+'COMUNAS - HOME DELIVERY 2025'!G11*'COMUNAS - HOME DELIVERY 2025'!$Q$7</f>
        <v>3138.3119999999999</v>
      </c>
      <c r="H11" s="65">
        <f>+'COMUNAS - HOME DELIVERY 2025'!H11*'COMUNAS - HOME DELIVERY 2025'!$Q$7</f>
        <v>3340.5840000000003</v>
      </c>
      <c r="I11" s="65">
        <f>+'COMUNAS - HOME DELIVERY 2025'!I11*'COMUNAS - HOME DELIVERY 2025'!$Q$7</f>
        <v>3636.768</v>
      </c>
      <c r="J11" s="65">
        <f>+'COMUNAS - HOME DELIVERY 2025'!J11*'COMUNAS - HOME DELIVERY 2025'!$Q$7</f>
        <v>4211.5920000000006</v>
      </c>
      <c r="K11" s="65">
        <f>+'COMUNAS - HOME DELIVERY 2025'!K11*'COMUNAS - HOME DELIVERY 2025'!$Q$7</f>
        <v>4581.0479999999998</v>
      </c>
      <c r="L11" s="65">
        <f>+'COMUNAS - HOME DELIVERY 2025'!L11*'COMUNAS - HOME DELIVERY 2025'!$Q$7</f>
        <v>5363.3040000000001</v>
      </c>
      <c r="M11" s="66">
        <f>+'COMUNAS - HOME DELIVERY 2025'!M11*'COMUNAS - HOME DELIVERY 2025'!$Q$7</f>
        <v>309.60000000000002</v>
      </c>
      <c r="N11" s="67">
        <f>+'COMUNAS - HOME DELIVERY 2025'!N11*'COMUNAS - HOME DELIVERY 2025'!$Q$7</f>
        <v>236.328</v>
      </c>
      <c r="O11" s="60"/>
    </row>
    <row r="12" spans="2:25" ht="20.399999999999999" x14ac:dyDescent="0.3">
      <c r="B12" s="2"/>
      <c r="C12" s="61" t="s">
        <v>74</v>
      </c>
      <c r="D12" s="62" t="s">
        <v>86</v>
      </c>
      <c r="E12" s="63" t="s">
        <v>87</v>
      </c>
      <c r="F12" s="64">
        <f>+'COMUNAS - HOME DELIVERY 2025'!F12*'COMUNAS - HOME DELIVERY 2025'!$Q$7</f>
        <v>3025.8240000000001</v>
      </c>
      <c r="G12" s="65">
        <f>+'COMUNAS - HOME DELIVERY 2025'!G12*'COMUNAS - HOME DELIVERY 2025'!$Q$7</f>
        <v>3138.3119999999999</v>
      </c>
      <c r="H12" s="65">
        <f>+'COMUNAS - HOME DELIVERY 2025'!H12*'COMUNAS - HOME DELIVERY 2025'!$Q$7</f>
        <v>3340.5840000000003</v>
      </c>
      <c r="I12" s="65">
        <f>+'COMUNAS - HOME DELIVERY 2025'!I12*'COMUNAS - HOME DELIVERY 2025'!$Q$7</f>
        <v>3636.768</v>
      </c>
      <c r="J12" s="65">
        <f>+'COMUNAS - HOME DELIVERY 2025'!J12*'COMUNAS - HOME DELIVERY 2025'!$Q$7</f>
        <v>4211.5920000000006</v>
      </c>
      <c r="K12" s="65">
        <f>+'COMUNAS - HOME DELIVERY 2025'!K12*'COMUNAS - HOME DELIVERY 2025'!$Q$7</f>
        <v>4581.0479999999998</v>
      </c>
      <c r="L12" s="65">
        <f>+'COMUNAS - HOME DELIVERY 2025'!L12*'COMUNAS - HOME DELIVERY 2025'!$Q$7</f>
        <v>5363.3040000000001</v>
      </c>
      <c r="M12" s="66">
        <f>+'COMUNAS - HOME DELIVERY 2025'!M12*'COMUNAS - HOME DELIVERY 2025'!$Q$7</f>
        <v>309.60000000000002</v>
      </c>
      <c r="N12" s="67">
        <f>+'COMUNAS - HOME DELIVERY 2025'!N12*'COMUNAS - HOME DELIVERY 2025'!$Q$7</f>
        <v>236.328</v>
      </c>
      <c r="O12" s="60"/>
    </row>
    <row r="13" spans="2:25" ht="20.399999999999999" x14ac:dyDescent="0.3">
      <c r="B13" s="2"/>
      <c r="C13" s="61" t="s">
        <v>74</v>
      </c>
      <c r="D13" s="62" t="s">
        <v>88</v>
      </c>
      <c r="E13" s="63" t="s">
        <v>89</v>
      </c>
      <c r="F13" s="64">
        <f>+'COMUNAS - HOME DELIVERY 2025'!F13*'COMUNAS - HOME DELIVERY 2025'!$Q$7</f>
        <v>3025.8240000000001</v>
      </c>
      <c r="G13" s="65">
        <f>+'COMUNAS - HOME DELIVERY 2025'!G13*'COMUNAS - HOME DELIVERY 2025'!$Q$7</f>
        <v>3138.3119999999999</v>
      </c>
      <c r="H13" s="65">
        <f>+'COMUNAS - HOME DELIVERY 2025'!H13*'COMUNAS - HOME DELIVERY 2025'!$Q$7</f>
        <v>3340.5840000000003</v>
      </c>
      <c r="I13" s="65">
        <f>+'COMUNAS - HOME DELIVERY 2025'!I13*'COMUNAS - HOME DELIVERY 2025'!$Q$7</f>
        <v>3636.768</v>
      </c>
      <c r="J13" s="65">
        <f>+'COMUNAS - HOME DELIVERY 2025'!J13*'COMUNAS - HOME DELIVERY 2025'!$Q$7</f>
        <v>4211.5920000000006</v>
      </c>
      <c r="K13" s="65">
        <f>+'COMUNAS - HOME DELIVERY 2025'!K13*'COMUNAS - HOME DELIVERY 2025'!$Q$7</f>
        <v>4581.0479999999998</v>
      </c>
      <c r="L13" s="65">
        <f>+'COMUNAS - HOME DELIVERY 2025'!L13*'COMUNAS - HOME DELIVERY 2025'!$Q$7</f>
        <v>5363.3040000000001</v>
      </c>
      <c r="M13" s="66">
        <f>+'COMUNAS - HOME DELIVERY 2025'!M13*'COMUNAS - HOME DELIVERY 2025'!$Q$7</f>
        <v>309.60000000000002</v>
      </c>
      <c r="N13" s="67">
        <f>+'COMUNAS - HOME DELIVERY 2025'!N13*'COMUNAS - HOME DELIVERY 2025'!$Q$7</f>
        <v>236.328</v>
      </c>
      <c r="O13" s="60"/>
    </row>
    <row r="14" spans="2:25" ht="20.399999999999999" x14ac:dyDescent="0.3">
      <c r="B14" s="2"/>
      <c r="C14" s="61" t="s">
        <v>74</v>
      </c>
      <c r="D14" s="62" t="s">
        <v>90</v>
      </c>
      <c r="E14" s="63" t="s">
        <v>91</v>
      </c>
      <c r="F14" s="64">
        <f>+'COMUNAS - HOME DELIVERY 2025'!F14*'COMUNAS - HOME DELIVERY 2025'!$Q$7</f>
        <v>3025.8240000000001</v>
      </c>
      <c r="G14" s="65">
        <f>+'COMUNAS - HOME DELIVERY 2025'!G14*'COMUNAS - HOME DELIVERY 2025'!$Q$7</f>
        <v>3138.3119999999999</v>
      </c>
      <c r="H14" s="65">
        <f>+'COMUNAS - HOME DELIVERY 2025'!H14*'COMUNAS - HOME DELIVERY 2025'!$Q$7</f>
        <v>3340.5840000000003</v>
      </c>
      <c r="I14" s="65">
        <f>+'COMUNAS - HOME DELIVERY 2025'!I14*'COMUNAS - HOME DELIVERY 2025'!$Q$7</f>
        <v>3636.768</v>
      </c>
      <c r="J14" s="65">
        <f>+'COMUNAS - HOME DELIVERY 2025'!J14*'COMUNAS - HOME DELIVERY 2025'!$Q$7</f>
        <v>4211.5920000000006</v>
      </c>
      <c r="K14" s="65">
        <f>+'COMUNAS - HOME DELIVERY 2025'!K14*'COMUNAS - HOME DELIVERY 2025'!$Q$7</f>
        <v>4581.0479999999998</v>
      </c>
      <c r="L14" s="65">
        <f>+'COMUNAS - HOME DELIVERY 2025'!L14*'COMUNAS - HOME DELIVERY 2025'!$Q$7</f>
        <v>5363.3040000000001</v>
      </c>
      <c r="M14" s="66">
        <f>+'COMUNAS - HOME DELIVERY 2025'!M14*'COMUNAS - HOME DELIVERY 2025'!$Q$7</f>
        <v>309.60000000000002</v>
      </c>
      <c r="N14" s="67">
        <f>+'COMUNAS - HOME DELIVERY 2025'!N14*'COMUNAS - HOME DELIVERY 2025'!$Q$7</f>
        <v>236.328</v>
      </c>
      <c r="O14" s="60"/>
    </row>
    <row r="15" spans="2:25" ht="20.399999999999999" x14ac:dyDescent="0.3">
      <c r="B15" s="2"/>
      <c r="C15" s="61" t="s">
        <v>74</v>
      </c>
      <c r="D15" s="62" t="s">
        <v>92</v>
      </c>
      <c r="E15" s="63" t="s">
        <v>93</v>
      </c>
      <c r="F15" s="64">
        <f>+'COMUNAS - HOME DELIVERY 2025'!F15*'COMUNAS - HOME DELIVERY 2025'!$Q$7</f>
        <v>3025.8240000000001</v>
      </c>
      <c r="G15" s="65">
        <f>+'COMUNAS - HOME DELIVERY 2025'!G15*'COMUNAS - HOME DELIVERY 2025'!$Q$7</f>
        <v>3138.3119999999999</v>
      </c>
      <c r="H15" s="65">
        <f>+'COMUNAS - HOME DELIVERY 2025'!H15*'COMUNAS - HOME DELIVERY 2025'!$Q$7</f>
        <v>3340.5840000000003</v>
      </c>
      <c r="I15" s="65">
        <f>+'COMUNAS - HOME DELIVERY 2025'!I15*'COMUNAS - HOME DELIVERY 2025'!$Q$7</f>
        <v>3636.768</v>
      </c>
      <c r="J15" s="65">
        <f>+'COMUNAS - HOME DELIVERY 2025'!J15*'COMUNAS - HOME DELIVERY 2025'!$Q$7</f>
        <v>4211.5920000000006</v>
      </c>
      <c r="K15" s="65">
        <f>+'COMUNAS - HOME DELIVERY 2025'!K15*'COMUNAS - HOME DELIVERY 2025'!$Q$7</f>
        <v>4581.0479999999998</v>
      </c>
      <c r="L15" s="65">
        <f>+'COMUNAS - HOME DELIVERY 2025'!L15*'COMUNAS - HOME DELIVERY 2025'!$Q$7</f>
        <v>5363.3040000000001</v>
      </c>
      <c r="M15" s="66">
        <f>+'COMUNAS - HOME DELIVERY 2025'!M15*'COMUNAS - HOME DELIVERY 2025'!$Q$7</f>
        <v>309.60000000000002</v>
      </c>
      <c r="N15" s="67">
        <f>+'COMUNAS - HOME DELIVERY 2025'!N15*'COMUNAS - HOME DELIVERY 2025'!$Q$7</f>
        <v>236.328</v>
      </c>
      <c r="O15" s="60"/>
    </row>
    <row r="16" spans="2:25" ht="20.399999999999999" x14ac:dyDescent="0.3">
      <c r="B16" s="2"/>
      <c r="C16" s="61" t="s">
        <v>74</v>
      </c>
      <c r="D16" s="62" t="s">
        <v>94</v>
      </c>
      <c r="E16" s="63" t="s">
        <v>95</v>
      </c>
      <c r="F16" s="64">
        <f>+'COMUNAS - HOME DELIVERY 2025'!F16*'COMUNAS - HOME DELIVERY 2025'!$Q$7</f>
        <v>3025.8240000000001</v>
      </c>
      <c r="G16" s="65">
        <f>+'COMUNAS - HOME DELIVERY 2025'!G16*'COMUNAS - HOME DELIVERY 2025'!$Q$7</f>
        <v>3138.3119999999999</v>
      </c>
      <c r="H16" s="65">
        <f>+'COMUNAS - HOME DELIVERY 2025'!H16*'COMUNAS - HOME DELIVERY 2025'!$Q$7</f>
        <v>3340.5840000000003</v>
      </c>
      <c r="I16" s="65">
        <f>+'COMUNAS - HOME DELIVERY 2025'!I16*'COMUNAS - HOME DELIVERY 2025'!$Q$7</f>
        <v>3636.768</v>
      </c>
      <c r="J16" s="65">
        <f>+'COMUNAS - HOME DELIVERY 2025'!J16*'COMUNAS - HOME DELIVERY 2025'!$Q$7</f>
        <v>4211.5920000000006</v>
      </c>
      <c r="K16" s="65">
        <f>+'COMUNAS - HOME DELIVERY 2025'!K16*'COMUNAS - HOME DELIVERY 2025'!$Q$7</f>
        <v>4581.0479999999998</v>
      </c>
      <c r="L16" s="65">
        <f>+'COMUNAS - HOME DELIVERY 2025'!L16*'COMUNAS - HOME DELIVERY 2025'!$Q$7</f>
        <v>5363.3040000000001</v>
      </c>
      <c r="M16" s="66">
        <f>+'COMUNAS - HOME DELIVERY 2025'!M16*'COMUNAS - HOME DELIVERY 2025'!$Q$7</f>
        <v>309.60000000000002</v>
      </c>
      <c r="N16" s="67">
        <f>+'COMUNAS - HOME DELIVERY 2025'!N16*'COMUNAS - HOME DELIVERY 2025'!$Q$7</f>
        <v>236.328</v>
      </c>
      <c r="O16" s="60"/>
    </row>
    <row r="17" spans="2:15" ht="20.399999999999999" x14ac:dyDescent="0.3">
      <c r="B17" s="2"/>
      <c r="C17" s="61" t="s">
        <v>74</v>
      </c>
      <c r="D17" s="62" t="s">
        <v>96</v>
      </c>
      <c r="E17" s="63" t="s">
        <v>97</v>
      </c>
      <c r="F17" s="64">
        <f>+'COMUNAS - HOME DELIVERY 2025'!F17*'COMUNAS - HOME DELIVERY 2025'!$Q$7</f>
        <v>3025.8240000000001</v>
      </c>
      <c r="G17" s="65">
        <f>+'COMUNAS - HOME DELIVERY 2025'!G17*'COMUNAS - HOME DELIVERY 2025'!$Q$7</f>
        <v>3138.3119999999999</v>
      </c>
      <c r="H17" s="65">
        <f>+'COMUNAS - HOME DELIVERY 2025'!H17*'COMUNAS - HOME DELIVERY 2025'!$Q$7</f>
        <v>3340.5840000000003</v>
      </c>
      <c r="I17" s="65">
        <f>+'COMUNAS - HOME DELIVERY 2025'!I17*'COMUNAS - HOME DELIVERY 2025'!$Q$7</f>
        <v>3636.768</v>
      </c>
      <c r="J17" s="65">
        <f>+'COMUNAS - HOME DELIVERY 2025'!J17*'COMUNAS - HOME DELIVERY 2025'!$Q$7</f>
        <v>4211.5920000000006</v>
      </c>
      <c r="K17" s="65">
        <f>+'COMUNAS - HOME DELIVERY 2025'!K17*'COMUNAS - HOME DELIVERY 2025'!$Q$7</f>
        <v>4581.0479999999998</v>
      </c>
      <c r="L17" s="65">
        <f>+'COMUNAS - HOME DELIVERY 2025'!L17*'COMUNAS - HOME DELIVERY 2025'!$Q$7</f>
        <v>5363.3040000000001</v>
      </c>
      <c r="M17" s="66">
        <f>+'COMUNAS - HOME DELIVERY 2025'!M17*'COMUNAS - HOME DELIVERY 2025'!$Q$7</f>
        <v>309.60000000000002</v>
      </c>
      <c r="N17" s="67">
        <f>+'COMUNAS - HOME DELIVERY 2025'!N17*'COMUNAS - HOME DELIVERY 2025'!$Q$7</f>
        <v>236.328</v>
      </c>
      <c r="O17" s="60"/>
    </row>
    <row r="18" spans="2:15" ht="20.399999999999999" x14ac:dyDescent="0.3">
      <c r="B18" s="2"/>
      <c r="C18" s="61" t="s">
        <v>74</v>
      </c>
      <c r="D18" s="62" t="s">
        <v>98</v>
      </c>
      <c r="E18" s="63" t="s">
        <v>99</v>
      </c>
      <c r="F18" s="64">
        <f>+'COMUNAS - HOME DELIVERY 2025'!F18*'COMUNAS - HOME DELIVERY 2025'!$Q$7</f>
        <v>3025.8240000000001</v>
      </c>
      <c r="G18" s="65">
        <f>+'COMUNAS - HOME DELIVERY 2025'!G18*'COMUNAS - HOME DELIVERY 2025'!$Q$7</f>
        <v>3138.3119999999999</v>
      </c>
      <c r="H18" s="65">
        <f>+'COMUNAS - HOME DELIVERY 2025'!H18*'COMUNAS - HOME DELIVERY 2025'!$Q$7</f>
        <v>3340.5840000000003</v>
      </c>
      <c r="I18" s="65">
        <f>+'COMUNAS - HOME DELIVERY 2025'!I18*'COMUNAS - HOME DELIVERY 2025'!$Q$7</f>
        <v>3636.768</v>
      </c>
      <c r="J18" s="65">
        <f>+'COMUNAS - HOME DELIVERY 2025'!J18*'COMUNAS - HOME DELIVERY 2025'!$Q$7</f>
        <v>4211.5920000000006</v>
      </c>
      <c r="K18" s="65">
        <f>+'COMUNAS - HOME DELIVERY 2025'!K18*'COMUNAS - HOME DELIVERY 2025'!$Q$7</f>
        <v>4581.0479999999998</v>
      </c>
      <c r="L18" s="65">
        <f>+'COMUNAS - HOME DELIVERY 2025'!L18*'COMUNAS - HOME DELIVERY 2025'!$Q$7</f>
        <v>5363.3040000000001</v>
      </c>
      <c r="M18" s="66">
        <f>+'COMUNAS - HOME DELIVERY 2025'!M18*'COMUNAS - HOME DELIVERY 2025'!$Q$7</f>
        <v>309.60000000000002</v>
      </c>
      <c r="N18" s="67">
        <f>+'COMUNAS - HOME DELIVERY 2025'!N18*'COMUNAS - HOME DELIVERY 2025'!$Q$7</f>
        <v>236.328</v>
      </c>
      <c r="O18" s="60"/>
    </row>
    <row r="19" spans="2:15" ht="20.399999999999999" x14ac:dyDescent="0.3">
      <c r="B19" s="2"/>
      <c r="C19" s="61" t="s">
        <v>74</v>
      </c>
      <c r="D19" s="62" t="s">
        <v>100</v>
      </c>
      <c r="E19" s="63" t="s">
        <v>101</v>
      </c>
      <c r="F19" s="64">
        <f>+'COMUNAS - HOME DELIVERY 2025'!F19*'COMUNAS - HOME DELIVERY 2025'!$Q$7</f>
        <v>3025.8240000000001</v>
      </c>
      <c r="G19" s="65">
        <f>+'COMUNAS - HOME DELIVERY 2025'!G19*'COMUNAS - HOME DELIVERY 2025'!$Q$7</f>
        <v>3138.3119999999999</v>
      </c>
      <c r="H19" s="65">
        <f>+'COMUNAS - HOME DELIVERY 2025'!H19*'COMUNAS - HOME DELIVERY 2025'!$Q$7</f>
        <v>3340.5840000000003</v>
      </c>
      <c r="I19" s="65">
        <f>+'COMUNAS - HOME DELIVERY 2025'!I19*'COMUNAS - HOME DELIVERY 2025'!$Q$7</f>
        <v>3636.768</v>
      </c>
      <c r="J19" s="65">
        <f>+'COMUNAS - HOME DELIVERY 2025'!J19*'COMUNAS - HOME DELIVERY 2025'!$Q$7</f>
        <v>4211.5920000000006</v>
      </c>
      <c r="K19" s="65">
        <f>+'COMUNAS - HOME DELIVERY 2025'!K19*'COMUNAS - HOME DELIVERY 2025'!$Q$7</f>
        <v>4581.0479999999998</v>
      </c>
      <c r="L19" s="65">
        <f>+'COMUNAS - HOME DELIVERY 2025'!L19*'COMUNAS - HOME DELIVERY 2025'!$Q$7</f>
        <v>5363.3040000000001</v>
      </c>
      <c r="M19" s="66">
        <f>+'COMUNAS - HOME DELIVERY 2025'!M19*'COMUNAS - HOME DELIVERY 2025'!$Q$7</f>
        <v>309.60000000000002</v>
      </c>
      <c r="N19" s="67">
        <f>+'COMUNAS - HOME DELIVERY 2025'!N19*'COMUNAS - HOME DELIVERY 2025'!$Q$7</f>
        <v>236.328</v>
      </c>
      <c r="O19" s="60"/>
    </row>
    <row r="20" spans="2:15" ht="20.399999999999999" x14ac:dyDescent="0.3">
      <c r="B20" s="2"/>
      <c r="C20" s="61" t="s">
        <v>74</v>
      </c>
      <c r="D20" s="62" t="s">
        <v>102</v>
      </c>
      <c r="E20" s="63" t="s">
        <v>103</v>
      </c>
      <c r="F20" s="64">
        <f>+'COMUNAS - HOME DELIVERY 2025'!F20*'COMUNAS - HOME DELIVERY 2025'!$Q$7</f>
        <v>3703.848</v>
      </c>
      <c r="G20" s="65">
        <f>+'COMUNAS - HOME DELIVERY 2025'!G20*'COMUNAS - HOME DELIVERY 2025'!$Q$7</f>
        <v>3961.848</v>
      </c>
      <c r="H20" s="65">
        <f>+'COMUNAS - HOME DELIVERY 2025'!H20*'COMUNAS - HOME DELIVERY 2025'!$Q$7</f>
        <v>4496.424</v>
      </c>
      <c r="I20" s="65">
        <f>+'COMUNAS - HOME DELIVERY 2025'!I20*'COMUNAS - HOME DELIVERY 2025'!$Q$7</f>
        <v>5325.12</v>
      </c>
      <c r="J20" s="65">
        <f>+'COMUNAS - HOME DELIVERY 2025'!J20*'COMUNAS - HOME DELIVERY 2025'!$Q$7</f>
        <v>6616.152</v>
      </c>
      <c r="K20" s="65">
        <f>+'COMUNAS - HOME DELIVERY 2025'!K20*'COMUNAS - HOME DELIVERY 2025'!$Q$7</f>
        <v>7476.84</v>
      </c>
      <c r="L20" s="65">
        <f>+'COMUNAS - HOME DELIVERY 2025'!L20*'COMUNAS - HOME DELIVERY 2025'!$Q$7</f>
        <v>8391.1920000000009</v>
      </c>
      <c r="M20" s="66">
        <f>+'COMUNAS - HOME DELIVERY 2025'!M20*'COMUNAS - HOME DELIVERY 2025'!$Q$7</f>
        <v>423.12</v>
      </c>
      <c r="N20" s="67">
        <f>+'COMUNAS - HOME DELIVERY 2025'!N20*'COMUNAS - HOME DELIVERY 2025'!$Q$7</f>
        <v>350.88</v>
      </c>
      <c r="O20" s="60"/>
    </row>
    <row r="21" spans="2:15" ht="15.75" customHeight="1" x14ac:dyDescent="0.3">
      <c r="B21" s="2"/>
      <c r="C21" s="61" t="s">
        <v>74</v>
      </c>
      <c r="D21" s="62" t="s">
        <v>104</v>
      </c>
      <c r="E21" s="63" t="s">
        <v>105</v>
      </c>
      <c r="F21" s="64">
        <f>+'COMUNAS - HOME DELIVERY 2025'!F21*'COMUNAS - HOME DELIVERY 2025'!$Q$7</f>
        <v>3025.8240000000001</v>
      </c>
      <c r="G21" s="65">
        <f>+'COMUNAS - HOME DELIVERY 2025'!G21*'COMUNAS - HOME DELIVERY 2025'!$Q$7</f>
        <v>3138.3119999999999</v>
      </c>
      <c r="H21" s="65">
        <f>+'COMUNAS - HOME DELIVERY 2025'!H21*'COMUNAS - HOME DELIVERY 2025'!$Q$7</f>
        <v>3340.5840000000003</v>
      </c>
      <c r="I21" s="65">
        <f>+'COMUNAS - HOME DELIVERY 2025'!I21*'COMUNAS - HOME DELIVERY 2025'!$Q$7</f>
        <v>3636.768</v>
      </c>
      <c r="J21" s="65">
        <f>+'COMUNAS - HOME DELIVERY 2025'!J21*'COMUNAS - HOME DELIVERY 2025'!$Q$7</f>
        <v>4211.5920000000006</v>
      </c>
      <c r="K21" s="65">
        <f>+'COMUNAS - HOME DELIVERY 2025'!K21*'COMUNAS - HOME DELIVERY 2025'!$Q$7</f>
        <v>4581.0479999999998</v>
      </c>
      <c r="L21" s="65">
        <f>+'COMUNAS - HOME DELIVERY 2025'!L21*'COMUNAS - HOME DELIVERY 2025'!$Q$7</f>
        <v>5363.3040000000001</v>
      </c>
      <c r="M21" s="66">
        <f>+'COMUNAS - HOME DELIVERY 2025'!M21*'COMUNAS - HOME DELIVERY 2025'!$Q$7</f>
        <v>309.60000000000002</v>
      </c>
      <c r="N21" s="67">
        <f>+'COMUNAS - HOME DELIVERY 2025'!N21*'COMUNAS - HOME DELIVERY 2025'!$Q$7</f>
        <v>236.328</v>
      </c>
      <c r="O21" s="60"/>
    </row>
    <row r="22" spans="2:15" ht="15.75" customHeight="1" x14ac:dyDescent="0.3">
      <c r="B22" s="2"/>
      <c r="C22" s="61" t="s">
        <v>74</v>
      </c>
      <c r="D22" s="62" t="s">
        <v>106</v>
      </c>
      <c r="E22" s="63" t="s">
        <v>107</v>
      </c>
      <c r="F22" s="64">
        <f>+'COMUNAS - HOME DELIVERY 2025'!F22*'COMUNAS - HOME DELIVERY 2025'!$Q$7</f>
        <v>3025.8240000000001</v>
      </c>
      <c r="G22" s="65">
        <f>+'COMUNAS - HOME DELIVERY 2025'!G22*'COMUNAS - HOME DELIVERY 2025'!$Q$7</f>
        <v>3138.3119999999999</v>
      </c>
      <c r="H22" s="65">
        <f>+'COMUNAS - HOME DELIVERY 2025'!H22*'COMUNAS - HOME DELIVERY 2025'!$Q$7</f>
        <v>3340.5840000000003</v>
      </c>
      <c r="I22" s="65">
        <f>+'COMUNAS - HOME DELIVERY 2025'!I22*'COMUNAS - HOME DELIVERY 2025'!$Q$7</f>
        <v>3636.768</v>
      </c>
      <c r="J22" s="65">
        <f>+'COMUNAS - HOME DELIVERY 2025'!J22*'COMUNAS - HOME DELIVERY 2025'!$Q$7</f>
        <v>4211.5920000000006</v>
      </c>
      <c r="K22" s="65">
        <f>+'COMUNAS - HOME DELIVERY 2025'!K22*'COMUNAS - HOME DELIVERY 2025'!$Q$7</f>
        <v>4581.0479999999998</v>
      </c>
      <c r="L22" s="65">
        <f>+'COMUNAS - HOME DELIVERY 2025'!L22*'COMUNAS - HOME DELIVERY 2025'!$Q$7</f>
        <v>5363.3040000000001</v>
      </c>
      <c r="M22" s="66">
        <f>+'COMUNAS - HOME DELIVERY 2025'!M22*'COMUNAS - HOME DELIVERY 2025'!$Q$7</f>
        <v>309.60000000000002</v>
      </c>
      <c r="N22" s="67">
        <f>+'COMUNAS - HOME DELIVERY 2025'!N22*'COMUNAS - HOME DELIVERY 2025'!$Q$7</f>
        <v>236.328</v>
      </c>
      <c r="O22" s="60"/>
    </row>
    <row r="23" spans="2:15" ht="15.75" customHeight="1" x14ac:dyDescent="0.3">
      <c r="B23" s="2"/>
      <c r="C23" s="61" t="s">
        <v>74</v>
      </c>
      <c r="D23" s="62" t="s">
        <v>108</v>
      </c>
      <c r="E23" s="63" t="s">
        <v>109</v>
      </c>
      <c r="F23" s="64">
        <f>+'COMUNAS - HOME DELIVERY 2025'!F23*'COMUNAS - HOME DELIVERY 2025'!$Q$7</f>
        <v>3025.8240000000001</v>
      </c>
      <c r="G23" s="65">
        <f>+'COMUNAS - HOME DELIVERY 2025'!G23*'COMUNAS - HOME DELIVERY 2025'!$Q$7</f>
        <v>3138.3119999999999</v>
      </c>
      <c r="H23" s="65">
        <f>+'COMUNAS - HOME DELIVERY 2025'!H23*'COMUNAS - HOME DELIVERY 2025'!$Q$7</f>
        <v>3340.5840000000003</v>
      </c>
      <c r="I23" s="65">
        <f>+'COMUNAS - HOME DELIVERY 2025'!I23*'COMUNAS - HOME DELIVERY 2025'!$Q$7</f>
        <v>3636.768</v>
      </c>
      <c r="J23" s="65">
        <f>+'COMUNAS - HOME DELIVERY 2025'!J23*'COMUNAS - HOME DELIVERY 2025'!$Q$7</f>
        <v>4211.5920000000006</v>
      </c>
      <c r="K23" s="65">
        <f>+'COMUNAS - HOME DELIVERY 2025'!K23*'COMUNAS - HOME DELIVERY 2025'!$Q$7</f>
        <v>4581.0479999999998</v>
      </c>
      <c r="L23" s="65">
        <f>+'COMUNAS - HOME DELIVERY 2025'!L23*'COMUNAS - HOME DELIVERY 2025'!$Q$7</f>
        <v>5363.3040000000001</v>
      </c>
      <c r="M23" s="66">
        <f>+'COMUNAS - HOME DELIVERY 2025'!M23*'COMUNAS - HOME DELIVERY 2025'!$Q$7</f>
        <v>309.60000000000002</v>
      </c>
      <c r="N23" s="67">
        <f>+'COMUNAS - HOME DELIVERY 2025'!N23*'COMUNAS - HOME DELIVERY 2025'!$Q$7</f>
        <v>236.328</v>
      </c>
      <c r="O23" s="60"/>
    </row>
    <row r="24" spans="2:15" ht="15.75" customHeight="1" x14ac:dyDescent="0.3">
      <c r="B24" s="2"/>
      <c r="C24" s="61" t="s">
        <v>74</v>
      </c>
      <c r="D24" s="62" t="s">
        <v>110</v>
      </c>
      <c r="E24" s="63" t="s">
        <v>111</v>
      </c>
      <c r="F24" s="64">
        <f>+'COMUNAS - HOME DELIVERY 2025'!F24*'COMUNAS - HOME DELIVERY 2025'!$Q$7</f>
        <v>3025.8240000000001</v>
      </c>
      <c r="G24" s="65">
        <f>+'COMUNAS - HOME DELIVERY 2025'!G24*'COMUNAS - HOME DELIVERY 2025'!$Q$7</f>
        <v>3138.3119999999999</v>
      </c>
      <c r="H24" s="65">
        <f>+'COMUNAS - HOME DELIVERY 2025'!H24*'COMUNAS - HOME DELIVERY 2025'!$Q$7</f>
        <v>3340.5840000000003</v>
      </c>
      <c r="I24" s="65">
        <f>+'COMUNAS - HOME DELIVERY 2025'!I24*'COMUNAS - HOME DELIVERY 2025'!$Q$7</f>
        <v>3636.768</v>
      </c>
      <c r="J24" s="65">
        <f>+'COMUNAS - HOME DELIVERY 2025'!J24*'COMUNAS - HOME DELIVERY 2025'!$Q$7</f>
        <v>4211.5920000000006</v>
      </c>
      <c r="K24" s="65">
        <f>+'COMUNAS - HOME DELIVERY 2025'!K24*'COMUNAS - HOME DELIVERY 2025'!$Q$7</f>
        <v>4581.0479999999998</v>
      </c>
      <c r="L24" s="65">
        <f>+'COMUNAS - HOME DELIVERY 2025'!L24*'COMUNAS - HOME DELIVERY 2025'!$Q$7</f>
        <v>5363.3040000000001</v>
      </c>
      <c r="M24" s="66">
        <f>+'COMUNAS - HOME DELIVERY 2025'!M24*'COMUNAS - HOME DELIVERY 2025'!$Q$7</f>
        <v>309.60000000000002</v>
      </c>
      <c r="N24" s="67">
        <f>+'COMUNAS - HOME DELIVERY 2025'!N24*'COMUNAS - HOME DELIVERY 2025'!$Q$7</f>
        <v>236.328</v>
      </c>
      <c r="O24" s="60"/>
    </row>
    <row r="25" spans="2:15" ht="15.75" customHeight="1" x14ac:dyDescent="0.3">
      <c r="B25" s="2"/>
      <c r="C25" s="61" t="s">
        <v>74</v>
      </c>
      <c r="D25" s="62" t="s">
        <v>112</v>
      </c>
      <c r="E25" s="63" t="s">
        <v>113</v>
      </c>
      <c r="F25" s="64">
        <f>+'COMUNAS - HOME DELIVERY 2025'!F25*'COMUNAS - HOME DELIVERY 2025'!$Q$7</f>
        <v>3025.8240000000001</v>
      </c>
      <c r="G25" s="65">
        <f>+'COMUNAS - HOME DELIVERY 2025'!G25*'COMUNAS - HOME DELIVERY 2025'!$Q$7</f>
        <v>3138.3119999999999</v>
      </c>
      <c r="H25" s="65">
        <f>+'COMUNAS - HOME DELIVERY 2025'!H25*'COMUNAS - HOME DELIVERY 2025'!$Q$7</f>
        <v>3340.5840000000003</v>
      </c>
      <c r="I25" s="65">
        <f>+'COMUNAS - HOME DELIVERY 2025'!I25*'COMUNAS - HOME DELIVERY 2025'!$Q$7</f>
        <v>3636.768</v>
      </c>
      <c r="J25" s="65">
        <f>+'COMUNAS - HOME DELIVERY 2025'!J25*'COMUNAS - HOME DELIVERY 2025'!$Q$7</f>
        <v>4211.5920000000006</v>
      </c>
      <c r="K25" s="65">
        <f>+'COMUNAS - HOME DELIVERY 2025'!K25*'COMUNAS - HOME DELIVERY 2025'!$Q$7</f>
        <v>4581.0479999999998</v>
      </c>
      <c r="L25" s="65">
        <f>+'COMUNAS - HOME DELIVERY 2025'!L25*'COMUNAS - HOME DELIVERY 2025'!$Q$7</f>
        <v>5363.3040000000001</v>
      </c>
      <c r="M25" s="66">
        <f>+'COMUNAS - HOME DELIVERY 2025'!M25*'COMUNAS - HOME DELIVERY 2025'!$Q$7</f>
        <v>309.60000000000002</v>
      </c>
      <c r="N25" s="67">
        <f>+'COMUNAS - HOME DELIVERY 2025'!N25*'COMUNAS - HOME DELIVERY 2025'!$Q$7</f>
        <v>236.328</v>
      </c>
      <c r="O25" s="60"/>
    </row>
    <row r="26" spans="2:15" ht="15.75" customHeight="1" x14ac:dyDescent="0.3">
      <c r="B26" s="2"/>
      <c r="C26" s="61" t="s">
        <v>74</v>
      </c>
      <c r="D26" s="62" t="s">
        <v>114</v>
      </c>
      <c r="E26" s="63" t="s">
        <v>115</v>
      </c>
      <c r="F26" s="64">
        <f>+'COMUNAS - HOME DELIVERY 2025'!F26*'COMUNAS - HOME DELIVERY 2025'!$Q$7</f>
        <v>3025.8240000000001</v>
      </c>
      <c r="G26" s="65">
        <f>+'COMUNAS - HOME DELIVERY 2025'!G26*'COMUNAS - HOME DELIVERY 2025'!$Q$7</f>
        <v>3138.3119999999999</v>
      </c>
      <c r="H26" s="65">
        <f>+'COMUNAS - HOME DELIVERY 2025'!H26*'COMUNAS - HOME DELIVERY 2025'!$Q$7</f>
        <v>3340.5840000000003</v>
      </c>
      <c r="I26" s="65">
        <f>+'COMUNAS - HOME DELIVERY 2025'!I26*'COMUNAS - HOME DELIVERY 2025'!$Q$7</f>
        <v>3636.768</v>
      </c>
      <c r="J26" s="65">
        <f>+'COMUNAS - HOME DELIVERY 2025'!J26*'COMUNAS - HOME DELIVERY 2025'!$Q$7</f>
        <v>4211.5920000000006</v>
      </c>
      <c r="K26" s="65">
        <f>+'COMUNAS - HOME DELIVERY 2025'!K26*'COMUNAS - HOME DELIVERY 2025'!$Q$7</f>
        <v>4581.0479999999998</v>
      </c>
      <c r="L26" s="65">
        <f>+'COMUNAS - HOME DELIVERY 2025'!L26*'COMUNAS - HOME DELIVERY 2025'!$Q$7</f>
        <v>5363.3040000000001</v>
      </c>
      <c r="M26" s="66">
        <f>+'COMUNAS - HOME DELIVERY 2025'!M26*'COMUNAS - HOME DELIVERY 2025'!$Q$7</f>
        <v>309.60000000000002</v>
      </c>
      <c r="N26" s="67">
        <f>+'COMUNAS - HOME DELIVERY 2025'!N26*'COMUNAS - HOME DELIVERY 2025'!$Q$7</f>
        <v>236.328</v>
      </c>
      <c r="O26" s="60"/>
    </row>
    <row r="27" spans="2:15" ht="15.75" customHeight="1" x14ac:dyDescent="0.3">
      <c r="B27" s="2"/>
      <c r="C27" s="61" t="s">
        <v>74</v>
      </c>
      <c r="D27" s="62" t="s">
        <v>116</v>
      </c>
      <c r="E27" s="63" t="s">
        <v>117</v>
      </c>
      <c r="F27" s="64">
        <f>+'COMUNAS - HOME DELIVERY 2025'!F27*'COMUNAS - HOME DELIVERY 2025'!$Q$7</f>
        <v>3025.8240000000001</v>
      </c>
      <c r="G27" s="65">
        <f>+'COMUNAS - HOME DELIVERY 2025'!G27*'COMUNAS - HOME DELIVERY 2025'!$Q$7</f>
        <v>3138.3119999999999</v>
      </c>
      <c r="H27" s="65">
        <f>+'COMUNAS - HOME DELIVERY 2025'!H27*'COMUNAS - HOME DELIVERY 2025'!$Q$7</f>
        <v>3340.5840000000003</v>
      </c>
      <c r="I27" s="65">
        <f>+'COMUNAS - HOME DELIVERY 2025'!I27*'COMUNAS - HOME DELIVERY 2025'!$Q$7</f>
        <v>3636.768</v>
      </c>
      <c r="J27" s="65">
        <f>+'COMUNAS - HOME DELIVERY 2025'!J27*'COMUNAS - HOME DELIVERY 2025'!$Q$7</f>
        <v>4211.5920000000006</v>
      </c>
      <c r="K27" s="65">
        <f>+'COMUNAS - HOME DELIVERY 2025'!K27*'COMUNAS - HOME DELIVERY 2025'!$Q$7</f>
        <v>4581.0479999999998</v>
      </c>
      <c r="L27" s="65">
        <f>+'COMUNAS - HOME DELIVERY 2025'!L27*'COMUNAS - HOME DELIVERY 2025'!$Q$7</f>
        <v>5363.3040000000001</v>
      </c>
      <c r="M27" s="66">
        <f>+'COMUNAS - HOME DELIVERY 2025'!M27*'COMUNAS - HOME DELIVERY 2025'!$Q$7</f>
        <v>309.60000000000002</v>
      </c>
      <c r="N27" s="67">
        <f>+'COMUNAS - HOME DELIVERY 2025'!N27*'COMUNAS - HOME DELIVERY 2025'!$Q$7</f>
        <v>236.328</v>
      </c>
      <c r="O27" s="60"/>
    </row>
    <row r="28" spans="2:15" ht="15.75" customHeight="1" x14ac:dyDescent="0.3">
      <c r="B28" s="2"/>
      <c r="C28" s="61" t="s">
        <v>74</v>
      </c>
      <c r="D28" s="62" t="s">
        <v>118</v>
      </c>
      <c r="E28" s="63" t="s">
        <v>119</v>
      </c>
      <c r="F28" s="64">
        <f>+'COMUNAS - HOME DELIVERY 2025'!F28*'COMUNAS - HOME DELIVERY 2025'!$Q$7</f>
        <v>3025.8240000000001</v>
      </c>
      <c r="G28" s="65">
        <f>+'COMUNAS - HOME DELIVERY 2025'!G28*'COMUNAS - HOME DELIVERY 2025'!$Q$7</f>
        <v>3138.3119999999999</v>
      </c>
      <c r="H28" s="65">
        <f>+'COMUNAS - HOME DELIVERY 2025'!H28*'COMUNAS - HOME DELIVERY 2025'!$Q$7</f>
        <v>3340.5840000000003</v>
      </c>
      <c r="I28" s="65">
        <f>+'COMUNAS - HOME DELIVERY 2025'!I28*'COMUNAS - HOME DELIVERY 2025'!$Q$7</f>
        <v>3636.768</v>
      </c>
      <c r="J28" s="65">
        <f>+'COMUNAS - HOME DELIVERY 2025'!J28*'COMUNAS - HOME DELIVERY 2025'!$Q$7</f>
        <v>4211.5920000000006</v>
      </c>
      <c r="K28" s="65">
        <f>+'COMUNAS - HOME DELIVERY 2025'!K28*'COMUNAS - HOME DELIVERY 2025'!$Q$7</f>
        <v>4581.0479999999998</v>
      </c>
      <c r="L28" s="65">
        <f>+'COMUNAS - HOME DELIVERY 2025'!L28*'COMUNAS - HOME DELIVERY 2025'!$Q$7</f>
        <v>5363.3040000000001</v>
      </c>
      <c r="M28" s="66">
        <f>+'COMUNAS - HOME DELIVERY 2025'!M28*'COMUNAS - HOME DELIVERY 2025'!$Q$7</f>
        <v>309.60000000000002</v>
      </c>
      <c r="N28" s="67">
        <f>+'COMUNAS - HOME DELIVERY 2025'!N28*'COMUNAS - HOME DELIVERY 2025'!$Q$7</f>
        <v>236.328</v>
      </c>
      <c r="O28" s="60"/>
    </row>
    <row r="29" spans="2:15" ht="15.75" customHeight="1" x14ac:dyDescent="0.3">
      <c r="B29" s="2"/>
      <c r="C29" s="61" t="s">
        <v>74</v>
      </c>
      <c r="D29" s="62" t="s">
        <v>120</v>
      </c>
      <c r="E29" s="63" t="s">
        <v>121</v>
      </c>
      <c r="F29" s="64">
        <f>+'COMUNAS - HOME DELIVERY 2025'!F29*'COMUNAS - HOME DELIVERY 2025'!$Q$7</f>
        <v>3025.8240000000001</v>
      </c>
      <c r="G29" s="65">
        <f>+'COMUNAS - HOME DELIVERY 2025'!G29*'COMUNAS - HOME DELIVERY 2025'!$Q$7</f>
        <v>3138.3119999999999</v>
      </c>
      <c r="H29" s="65">
        <f>+'COMUNAS - HOME DELIVERY 2025'!H29*'COMUNAS - HOME DELIVERY 2025'!$Q$7</f>
        <v>3340.5840000000003</v>
      </c>
      <c r="I29" s="65">
        <f>+'COMUNAS - HOME DELIVERY 2025'!I29*'COMUNAS - HOME DELIVERY 2025'!$Q$7</f>
        <v>3636.768</v>
      </c>
      <c r="J29" s="65">
        <f>+'COMUNAS - HOME DELIVERY 2025'!J29*'COMUNAS - HOME DELIVERY 2025'!$Q$7</f>
        <v>4211.5920000000006</v>
      </c>
      <c r="K29" s="65">
        <f>+'COMUNAS - HOME DELIVERY 2025'!K29*'COMUNAS - HOME DELIVERY 2025'!$Q$7</f>
        <v>4581.0479999999998</v>
      </c>
      <c r="L29" s="65">
        <f>+'COMUNAS - HOME DELIVERY 2025'!L29*'COMUNAS - HOME DELIVERY 2025'!$Q$7</f>
        <v>5363.3040000000001</v>
      </c>
      <c r="M29" s="66">
        <f>+'COMUNAS - HOME DELIVERY 2025'!M29*'COMUNAS - HOME DELIVERY 2025'!$Q$7</f>
        <v>309.60000000000002</v>
      </c>
      <c r="N29" s="67">
        <f>+'COMUNAS - HOME DELIVERY 2025'!N29*'COMUNAS - HOME DELIVERY 2025'!$Q$7</f>
        <v>236.328</v>
      </c>
      <c r="O29" s="60"/>
    </row>
    <row r="30" spans="2:15" ht="15.75" customHeight="1" x14ac:dyDescent="0.3">
      <c r="B30" s="2"/>
      <c r="C30" s="61" t="s">
        <v>74</v>
      </c>
      <c r="D30" s="62" t="s">
        <v>122</v>
      </c>
      <c r="E30" s="63" t="s">
        <v>123</v>
      </c>
      <c r="F30" s="64">
        <f>+'COMUNAS - HOME DELIVERY 2025'!F30*'COMUNAS - HOME DELIVERY 2025'!$Q$7</f>
        <v>3025.8240000000001</v>
      </c>
      <c r="G30" s="65">
        <f>+'COMUNAS - HOME DELIVERY 2025'!G30*'COMUNAS - HOME DELIVERY 2025'!$Q$7</f>
        <v>3138.3119999999999</v>
      </c>
      <c r="H30" s="65">
        <f>+'COMUNAS - HOME DELIVERY 2025'!H30*'COMUNAS - HOME DELIVERY 2025'!$Q$7</f>
        <v>3340.5840000000003</v>
      </c>
      <c r="I30" s="65">
        <f>+'COMUNAS - HOME DELIVERY 2025'!I30*'COMUNAS - HOME DELIVERY 2025'!$Q$7</f>
        <v>3636.768</v>
      </c>
      <c r="J30" s="65">
        <f>+'COMUNAS - HOME DELIVERY 2025'!J30*'COMUNAS - HOME DELIVERY 2025'!$Q$7</f>
        <v>4211.5920000000006</v>
      </c>
      <c r="K30" s="65">
        <f>+'COMUNAS - HOME DELIVERY 2025'!K30*'COMUNAS - HOME DELIVERY 2025'!$Q$7</f>
        <v>4581.0479999999998</v>
      </c>
      <c r="L30" s="65">
        <f>+'COMUNAS - HOME DELIVERY 2025'!L30*'COMUNAS - HOME DELIVERY 2025'!$Q$7</f>
        <v>5363.3040000000001</v>
      </c>
      <c r="M30" s="66">
        <f>+'COMUNAS - HOME DELIVERY 2025'!M30*'COMUNAS - HOME DELIVERY 2025'!$Q$7</f>
        <v>309.60000000000002</v>
      </c>
      <c r="N30" s="67">
        <f>+'COMUNAS - HOME DELIVERY 2025'!N30*'COMUNAS - HOME DELIVERY 2025'!$Q$7</f>
        <v>236.328</v>
      </c>
      <c r="O30" s="60"/>
    </row>
    <row r="31" spans="2:15" ht="15.75" customHeight="1" x14ac:dyDescent="0.3">
      <c r="B31" s="2"/>
      <c r="C31" s="61" t="s">
        <v>74</v>
      </c>
      <c r="D31" s="62" t="s">
        <v>124</v>
      </c>
      <c r="E31" s="63" t="s">
        <v>125</v>
      </c>
      <c r="F31" s="64">
        <f>+'COMUNAS - HOME DELIVERY 2025'!F31*'COMUNAS - HOME DELIVERY 2025'!$Q$7</f>
        <v>3025.8240000000001</v>
      </c>
      <c r="G31" s="65">
        <f>+'COMUNAS - HOME DELIVERY 2025'!G31*'COMUNAS - HOME DELIVERY 2025'!$Q$7</f>
        <v>3138.3119999999999</v>
      </c>
      <c r="H31" s="65">
        <f>+'COMUNAS - HOME DELIVERY 2025'!H31*'COMUNAS - HOME DELIVERY 2025'!$Q$7</f>
        <v>3340.5840000000003</v>
      </c>
      <c r="I31" s="65">
        <f>+'COMUNAS - HOME DELIVERY 2025'!I31*'COMUNAS - HOME DELIVERY 2025'!$Q$7</f>
        <v>3636.768</v>
      </c>
      <c r="J31" s="65">
        <f>+'COMUNAS - HOME DELIVERY 2025'!J31*'COMUNAS - HOME DELIVERY 2025'!$Q$7</f>
        <v>4211.5920000000006</v>
      </c>
      <c r="K31" s="65">
        <f>+'COMUNAS - HOME DELIVERY 2025'!K31*'COMUNAS - HOME DELIVERY 2025'!$Q$7</f>
        <v>4581.0479999999998</v>
      </c>
      <c r="L31" s="65">
        <f>+'COMUNAS - HOME DELIVERY 2025'!L31*'COMUNAS - HOME DELIVERY 2025'!$Q$7</f>
        <v>5363.3040000000001</v>
      </c>
      <c r="M31" s="66">
        <f>+'COMUNAS - HOME DELIVERY 2025'!M31*'COMUNAS - HOME DELIVERY 2025'!$Q$7</f>
        <v>309.60000000000002</v>
      </c>
      <c r="N31" s="67">
        <f>+'COMUNAS - HOME DELIVERY 2025'!N31*'COMUNAS - HOME DELIVERY 2025'!$Q$7</f>
        <v>236.328</v>
      </c>
      <c r="O31" s="60"/>
    </row>
    <row r="32" spans="2:15" ht="15.75" customHeight="1" x14ac:dyDescent="0.3">
      <c r="B32" s="2"/>
      <c r="C32" s="61" t="s">
        <v>74</v>
      </c>
      <c r="D32" s="62" t="s">
        <v>126</v>
      </c>
      <c r="E32" s="63" t="s">
        <v>127</v>
      </c>
      <c r="F32" s="64">
        <f>+'COMUNAS - HOME DELIVERY 2025'!F32*'COMUNAS - HOME DELIVERY 2025'!$Q$7</f>
        <v>3025.8240000000001</v>
      </c>
      <c r="G32" s="65">
        <f>+'COMUNAS - HOME DELIVERY 2025'!G32*'COMUNAS - HOME DELIVERY 2025'!$Q$7</f>
        <v>3138.3119999999999</v>
      </c>
      <c r="H32" s="65">
        <f>+'COMUNAS - HOME DELIVERY 2025'!H32*'COMUNAS - HOME DELIVERY 2025'!$Q$7</f>
        <v>3340.5840000000003</v>
      </c>
      <c r="I32" s="65">
        <f>+'COMUNAS - HOME DELIVERY 2025'!I32*'COMUNAS - HOME DELIVERY 2025'!$Q$7</f>
        <v>3636.768</v>
      </c>
      <c r="J32" s="65">
        <f>+'COMUNAS - HOME DELIVERY 2025'!J32*'COMUNAS - HOME DELIVERY 2025'!$Q$7</f>
        <v>4211.5920000000006</v>
      </c>
      <c r="K32" s="65">
        <f>+'COMUNAS - HOME DELIVERY 2025'!K32*'COMUNAS - HOME DELIVERY 2025'!$Q$7</f>
        <v>4581.0479999999998</v>
      </c>
      <c r="L32" s="65">
        <f>+'COMUNAS - HOME DELIVERY 2025'!L32*'COMUNAS - HOME DELIVERY 2025'!$Q$7</f>
        <v>5363.3040000000001</v>
      </c>
      <c r="M32" s="66">
        <f>+'COMUNAS - HOME DELIVERY 2025'!M32*'COMUNAS - HOME DELIVERY 2025'!$Q$7</f>
        <v>309.60000000000002</v>
      </c>
      <c r="N32" s="67">
        <f>+'COMUNAS - HOME DELIVERY 2025'!N32*'COMUNAS - HOME DELIVERY 2025'!$Q$7</f>
        <v>236.328</v>
      </c>
      <c r="O32" s="60"/>
    </row>
    <row r="33" spans="2:25" ht="15.75" customHeight="1" x14ac:dyDescent="0.3">
      <c r="B33" s="2"/>
      <c r="C33" s="61" t="s">
        <v>74</v>
      </c>
      <c r="D33" s="62" t="s">
        <v>128</v>
      </c>
      <c r="E33" s="63" t="s">
        <v>129</v>
      </c>
      <c r="F33" s="64">
        <f>+'COMUNAS - HOME DELIVERY 2025'!F33*'COMUNAS - HOME DELIVERY 2025'!$Q$7</f>
        <v>3025.8240000000001</v>
      </c>
      <c r="G33" s="65">
        <f>+'COMUNAS - HOME DELIVERY 2025'!G33*'COMUNAS - HOME DELIVERY 2025'!$Q$7</f>
        <v>3138.3119999999999</v>
      </c>
      <c r="H33" s="65">
        <f>+'COMUNAS - HOME DELIVERY 2025'!H33*'COMUNAS - HOME DELIVERY 2025'!$Q$7</f>
        <v>3340.5840000000003</v>
      </c>
      <c r="I33" s="65">
        <f>+'COMUNAS - HOME DELIVERY 2025'!I33*'COMUNAS - HOME DELIVERY 2025'!$Q$7</f>
        <v>3636.768</v>
      </c>
      <c r="J33" s="65">
        <f>+'COMUNAS - HOME DELIVERY 2025'!J33*'COMUNAS - HOME DELIVERY 2025'!$Q$7</f>
        <v>4211.5920000000006</v>
      </c>
      <c r="K33" s="65">
        <f>+'COMUNAS - HOME DELIVERY 2025'!K33*'COMUNAS - HOME DELIVERY 2025'!$Q$7</f>
        <v>4581.0479999999998</v>
      </c>
      <c r="L33" s="65">
        <f>+'COMUNAS - HOME DELIVERY 2025'!L33*'COMUNAS - HOME DELIVERY 2025'!$Q$7</f>
        <v>5363.3040000000001</v>
      </c>
      <c r="M33" s="66">
        <f>+'COMUNAS - HOME DELIVERY 2025'!M33*'COMUNAS - HOME DELIVERY 2025'!$Q$7</f>
        <v>309.60000000000002</v>
      </c>
      <c r="N33" s="67">
        <f>+'COMUNAS - HOME DELIVERY 2025'!N33*'COMUNAS - HOME DELIVERY 2025'!$Q$7</f>
        <v>236.328</v>
      </c>
      <c r="O33" s="60"/>
    </row>
    <row r="34" spans="2:25" ht="15.75" customHeight="1" x14ac:dyDescent="0.3">
      <c r="B34" s="2"/>
      <c r="C34" s="61" t="s">
        <v>74</v>
      </c>
      <c r="D34" s="62" t="s">
        <v>130</v>
      </c>
      <c r="E34" s="63" t="s">
        <v>131</v>
      </c>
      <c r="F34" s="64">
        <f>+'COMUNAS - HOME DELIVERY 2025'!F34*'COMUNAS - HOME DELIVERY 2025'!$Q$7</f>
        <v>3025.8240000000001</v>
      </c>
      <c r="G34" s="65">
        <f>+'COMUNAS - HOME DELIVERY 2025'!G34*'COMUNAS - HOME DELIVERY 2025'!$Q$7</f>
        <v>3138.3119999999999</v>
      </c>
      <c r="H34" s="65">
        <f>+'COMUNAS - HOME DELIVERY 2025'!H34*'COMUNAS - HOME DELIVERY 2025'!$Q$7</f>
        <v>3340.5840000000003</v>
      </c>
      <c r="I34" s="65">
        <f>+'COMUNAS - HOME DELIVERY 2025'!I34*'COMUNAS - HOME DELIVERY 2025'!$Q$7</f>
        <v>3636.768</v>
      </c>
      <c r="J34" s="65">
        <f>+'COMUNAS - HOME DELIVERY 2025'!J34*'COMUNAS - HOME DELIVERY 2025'!$Q$7</f>
        <v>4211.5920000000006</v>
      </c>
      <c r="K34" s="65">
        <f>+'COMUNAS - HOME DELIVERY 2025'!K34*'COMUNAS - HOME DELIVERY 2025'!$Q$7</f>
        <v>4581.0479999999998</v>
      </c>
      <c r="L34" s="65">
        <f>+'COMUNAS - HOME DELIVERY 2025'!L34*'COMUNAS - HOME DELIVERY 2025'!$Q$7</f>
        <v>5363.3040000000001</v>
      </c>
      <c r="M34" s="66">
        <f>+'COMUNAS - HOME DELIVERY 2025'!M34*'COMUNAS - HOME DELIVERY 2025'!$Q$7</f>
        <v>309.60000000000002</v>
      </c>
      <c r="N34" s="67">
        <f>+'COMUNAS - HOME DELIVERY 2025'!N34*'COMUNAS - HOME DELIVERY 2025'!$Q$7</f>
        <v>236.328</v>
      </c>
      <c r="O34" s="60"/>
    </row>
    <row r="35" spans="2:25" ht="15.75" customHeight="1" x14ac:dyDescent="0.3">
      <c r="B35" s="2"/>
      <c r="C35" s="61" t="s">
        <v>74</v>
      </c>
      <c r="D35" s="62" t="s">
        <v>132</v>
      </c>
      <c r="E35" s="63" t="s">
        <v>133</v>
      </c>
      <c r="F35" s="64">
        <f>+'COMUNAS - HOME DELIVERY 2025'!F35*'COMUNAS - HOME DELIVERY 2025'!$Q$7</f>
        <v>3025.8240000000001</v>
      </c>
      <c r="G35" s="65">
        <f>+'COMUNAS - HOME DELIVERY 2025'!G35*'COMUNAS - HOME DELIVERY 2025'!$Q$7</f>
        <v>3138.3119999999999</v>
      </c>
      <c r="H35" s="65">
        <f>+'COMUNAS - HOME DELIVERY 2025'!H35*'COMUNAS - HOME DELIVERY 2025'!$Q$7</f>
        <v>3340.5840000000003</v>
      </c>
      <c r="I35" s="65">
        <f>+'COMUNAS - HOME DELIVERY 2025'!I35*'COMUNAS - HOME DELIVERY 2025'!$Q$7</f>
        <v>3636.768</v>
      </c>
      <c r="J35" s="65">
        <f>+'COMUNAS - HOME DELIVERY 2025'!J35*'COMUNAS - HOME DELIVERY 2025'!$Q$7</f>
        <v>4211.5920000000006</v>
      </c>
      <c r="K35" s="65">
        <f>+'COMUNAS - HOME DELIVERY 2025'!K35*'COMUNAS - HOME DELIVERY 2025'!$Q$7</f>
        <v>4581.0479999999998</v>
      </c>
      <c r="L35" s="65">
        <f>+'COMUNAS - HOME DELIVERY 2025'!L35*'COMUNAS - HOME DELIVERY 2025'!$Q$7</f>
        <v>5363.3040000000001</v>
      </c>
      <c r="M35" s="66">
        <f>+'COMUNAS - HOME DELIVERY 2025'!M35*'COMUNAS - HOME DELIVERY 2025'!$Q$7</f>
        <v>309.60000000000002</v>
      </c>
      <c r="N35" s="67">
        <f>+'COMUNAS - HOME DELIVERY 2025'!N35*'COMUNAS - HOME DELIVERY 2025'!$Q$7</f>
        <v>236.328</v>
      </c>
      <c r="O35" s="60"/>
    </row>
    <row r="36" spans="2:25" ht="15.75" customHeight="1" x14ac:dyDescent="0.3">
      <c r="B36" s="2"/>
      <c r="C36" s="61" t="s">
        <v>74</v>
      </c>
      <c r="D36" s="62" t="s">
        <v>134</v>
      </c>
      <c r="E36" s="63" t="s">
        <v>135</v>
      </c>
      <c r="F36" s="64">
        <f>+'COMUNAS - HOME DELIVERY 2025'!F36*'COMUNAS - HOME DELIVERY 2025'!$Q$7</f>
        <v>3025.8240000000001</v>
      </c>
      <c r="G36" s="65">
        <f>+'COMUNAS - HOME DELIVERY 2025'!G36*'COMUNAS - HOME DELIVERY 2025'!$Q$7</f>
        <v>3138.3119999999999</v>
      </c>
      <c r="H36" s="65">
        <f>+'COMUNAS - HOME DELIVERY 2025'!H36*'COMUNAS - HOME DELIVERY 2025'!$Q$7</f>
        <v>3340.5840000000003</v>
      </c>
      <c r="I36" s="65">
        <f>+'COMUNAS - HOME DELIVERY 2025'!I36*'COMUNAS - HOME DELIVERY 2025'!$Q$7</f>
        <v>3636.768</v>
      </c>
      <c r="J36" s="65">
        <f>+'COMUNAS - HOME DELIVERY 2025'!J36*'COMUNAS - HOME DELIVERY 2025'!$Q$7</f>
        <v>4211.5920000000006</v>
      </c>
      <c r="K36" s="65">
        <f>+'COMUNAS - HOME DELIVERY 2025'!K36*'COMUNAS - HOME DELIVERY 2025'!$Q$7</f>
        <v>4581.0479999999998</v>
      </c>
      <c r="L36" s="65">
        <f>+'COMUNAS - HOME DELIVERY 2025'!L36*'COMUNAS - HOME DELIVERY 2025'!$Q$7</f>
        <v>5363.3040000000001</v>
      </c>
      <c r="M36" s="66">
        <f>+'COMUNAS - HOME DELIVERY 2025'!M36*'COMUNAS - HOME DELIVERY 2025'!$Q$7</f>
        <v>309.60000000000002</v>
      </c>
      <c r="N36" s="67">
        <f>+'COMUNAS - HOME DELIVERY 2025'!N36*'COMUNAS - HOME DELIVERY 2025'!$Q$7</f>
        <v>236.328</v>
      </c>
      <c r="O36" s="60"/>
    </row>
    <row r="37" spans="2:25" ht="15.75" customHeight="1" x14ac:dyDescent="0.3">
      <c r="B37" s="2"/>
      <c r="C37" s="61" t="s">
        <v>74</v>
      </c>
      <c r="D37" s="62" t="s">
        <v>136</v>
      </c>
      <c r="E37" s="63" t="s">
        <v>137</v>
      </c>
      <c r="F37" s="64">
        <f>+'COMUNAS - HOME DELIVERY 2025'!F37*'COMUNAS - HOME DELIVERY 2025'!$Q$7</f>
        <v>3025.8240000000001</v>
      </c>
      <c r="G37" s="65">
        <f>+'COMUNAS - HOME DELIVERY 2025'!G37*'COMUNAS - HOME DELIVERY 2025'!$Q$7</f>
        <v>3138.3119999999999</v>
      </c>
      <c r="H37" s="65">
        <f>+'COMUNAS - HOME DELIVERY 2025'!H37*'COMUNAS - HOME DELIVERY 2025'!$Q$7</f>
        <v>3340.5840000000003</v>
      </c>
      <c r="I37" s="65">
        <f>+'COMUNAS - HOME DELIVERY 2025'!I37*'COMUNAS - HOME DELIVERY 2025'!$Q$7</f>
        <v>3636.768</v>
      </c>
      <c r="J37" s="65">
        <f>+'COMUNAS - HOME DELIVERY 2025'!J37*'COMUNAS - HOME DELIVERY 2025'!$Q$7</f>
        <v>4211.5920000000006</v>
      </c>
      <c r="K37" s="65">
        <f>+'COMUNAS - HOME DELIVERY 2025'!K37*'COMUNAS - HOME DELIVERY 2025'!$Q$7</f>
        <v>4581.0479999999998</v>
      </c>
      <c r="L37" s="65">
        <f>+'COMUNAS - HOME DELIVERY 2025'!L37*'COMUNAS - HOME DELIVERY 2025'!$Q$7</f>
        <v>5363.3040000000001</v>
      </c>
      <c r="M37" s="66">
        <f>+'COMUNAS - HOME DELIVERY 2025'!M37*'COMUNAS - HOME DELIVERY 2025'!$Q$7</f>
        <v>309.60000000000002</v>
      </c>
      <c r="N37" s="67">
        <f>+'COMUNAS - HOME DELIVERY 2025'!N37*'COMUNAS - HOME DELIVERY 2025'!$Q$7</f>
        <v>236.328</v>
      </c>
      <c r="O37" s="60"/>
      <c r="P37" s="2"/>
      <c r="Q37" s="2"/>
      <c r="R37" s="2"/>
      <c r="S37" s="38"/>
    </row>
    <row r="38" spans="2:25" ht="15.75" customHeight="1" x14ac:dyDescent="0.3">
      <c r="B38" s="2"/>
      <c r="C38" s="61" t="s">
        <v>74</v>
      </c>
      <c r="D38" s="62" t="s">
        <v>138</v>
      </c>
      <c r="E38" s="63" t="s">
        <v>139</v>
      </c>
      <c r="F38" s="64">
        <f>+'COMUNAS - HOME DELIVERY 2025'!F38*'COMUNAS - HOME DELIVERY 2025'!$Q$7</f>
        <v>3025.8240000000001</v>
      </c>
      <c r="G38" s="65">
        <f>+'COMUNAS - HOME DELIVERY 2025'!G38*'COMUNAS - HOME DELIVERY 2025'!$Q$7</f>
        <v>3138.3119999999999</v>
      </c>
      <c r="H38" s="65">
        <f>+'COMUNAS - HOME DELIVERY 2025'!H38*'COMUNAS - HOME DELIVERY 2025'!$Q$7</f>
        <v>3340.5840000000003</v>
      </c>
      <c r="I38" s="65">
        <f>+'COMUNAS - HOME DELIVERY 2025'!I38*'COMUNAS - HOME DELIVERY 2025'!$Q$7</f>
        <v>3636.768</v>
      </c>
      <c r="J38" s="65">
        <f>+'COMUNAS - HOME DELIVERY 2025'!J38*'COMUNAS - HOME DELIVERY 2025'!$Q$7</f>
        <v>4211.5920000000006</v>
      </c>
      <c r="K38" s="65">
        <f>+'COMUNAS - HOME DELIVERY 2025'!K38*'COMUNAS - HOME DELIVERY 2025'!$Q$7</f>
        <v>4581.0479999999998</v>
      </c>
      <c r="L38" s="65">
        <f>+'COMUNAS - HOME DELIVERY 2025'!L38*'COMUNAS - HOME DELIVERY 2025'!$Q$7</f>
        <v>5363.3040000000001</v>
      </c>
      <c r="M38" s="66">
        <f>+'COMUNAS - HOME DELIVERY 2025'!M38*'COMUNAS - HOME DELIVERY 2025'!$Q$7</f>
        <v>309.60000000000002</v>
      </c>
      <c r="N38" s="67">
        <f>+'COMUNAS - HOME DELIVERY 2025'!N38*'COMUNAS - HOME DELIVERY 2025'!$Q$7</f>
        <v>236.328</v>
      </c>
      <c r="O38" s="60"/>
      <c r="P38" s="2"/>
      <c r="Q38" s="2"/>
      <c r="R38" s="2"/>
      <c r="S38" s="38"/>
    </row>
    <row r="39" spans="2:25" ht="15.75" customHeight="1" x14ac:dyDescent="0.3">
      <c r="B39" s="2"/>
      <c r="C39" s="61" t="s">
        <v>74</v>
      </c>
      <c r="D39" s="62" t="s">
        <v>140</v>
      </c>
      <c r="E39" s="63" t="s">
        <v>141</v>
      </c>
      <c r="F39" s="64">
        <f>+'COMUNAS - HOME DELIVERY 2025'!F39*'COMUNAS - HOME DELIVERY 2025'!$Q$7</f>
        <v>3025.8240000000001</v>
      </c>
      <c r="G39" s="65">
        <f>+'COMUNAS - HOME DELIVERY 2025'!G39*'COMUNAS - HOME DELIVERY 2025'!$Q$7</f>
        <v>3138.3119999999999</v>
      </c>
      <c r="H39" s="65">
        <f>+'COMUNAS - HOME DELIVERY 2025'!H39*'COMUNAS - HOME DELIVERY 2025'!$Q$7</f>
        <v>3340.5840000000003</v>
      </c>
      <c r="I39" s="65">
        <f>+'COMUNAS - HOME DELIVERY 2025'!I39*'COMUNAS - HOME DELIVERY 2025'!$Q$7</f>
        <v>3636.768</v>
      </c>
      <c r="J39" s="65">
        <f>+'COMUNAS - HOME DELIVERY 2025'!J39*'COMUNAS - HOME DELIVERY 2025'!$Q$7</f>
        <v>4211.5920000000006</v>
      </c>
      <c r="K39" s="65">
        <f>+'COMUNAS - HOME DELIVERY 2025'!K39*'COMUNAS - HOME DELIVERY 2025'!$Q$7</f>
        <v>4581.0479999999998</v>
      </c>
      <c r="L39" s="65">
        <f>+'COMUNAS - HOME DELIVERY 2025'!L39*'COMUNAS - HOME DELIVERY 2025'!$Q$7</f>
        <v>5363.3040000000001</v>
      </c>
      <c r="M39" s="66">
        <f>+'COMUNAS - HOME DELIVERY 2025'!M39*'COMUNAS - HOME DELIVERY 2025'!$Q$7</f>
        <v>309.60000000000002</v>
      </c>
      <c r="N39" s="67">
        <f>+'COMUNAS - HOME DELIVERY 2025'!N39*'COMUNAS - HOME DELIVERY 2025'!$Q$7</f>
        <v>236.328</v>
      </c>
      <c r="O39" s="60"/>
      <c r="P39" s="2"/>
      <c r="Q39" s="2"/>
      <c r="R39" s="2"/>
      <c r="S39" s="38"/>
    </row>
    <row r="40" spans="2:25" ht="15.75" customHeight="1" x14ac:dyDescent="0.3">
      <c r="B40" s="2"/>
      <c r="C40" s="61" t="s">
        <v>74</v>
      </c>
      <c r="D40" s="62" t="s">
        <v>142</v>
      </c>
      <c r="E40" s="63" t="s">
        <v>143</v>
      </c>
      <c r="F40" s="64">
        <f>+'COMUNAS - HOME DELIVERY 2025'!F40*'COMUNAS - HOME DELIVERY 2025'!$Q$7</f>
        <v>3025.8240000000001</v>
      </c>
      <c r="G40" s="65">
        <f>+'COMUNAS - HOME DELIVERY 2025'!G40*'COMUNAS - HOME DELIVERY 2025'!$Q$7</f>
        <v>3138.3119999999999</v>
      </c>
      <c r="H40" s="65">
        <f>+'COMUNAS - HOME DELIVERY 2025'!H40*'COMUNAS - HOME DELIVERY 2025'!$Q$7</f>
        <v>3340.5840000000003</v>
      </c>
      <c r="I40" s="65">
        <f>+'COMUNAS - HOME DELIVERY 2025'!I40*'COMUNAS - HOME DELIVERY 2025'!$Q$7</f>
        <v>3636.768</v>
      </c>
      <c r="J40" s="65">
        <f>+'COMUNAS - HOME DELIVERY 2025'!J40*'COMUNAS - HOME DELIVERY 2025'!$Q$7</f>
        <v>4211.5920000000006</v>
      </c>
      <c r="K40" s="65">
        <f>+'COMUNAS - HOME DELIVERY 2025'!K40*'COMUNAS - HOME DELIVERY 2025'!$Q$7</f>
        <v>4581.0479999999998</v>
      </c>
      <c r="L40" s="65">
        <f>+'COMUNAS - HOME DELIVERY 2025'!L40*'COMUNAS - HOME DELIVERY 2025'!$Q$7</f>
        <v>5363.3040000000001</v>
      </c>
      <c r="M40" s="66">
        <f>+'COMUNAS - HOME DELIVERY 2025'!M40*'COMUNAS - HOME DELIVERY 2025'!$Q$7</f>
        <v>309.60000000000002</v>
      </c>
      <c r="N40" s="67">
        <f>+'COMUNAS - HOME DELIVERY 2025'!N40*'COMUNAS - HOME DELIVERY 2025'!$Q$7</f>
        <v>236.328</v>
      </c>
      <c r="O40" s="60"/>
      <c r="P40" s="2"/>
      <c r="Q40" s="2"/>
      <c r="R40" s="2"/>
      <c r="S40" s="2"/>
      <c r="T40" s="2"/>
      <c r="U40" s="2"/>
      <c r="V40" s="2"/>
      <c r="W40" s="2"/>
      <c r="X40" s="2"/>
      <c r="Y40" s="38"/>
    </row>
    <row r="41" spans="2:25" ht="15.75" customHeight="1" x14ac:dyDescent="0.3">
      <c r="B41" s="2"/>
      <c r="C41" s="61" t="s">
        <v>74</v>
      </c>
      <c r="D41" s="62" t="s">
        <v>144</v>
      </c>
      <c r="E41" s="63" t="s">
        <v>145</v>
      </c>
      <c r="F41" s="64">
        <f>+'COMUNAS - HOME DELIVERY 2025'!F41*'COMUNAS - HOME DELIVERY 2025'!$Q$7</f>
        <v>3703.848</v>
      </c>
      <c r="G41" s="65">
        <f>+'COMUNAS - HOME DELIVERY 2025'!G41*'COMUNAS - HOME DELIVERY 2025'!$Q$7</f>
        <v>3961.848</v>
      </c>
      <c r="H41" s="65">
        <f>+'COMUNAS - HOME DELIVERY 2025'!H41*'COMUNAS - HOME DELIVERY 2025'!$Q$7</f>
        <v>4496.424</v>
      </c>
      <c r="I41" s="65">
        <f>+'COMUNAS - HOME DELIVERY 2025'!I41*'COMUNAS - HOME DELIVERY 2025'!$Q$7</f>
        <v>5325.12</v>
      </c>
      <c r="J41" s="65">
        <f>+'COMUNAS - HOME DELIVERY 2025'!J41*'COMUNAS - HOME DELIVERY 2025'!$Q$7</f>
        <v>6616.152</v>
      </c>
      <c r="K41" s="65">
        <f>+'COMUNAS - HOME DELIVERY 2025'!K41*'COMUNAS - HOME DELIVERY 2025'!$Q$7</f>
        <v>7476.84</v>
      </c>
      <c r="L41" s="65">
        <f>+'COMUNAS - HOME DELIVERY 2025'!L41*'COMUNAS - HOME DELIVERY 2025'!$Q$7</f>
        <v>8391.1920000000009</v>
      </c>
      <c r="M41" s="66">
        <f>+'COMUNAS - HOME DELIVERY 2025'!M41*'COMUNAS - HOME DELIVERY 2025'!$Q$7</f>
        <v>423.12</v>
      </c>
      <c r="N41" s="67">
        <f>+'COMUNAS - HOME DELIVERY 2025'!N41*'COMUNAS - HOME DELIVERY 2025'!$Q$7</f>
        <v>350.88</v>
      </c>
      <c r="O41" s="60"/>
      <c r="P41" s="2"/>
      <c r="Q41" s="2"/>
      <c r="R41" s="2"/>
      <c r="S41" s="2"/>
      <c r="T41" s="2"/>
      <c r="U41" s="2"/>
      <c r="V41" s="2"/>
      <c r="W41" s="2"/>
      <c r="X41" s="2"/>
      <c r="Y41" s="38"/>
    </row>
    <row r="42" spans="2:25" ht="15.75" customHeight="1" x14ac:dyDescent="0.3">
      <c r="B42" s="2"/>
      <c r="C42" s="61" t="s">
        <v>74</v>
      </c>
      <c r="D42" s="62" t="s">
        <v>146</v>
      </c>
      <c r="E42" s="63" t="s">
        <v>147</v>
      </c>
      <c r="F42" s="64">
        <f>+'COMUNAS - HOME DELIVERY 2025'!F42*'COMUNAS - HOME DELIVERY 2025'!$Q$7</f>
        <v>3025.8240000000001</v>
      </c>
      <c r="G42" s="65">
        <f>+'COMUNAS - HOME DELIVERY 2025'!G42*'COMUNAS - HOME DELIVERY 2025'!$Q$7</f>
        <v>3138.3119999999999</v>
      </c>
      <c r="H42" s="65">
        <f>+'COMUNAS - HOME DELIVERY 2025'!H42*'COMUNAS - HOME DELIVERY 2025'!$Q$7</f>
        <v>3340.5840000000003</v>
      </c>
      <c r="I42" s="65">
        <f>+'COMUNAS - HOME DELIVERY 2025'!I42*'COMUNAS - HOME DELIVERY 2025'!$Q$7</f>
        <v>3636.768</v>
      </c>
      <c r="J42" s="65">
        <f>+'COMUNAS - HOME DELIVERY 2025'!J42*'COMUNAS - HOME DELIVERY 2025'!$Q$7</f>
        <v>4211.5920000000006</v>
      </c>
      <c r="K42" s="65">
        <f>+'COMUNAS - HOME DELIVERY 2025'!K42*'COMUNAS - HOME DELIVERY 2025'!$Q$7</f>
        <v>4581.0479999999998</v>
      </c>
      <c r="L42" s="65">
        <f>+'COMUNAS - HOME DELIVERY 2025'!L42*'COMUNAS - HOME DELIVERY 2025'!$Q$7</f>
        <v>5363.3040000000001</v>
      </c>
      <c r="M42" s="66">
        <f>+'COMUNAS - HOME DELIVERY 2025'!M42*'COMUNAS - HOME DELIVERY 2025'!$Q$7</f>
        <v>309.60000000000002</v>
      </c>
      <c r="N42" s="67">
        <f>+'COMUNAS - HOME DELIVERY 2025'!N42*'COMUNAS - HOME DELIVERY 2025'!$Q$7</f>
        <v>236.328</v>
      </c>
      <c r="O42" s="60"/>
      <c r="P42" s="2"/>
      <c r="Q42" s="2"/>
      <c r="R42" s="2"/>
      <c r="S42" s="2"/>
      <c r="T42" s="2"/>
      <c r="U42" s="2"/>
      <c r="V42" s="2"/>
      <c r="W42" s="2"/>
      <c r="X42" s="2"/>
      <c r="Y42" s="38"/>
    </row>
    <row r="43" spans="2:25" ht="15.75" customHeight="1" x14ac:dyDescent="0.3">
      <c r="B43" s="2"/>
      <c r="C43" s="61" t="s">
        <v>74</v>
      </c>
      <c r="D43" s="62" t="s">
        <v>148</v>
      </c>
      <c r="E43" s="63" t="s">
        <v>149</v>
      </c>
      <c r="F43" s="64">
        <f>+'COMUNAS - HOME DELIVERY 2025'!F43*'COMUNAS - HOME DELIVERY 2025'!$Q$7</f>
        <v>3025.8240000000001</v>
      </c>
      <c r="G43" s="65">
        <f>+'COMUNAS - HOME DELIVERY 2025'!G43*'COMUNAS - HOME DELIVERY 2025'!$Q$7</f>
        <v>3138.3119999999999</v>
      </c>
      <c r="H43" s="65">
        <f>+'COMUNAS - HOME DELIVERY 2025'!H43*'COMUNAS - HOME DELIVERY 2025'!$Q$7</f>
        <v>3340.5840000000003</v>
      </c>
      <c r="I43" s="65">
        <f>+'COMUNAS - HOME DELIVERY 2025'!I43*'COMUNAS - HOME DELIVERY 2025'!$Q$7</f>
        <v>3636.768</v>
      </c>
      <c r="J43" s="65">
        <f>+'COMUNAS - HOME DELIVERY 2025'!J43*'COMUNAS - HOME DELIVERY 2025'!$Q$7</f>
        <v>4211.5920000000006</v>
      </c>
      <c r="K43" s="65">
        <f>+'COMUNAS - HOME DELIVERY 2025'!K43*'COMUNAS - HOME DELIVERY 2025'!$Q$7</f>
        <v>4581.0479999999998</v>
      </c>
      <c r="L43" s="65">
        <f>+'COMUNAS - HOME DELIVERY 2025'!L43*'COMUNAS - HOME DELIVERY 2025'!$Q$7</f>
        <v>5363.3040000000001</v>
      </c>
      <c r="M43" s="66">
        <f>+'COMUNAS - HOME DELIVERY 2025'!M43*'COMUNAS - HOME DELIVERY 2025'!$Q$7</f>
        <v>309.60000000000002</v>
      </c>
      <c r="N43" s="67">
        <f>+'COMUNAS - HOME DELIVERY 2025'!N43*'COMUNAS - HOME DELIVERY 2025'!$Q$7</f>
        <v>236.328</v>
      </c>
      <c r="O43" s="60"/>
      <c r="P43" s="2"/>
      <c r="Q43" s="2"/>
      <c r="R43" s="2"/>
      <c r="S43" s="2"/>
      <c r="T43" s="2"/>
      <c r="U43" s="2"/>
      <c r="V43" s="2"/>
      <c r="W43" s="2"/>
      <c r="X43" s="2"/>
      <c r="Y43" s="38"/>
    </row>
    <row r="44" spans="2:25" ht="15.75" customHeight="1" x14ac:dyDescent="0.3">
      <c r="B44" s="2"/>
      <c r="C44" s="61" t="s">
        <v>74</v>
      </c>
      <c r="D44" s="62" t="s">
        <v>150</v>
      </c>
      <c r="E44" s="63" t="s">
        <v>151</v>
      </c>
      <c r="F44" s="64">
        <f>+'COMUNAS - HOME DELIVERY 2025'!F44*'COMUNAS - HOME DELIVERY 2025'!$Q$7</f>
        <v>3025.8240000000001</v>
      </c>
      <c r="G44" s="65">
        <f>+'COMUNAS - HOME DELIVERY 2025'!G44*'COMUNAS - HOME DELIVERY 2025'!$Q$7</f>
        <v>3138.3119999999999</v>
      </c>
      <c r="H44" s="65">
        <f>+'COMUNAS - HOME DELIVERY 2025'!H44*'COMUNAS - HOME DELIVERY 2025'!$Q$7</f>
        <v>3340.5840000000003</v>
      </c>
      <c r="I44" s="65">
        <f>+'COMUNAS - HOME DELIVERY 2025'!I44*'COMUNAS - HOME DELIVERY 2025'!$Q$7</f>
        <v>3636.768</v>
      </c>
      <c r="J44" s="65">
        <f>+'COMUNAS - HOME DELIVERY 2025'!J44*'COMUNAS - HOME DELIVERY 2025'!$Q$7</f>
        <v>4211.5920000000006</v>
      </c>
      <c r="K44" s="65">
        <f>+'COMUNAS - HOME DELIVERY 2025'!K44*'COMUNAS - HOME DELIVERY 2025'!$Q$7</f>
        <v>4581.0479999999998</v>
      </c>
      <c r="L44" s="65">
        <f>+'COMUNAS - HOME DELIVERY 2025'!L44*'COMUNAS - HOME DELIVERY 2025'!$Q$7</f>
        <v>5363.3040000000001</v>
      </c>
      <c r="M44" s="66">
        <f>+'COMUNAS - HOME DELIVERY 2025'!M44*'COMUNAS - HOME DELIVERY 2025'!$Q$7</f>
        <v>309.60000000000002</v>
      </c>
      <c r="N44" s="67">
        <f>+'COMUNAS - HOME DELIVERY 2025'!N44*'COMUNAS - HOME DELIVERY 2025'!$Q$7</f>
        <v>236.328</v>
      </c>
      <c r="O44" s="60"/>
      <c r="P44" s="2"/>
      <c r="Q44" s="2"/>
      <c r="R44" s="2"/>
      <c r="S44" s="2"/>
      <c r="T44" s="2"/>
      <c r="U44" s="2"/>
      <c r="V44" s="2"/>
      <c r="W44" s="2"/>
      <c r="X44" s="2"/>
      <c r="Y44" s="38"/>
    </row>
    <row r="45" spans="2:25" ht="15.75" customHeight="1" x14ac:dyDescent="0.3">
      <c r="B45" s="2"/>
      <c r="C45" s="61" t="s">
        <v>74</v>
      </c>
      <c r="D45" s="62" t="s">
        <v>152</v>
      </c>
      <c r="E45" s="63" t="s">
        <v>153</v>
      </c>
      <c r="F45" s="64">
        <f>+'COMUNAS - HOME DELIVERY 2025'!F45*'COMUNAS - HOME DELIVERY 2025'!$Q$7</f>
        <v>3703.848</v>
      </c>
      <c r="G45" s="65">
        <f>+'COMUNAS - HOME DELIVERY 2025'!G45*'COMUNAS - HOME DELIVERY 2025'!$Q$7</f>
        <v>3961.848</v>
      </c>
      <c r="H45" s="65">
        <f>+'COMUNAS - HOME DELIVERY 2025'!H45*'COMUNAS - HOME DELIVERY 2025'!$Q$7</f>
        <v>4496.424</v>
      </c>
      <c r="I45" s="65">
        <f>+'COMUNAS - HOME DELIVERY 2025'!I45*'COMUNAS - HOME DELIVERY 2025'!$Q$7</f>
        <v>5325.12</v>
      </c>
      <c r="J45" s="65">
        <f>+'COMUNAS - HOME DELIVERY 2025'!J45*'COMUNAS - HOME DELIVERY 2025'!$Q$7</f>
        <v>6616.152</v>
      </c>
      <c r="K45" s="65">
        <f>+'COMUNAS - HOME DELIVERY 2025'!K45*'COMUNAS - HOME DELIVERY 2025'!$Q$7</f>
        <v>7476.84</v>
      </c>
      <c r="L45" s="65">
        <f>+'COMUNAS - HOME DELIVERY 2025'!L45*'COMUNAS - HOME DELIVERY 2025'!$Q$7</f>
        <v>8391.1920000000009</v>
      </c>
      <c r="M45" s="66">
        <f>+'COMUNAS - HOME DELIVERY 2025'!M45*'COMUNAS - HOME DELIVERY 2025'!$Q$7</f>
        <v>423.12</v>
      </c>
      <c r="N45" s="67">
        <f>+'COMUNAS - HOME DELIVERY 2025'!N45*'COMUNAS - HOME DELIVERY 2025'!$Q$7</f>
        <v>350.88</v>
      </c>
      <c r="O45" s="60"/>
      <c r="P45" s="2"/>
      <c r="Q45" s="2"/>
      <c r="R45" s="2"/>
      <c r="S45" s="2"/>
      <c r="T45" s="2"/>
      <c r="U45" s="2"/>
      <c r="V45" s="2"/>
      <c r="W45" s="2"/>
      <c r="X45" s="2"/>
      <c r="Y45" s="38"/>
    </row>
    <row r="46" spans="2:25" ht="15.75" customHeight="1" x14ac:dyDescent="0.3">
      <c r="B46" s="2"/>
      <c r="C46" s="61" t="s">
        <v>74</v>
      </c>
      <c r="D46" s="62" t="s">
        <v>154</v>
      </c>
      <c r="E46" s="63" t="s">
        <v>155</v>
      </c>
      <c r="F46" s="64">
        <f>+'COMUNAS - HOME DELIVERY 2025'!F46*'COMUNAS - HOME DELIVERY 2025'!$Q$7</f>
        <v>3703.848</v>
      </c>
      <c r="G46" s="65">
        <f>+'COMUNAS - HOME DELIVERY 2025'!G46*'COMUNAS - HOME DELIVERY 2025'!$Q$7</f>
        <v>3961.848</v>
      </c>
      <c r="H46" s="65">
        <f>+'COMUNAS - HOME DELIVERY 2025'!H46*'COMUNAS - HOME DELIVERY 2025'!$Q$7</f>
        <v>4496.424</v>
      </c>
      <c r="I46" s="65">
        <f>+'COMUNAS - HOME DELIVERY 2025'!I46*'COMUNAS - HOME DELIVERY 2025'!$Q$7</f>
        <v>5325.12</v>
      </c>
      <c r="J46" s="65">
        <f>+'COMUNAS - HOME DELIVERY 2025'!J46*'COMUNAS - HOME DELIVERY 2025'!$Q$7</f>
        <v>6616.152</v>
      </c>
      <c r="K46" s="65">
        <f>+'COMUNAS - HOME DELIVERY 2025'!K46*'COMUNAS - HOME DELIVERY 2025'!$Q$7</f>
        <v>7476.84</v>
      </c>
      <c r="L46" s="65">
        <f>+'COMUNAS - HOME DELIVERY 2025'!L46*'COMUNAS - HOME DELIVERY 2025'!$Q$7</f>
        <v>8391.1920000000009</v>
      </c>
      <c r="M46" s="66">
        <f>+'COMUNAS - HOME DELIVERY 2025'!M46*'COMUNAS - HOME DELIVERY 2025'!$Q$7</f>
        <v>423.12</v>
      </c>
      <c r="N46" s="67">
        <f>+'COMUNAS - HOME DELIVERY 2025'!N46*'COMUNAS - HOME DELIVERY 2025'!$Q$7</f>
        <v>350.88</v>
      </c>
      <c r="O46" s="60"/>
      <c r="P46" s="2"/>
      <c r="Q46" s="2"/>
      <c r="R46" s="2"/>
      <c r="S46" s="2"/>
      <c r="T46" s="2"/>
      <c r="U46" s="2"/>
      <c r="V46" s="2"/>
      <c r="W46" s="2"/>
      <c r="X46" s="2"/>
      <c r="Y46" s="38"/>
    </row>
    <row r="47" spans="2:25" ht="15.75" customHeight="1" x14ac:dyDescent="0.3">
      <c r="B47" s="2"/>
      <c r="C47" s="61" t="s">
        <v>74</v>
      </c>
      <c r="D47" s="62" t="s">
        <v>156</v>
      </c>
      <c r="E47" s="63" t="s">
        <v>157</v>
      </c>
      <c r="F47" s="64">
        <f>+'COMUNAS - HOME DELIVERY 2025'!F47*'COMUNAS - HOME DELIVERY 2025'!$Q$7</f>
        <v>3025.8240000000001</v>
      </c>
      <c r="G47" s="65">
        <f>+'COMUNAS - HOME DELIVERY 2025'!G47*'COMUNAS - HOME DELIVERY 2025'!$Q$7</f>
        <v>3138.3119999999999</v>
      </c>
      <c r="H47" s="65">
        <f>+'COMUNAS - HOME DELIVERY 2025'!H47*'COMUNAS - HOME DELIVERY 2025'!$Q$7</f>
        <v>3340.5840000000003</v>
      </c>
      <c r="I47" s="65">
        <f>+'COMUNAS - HOME DELIVERY 2025'!I47*'COMUNAS - HOME DELIVERY 2025'!$Q$7</f>
        <v>3636.768</v>
      </c>
      <c r="J47" s="65">
        <f>+'COMUNAS - HOME DELIVERY 2025'!J47*'COMUNAS - HOME DELIVERY 2025'!$Q$7</f>
        <v>4211.5920000000006</v>
      </c>
      <c r="K47" s="65">
        <f>+'COMUNAS - HOME DELIVERY 2025'!K47*'COMUNAS - HOME DELIVERY 2025'!$Q$7</f>
        <v>4581.0479999999998</v>
      </c>
      <c r="L47" s="65">
        <f>+'COMUNAS - HOME DELIVERY 2025'!L47*'COMUNAS - HOME DELIVERY 2025'!$Q$7</f>
        <v>5363.3040000000001</v>
      </c>
      <c r="M47" s="66">
        <f>+'COMUNAS - HOME DELIVERY 2025'!M47*'COMUNAS - HOME DELIVERY 2025'!$Q$7</f>
        <v>309.60000000000002</v>
      </c>
      <c r="N47" s="67">
        <f>+'COMUNAS - HOME DELIVERY 2025'!N47*'COMUNAS - HOME DELIVERY 2025'!$Q$7</f>
        <v>236.328</v>
      </c>
      <c r="O47" s="60"/>
      <c r="P47" s="2"/>
      <c r="Q47" s="2"/>
      <c r="R47" s="2"/>
      <c r="S47" s="2"/>
      <c r="T47" s="2"/>
      <c r="U47" s="2"/>
      <c r="V47" s="2"/>
      <c r="W47" s="2"/>
      <c r="X47" s="2"/>
      <c r="Y47" s="38"/>
    </row>
    <row r="48" spans="2:25" ht="15.75" customHeight="1" x14ac:dyDescent="0.3">
      <c r="B48" s="2"/>
      <c r="C48" s="61" t="s">
        <v>74</v>
      </c>
      <c r="D48" s="62" t="s">
        <v>158</v>
      </c>
      <c r="E48" s="63" t="s">
        <v>159</v>
      </c>
      <c r="F48" s="64">
        <f>+'COMUNAS - HOME DELIVERY 2025'!F48*'COMUNAS - HOME DELIVERY 2025'!$Q$7</f>
        <v>3025.8240000000001</v>
      </c>
      <c r="G48" s="65">
        <f>+'COMUNAS - HOME DELIVERY 2025'!G48*'COMUNAS - HOME DELIVERY 2025'!$Q$7</f>
        <v>3138.3119999999999</v>
      </c>
      <c r="H48" s="65">
        <f>+'COMUNAS - HOME DELIVERY 2025'!H48*'COMUNAS - HOME DELIVERY 2025'!$Q$7</f>
        <v>3340.5840000000003</v>
      </c>
      <c r="I48" s="65">
        <f>+'COMUNAS - HOME DELIVERY 2025'!I48*'COMUNAS - HOME DELIVERY 2025'!$Q$7</f>
        <v>3636.768</v>
      </c>
      <c r="J48" s="65">
        <f>+'COMUNAS - HOME DELIVERY 2025'!J48*'COMUNAS - HOME DELIVERY 2025'!$Q$7</f>
        <v>4211.5920000000006</v>
      </c>
      <c r="K48" s="65">
        <f>+'COMUNAS - HOME DELIVERY 2025'!K48*'COMUNAS - HOME DELIVERY 2025'!$Q$7</f>
        <v>4581.0479999999998</v>
      </c>
      <c r="L48" s="65">
        <f>+'COMUNAS - HOME DELIVERY 2025'!L48*'COMUNAS - HOME DELIVERY 2025'!$Q$7</f>
        <v>5363.3040000000001</v>
      </c>
      <c r="M48" s="66">
        <f>+'COMUNAS - HOME DELIVERY 2025'!M48*'COMUNAS - HOME DELIVERY 2025'!$Q$7</f>
        <v>309.60000000000002</v>
      </c>
      <c r="N48" s="67">
        <f>+'COMUNAS - HOME DELIVERY 2025'!N48*'COMUNAS - HOME DELIVERY 2025'!$Q$7</f>
        <v>236.328</v>
      </c>
      <c r="O48" s="60"/>
      <c r="P48" s="2"/>
      <c r="Q48" s="2"/>
      <c r="R48" s="2"/>
      <c r="S48" s="2"/>
      <c r="T48" s="2"/>
      <c r="U48" s="2"/>
      <c r="V48" s="2"/>
      <c r="W48" s="2"/>
      <c r="X48" s="2"/>
      <c r="Y48" s="38"/>
    </row>
    <row r="49" spans="2:25" ht="15.75" customHeight="1" x14ac:dyDescent="0.3">
      <c r="B49" s="2"/>
      <c r="C49" s="61" t="s">
        <v>74</v>
      </c>
      <c r="D49" s="62" t="s">
        <v>160</v>
      </c>
      <c r="E49" s="63" t="s">
        <v>161</v>
      </c>
      <c r="F49" s="64">
        <f>+'COMUNAS - HOME DELIVERY 2025'!F49*'COMUNAS - HOME DELIVERY 2025'!$Q$7</f>
        <v>3703.848</v>
      </c>
      <c r="G49" s="65">
        <f>+'COMUNAS - HOME DELIVERY 2025'!G49*'COMUNAS - HOME DELIVERY 2025'!$Q$7</f>
        <v>3961.848</v>
      </c>
      <c r="H49" s="65">
        <f>+'COMUNAS - HOME DELIVERY 2025'!H49*'COMUNAS - HOME DELIVERY 2025'!$Q$7</f>
        <v>4496.424</v>
      </c>
      <c r="I49" s="65">
        <f>+'COMUNAS - HOME DELIVERY 2025'!I49*'COMUNAS - HOME DELIVERY 2025'!$Q$7</f>
        <v>5325.12</v>
      </c>
      <c r="J49" s="65">
        <f>+'COMUNAS - HOME DELIVERY 2025'!J49*'COMUNAS - HOME DELIVERY 2025'!$Q$7</f>
        <v>6616.152</v>
      </c>
      <c r="K49" s="65">
        <f>+'COMUNAS - HOME DELIVERY 2025'!K49*'COMUNAS - HOME DELIVERY 2025'!$Q$7</f>
        <v>7476.84</v>
      </c>
      <c r="L49" s="65">
        <f>+'COMUNAS - HOME DELIVERY 2025'!L49*'COMUNAS - HOME DELIVERY 2025'!$Q$7</f>
        <v>8391.1920000000009</v>
      </c>
      <c r="M49" s="66">
        <f>+'COMUNAS - HOME DELIVERY 2025'!M49*'COMUNAS - HOME DELIVERY 2025'!$Q$7</f>
        <v>423.12</v>
      </c>
      <c r="N49" s="67">
        <f>+'COMUNAS - HOME DELIVERY 2025'!N49*'COMUNAS - HOME DELIVERY 2025'!$Q$7</f>
        <v>350.88</v>
      </c>
      <c r="O49" s="60"/>
      <c r="P49" s="2"/>
      <c r="Q49" s="2"/>
      <c r="R49" s="2"/>
      <c r="S49" s="2"/>
      <c r="T49" s="2"/>
      <c r="U49" s="2"/>
      <c r="V49" s="2"/>
      <c r="W49" s="2"/>
      <c r="X49" s="2"/>
      <c r="Y49" s="38"/>
    </row>
    <row r="50" spans="2:25" ht="15.75" customHeight="1" x14ac:dyDescent="0.3">
      <c r="B50" s="2"/>
      <c r="C50" s="61" t="s">
        <v>74</v>
      </c>
      <c r="D50" s="62" t="s">
        <v>162</v>
      </c>
      <c r="E50" s="63" t="s">
        <v>34</v>
      </c>
      <c r="F50" s="64">
        <f>+'COMUNAS - HOME DELIVERY 2025'!F50*'COMUNAS - HOME DELIVERY 2025'!$Q$7</f>
        <v>3703.848</v>
      </c>
      <c r="G50" s="65">
        <f>+'COMUNAS - HOME DELIVERY 2025'!G50*'COMUNAS - HOME DELIVERY 2025'!$Q$7</f>
        <v>3961.848</v>
      </c>
      <c r="H50" s="65">
        <f>+'COMUNAS - HOME DELIVERY 2025'!H50*'COMUNAS - HOME DELIVERY 2025'!$Q$7</f>
        <v>4496.424</v>
      </c>
      <c r="I50" s="65">
        <f>+'COMUNAS - HOME DELIVERY 2025'!I50*'COMUNAS - HOME DELIVERY 2025'!$Q$7</f>
        <v>5325.12</v>
      </c>
      <c r="J50" s="65">
        <f>+'COMUNAS - HOME DELIVERY 2025'!J50*'COMUNAS - HOME DELIVERY 2025'!$Q$7</f>
        <v>6616.152</v>
      </c>
      <c r="K50" s="65">
        <f>+'COMUNAS - HOME DELIVERY 2025'!K50*'COMUNAS - HOME DELIVERY 2025'!$Q$7</f>
        <v>7476.84</v>
      </c>
      <c r="L50" s="65">
        <f>+'COMUNAS - HOME DELIVERY 2025'!L50*'COMUNAS - HOME DELIVERY 2025'!$Q$7</f>
        <v>8391.1920000000009</v>
      </c>
      <c r="M50" s="66">
        <f>+'COMUNAS - HOME DELIVERY 2025'!M50*'COMUNAS - HOME DELIVERY 2025'!$Q$7</f>
        <v>423.12</v>
      </c>
      <c r="N50" s="67">
        <f>+'COMUNAS - HOME DELIVERY 2025'!N50*'COMUNAS - HOME DELIVERY 2025'!$Q$7</f>
        <v>350.88</v>
      </c>
      <c r="O50" s="60"/>
      <c r="P50" s="2"/>
      <c r="Q50" s="2"/>
      <c r="R50" s="2"/>
      <c r="S50" s="2"/>
      <c r="T50" s="2"/>
      <c r="U50" s="2"/>
      <c r="V50" s="2"/>
      <c r="W50" s="2"/>
      <c r="X50" s="2"/>
      <c r="Y50" s="38"/>
    </row>
    <row r="51" spans="2:25" ht="15.75" customHeight="1" x14ac:dyDescent="0.3">
      <c r="B51" s="2"/>
      <c r="C51" s="61" t="s">
        <v>74</v>
      </c>
      <c r="D51" s="62" t="s">
        <v>163</v>
      </c>
      <c r="E51" s="63" t="s">
        <v>164</v>
      </c>
      <c r="F51" s="64">
        <f>+'COMUNAS - HOME DELIVERY 2025'!F51*'COMUNAS - HOME DELIVERY 2025'!$Q$7</f>
        <v>3025.8240000000001</v>
      </c>
      <c r="G51" s="65">
        <f>+'COMUNAS - HOME DELIVERY 2025'!G51*'COMUNAS - HOME DELIVERY 2025'!$Q$7</f>
        <v>3138.3119999999999</v>
      </c>
      <c r="H51" s="65">
        <f>+'COMUNAS - HOME DELIVERY 2025'!H51*'COMUNAS - HOME DELIVERY 2025'!$Q$7</f>
        <v>3340.5840000000003</v>
      </c>
      <c r="I51" s="65">
        <f>+'COMUNAS - HOME DELIVERY 2025'!I51*'COMUNAS - HOME DELIVERY 2025'!$Q$7</f>
        <v>3636.768</v>
      </c>
      <c r="J51" s="65">
        <f>+'COMUNAS - HOME DELIVERY 2025'!J51*'COMUNAS - HOME DELIVERY 2025'!$Q$7</f>
        <v>4211.5920000000006</v>
      </c>
      <c r="K51" s="65">
        <f>+'COMUNAS - HOME DELIVERY 2025'!K51*'COMUNAS - HOME DELIVERY 2025'!$Q$7</f>
        <v>4581.0479999999998</v>
      </c>
      <c r="L51" s="65">
        <f>+'COMUNAS - HOME DELIVERY 2025'!L51*'COMUNAS - HOME DELIVERY 2025'!$Q$7</f>
        <v>5363.3040000000001</v>
      </c>
      <c r="M51" s="66">
        <f>+'COMUNAS - HOME DELIVERY 2025'!M51*'COMUNAS - HOME DELIVERY 2025'!$Q$7</f>
        <v>309.60000000000002</v>
      </c>
      <c r="N51" s="67">
        <f>+'COMUNAS - HOME DELIVERY 2025'!N51*'COMUNAS - HOME DELIVERY 2025'!$Q$7</f>
        <v>236.328</v>
      </c>
      <c r="O51" s="60"/>
      <c r="P51" s="2"/>
      <c r="Q51" s="2"/>
      <c r="R51" s="2"/>
      <c r="S51" s="2"/>
      <c r="T51" s="2"/>
      <c r="U51" s="2"/>
      <c r="V51" s="2"/>
      <c r="W51" s="2"/>
      <c r="X51" s="2"/>
      <c r="Y51" s="38"/>
    </row>
    <row r="52" spans="2:25" ht="15.75" customHeight="1" x14ac:dyDescent="0.3">
      <c r="B52" s="2"/>
      <c r="C52" s="61" t="s">
        <v>74</v>
      </c>
      <c r="D52" s="62" t="s">
        <v>165</v>
      </c>
      <c r="E52" s="63" t="s">
        <v>166</v>
      </c>
      <c r="F52" s="64">
        <f>+'COMUNAS - HOME DELIVERY 2025'!F52*'COMUNAS - HOME DELIVERY 2025'!$Q$7</f>
        <v>3025.8240000000001</v>
      </c>
      <c r="G52" s="65">
        <f>+'COMUNAS - HOME DELIVERY 2025'!G52*'COMUNAS - HOME DELIVERY 2025'!$Q$7</f>
        <v>3138.3119999999999</v>
      </c>
      <c r="H52" s="65">
        <f>+'COMUNAS - HOME DELIVERY 2025'!H52*'COMUNAS - HOME DELIVERY 2025'!$Q$7</f>
        <v>3340.5840000000003</v>
      </c>
      <c r="I52" s="65">
        <f>+'COMUNAS - HOME DELIVERY 2025'!I52*'COMUNAS - HOME DELIVERY 2025'!$Q$7</f>
        <v>3636.768</v>
      </c>
      <c r="J52" s="65">
        <f>+'COMUNAS - HOME DELIVERY 2025'!J52*'COMUNAS - HOME DELIVERY 2025'!$Q$7</f>
        <v>4211.5920000000006</v>
      </c>
      <c r="K52" s="65">
        <f>+'COMUNAS - HOME DELIVERY 2025'!K52*'COMUNAS - HOME DELIVERY 2025'!$Q$7</f>
        <v>4581.0479999999998</v>
      </c>
      <c r="L52" s="65">
        <f>+'COMUNAS - HOME DELIVERY 2025'!L52*'COMUNAS - HOME DELIVERY 2025'!$Q$7</f>
        <v>5363.3040000000001</v>
      </c>
      <c r="M52" s="66">
        <f>+'COMUNAS - HOME DELIVERY 2025'!M52*'COMUNAS - HOME DELIVERY 2025'!$Q$7</f>
        <v>309.60000000000002</v>
      </c>
      <c r="N52" s="67">
        <f>+'COMUNAS - HOME DELIVERY 2025'!N52*'COMUNAS - HOME DELIVERY 2025'!$Q$7</f>
        <v>236.328</v>
      </c>
      <c r="O52" s="60"/>
      <c r="P52" s="2"/>
      <c r="Q52" s="2"/>
      <c r="R52" s="2"/>
      <c r="S52" s="2"/>
      <c r="T52" s="2"/>
      <c r="U52" s="2"/>
      <c r="V52" s="2"/>
      <c r="W52" s="2"/>
      <c r="X52" s="2"/>
      <c r="Y52" s="38"/>
    </row>
    <row r="53" spans="2:25" ht="15.75" customHeight="1" x14ac:dyDescent="0.3">
      <c r="B53" s="2"/>
      <c r="C53" s="61" t="s">
        <v>74</v>
      </c>
      <c r="D53" s="62" t="s">
        <v>167</v>
      </c>
      <c r="E53" s="63" t="s">
        <v>168</v>
      </c>
      <c r="F53" s="64">
        <f>+'COMUNAS - HOME DELIVERY 2025'!F53*'COMUNAS - HOME DELIVERY 2025'!$Q$7</f>
        <v>3025.8240000000001</v>
      </c>
      <c r="G53" s="65">
        <f>+'COMUNAS - HOME DELIVERY 2025'!G53*'COMUNAS - HOME DELIVERY 2025'!$Q$7</f>
        <v>3138.3119999999999</v>
      </c>
      <c r="H53" s="65">
        <f>+'COMUNAS - HOME DELIVERY 2025'!H53*'COMUNAS - HOME DELIVERY 2025'!$Q$7</f>
        <v>3340.5840000000003</v>
      </c>
      <c r="I53" s="65">
        <f>+'COMUNAS - HOME DELIVERY 2025'!I53*'COMUNAS - HOME DELIVERY 2025'!$Q$7</f>
        <v>3636.768</v>
      </c>
      <c r="J53" s="65">
        <f>+'COMUNAS - HOME DELIVERY 2025'!J53*'COMUNAS - HOME DELIVERY 2025'!$Q$7</f>
        <v>4211.5920000000006</v>
      </c>
      <c r="K53" s="65">
        <f>+'COMUNAS - HOME DELIVERY 2025'!K53*'COMUNAS - HOME DELIVERY 2025'!$Q$7</f>
        <v>4581.0479999999998</v>
      </c>
      <c r="L53" s="65">
        <f>+'COMUNAS - HOME DELIVERY 2025'!L53*'COMUNAS - HOME DELIVERY 2025'!$Q$7</f>
        <v>5363.3040000000001</v>
      </c>
      <c r="M53" s="66">
        <f>+'COMUNAS - HOME DELIVERY 2025'!M53*'COMUNAS - HOME DELIVERY 2025'!$Q$7</f>
        <v>309.60000000000002</v>
      </c>
      <c r="N53" s="67">
        <f>+'COMUNAS - HOME DELIVERY 2025'!N53*'COMUNAS - HOME DELIVERY 2025'!$Q$7</f>
        <v>236.328</v>
      </c>
      <c r="O53" s="60"/>
      <c r="P53" s="2"/>
      <c r="Q53" s="2"/>
      <c r="R53" s="2"/>
      <c r="S53" s="2"/>
      <c r="T53" s="2"/>
      <c r="U53" s="2"/>
      <c r="V53" s="2"/>
      <c r="W53" s="2"/>
      <c r="X53" s="2"/>
      <c r="Y53" s="38"/>
    </row>
    <row r="54" spans="2:25" ht="15.75" customHeight="1" x14ac:dyDescent="0.3">
      <c r="B54" s="2"/>
      <c r="C54" s="61" t="s">
        <v>74</v>
      </c>
      <c r="D54" s="62" t="s">
        <v>169</v>
      </c>
      <c r="E54" s="63" t="s">
        <v>170</v>
      </c>
      <c r="F54" s="64">
        <f>+'COMUNAS - HOME DELIVERY 2025'!F54*'COMUNAS - HOME DELIVERY 2025'!$Q$7</f>
        <v>3025.8240000000001</v>
      </c>
      <c r="G54" s="65">
        <f>+'COMUNAS - HOME DELIVERY 2025'!G54*'COMUNAS - HOME DELIVERY 2025'!$Q$7</f>
        <v>3138.3119999999999</v>
      </c>
      <c r="H54" s="65">
        <f>+'COMUNAS - HOME DELIVERY 2025'!H54*'COMUNAS - HOME DELIVERY 2025'!$Q$7</f>
        <v>3340.5840000000003</v>
      </c>
      <c r="I54" s="65">
        <f>+'COMUNAS - HOME DELIVERY 2025'!I54*'COMUNAS - HOME DELIVERY 2025'!$Q$7</f>
        <v>3636.768</v>
      </c>
      <c r="J54" s="65">
        <f>+'COMUNAS - HOME DELIVERY 2025'!J54*'COMUNAS - HOME DELIVERY 2025'!$Q$7</f>
        <v>4211.5920000000006</v>
      </c>
      <c r="K54" s="65">
        <f>+'COMUNAS - HOME DELIVERY 2025'!K54*'COMUNAS - HOME DELIVERY 2025'!$Q$7</f>
        <v>4581.0479999999998</v>
      </c>
      <c r="L54" s="65">
        <f>+'COMUNAS - HOME DELIVERY 2025'!L54*'COMUNAS - HOME DELIVERY 2025'!$Q$7</f>
        <v>5363.3040000000001</v>
      </c>
      <c r="M54" s="66">
        <f>+'COMUNAS - HOME DELIVERY 2025'!M54*'COMUNAS - HOME DELIVERY 2025'!$Q$7</f>
        <v>309.60000000000002</v>
      </c>
      <c r="N54" s="67">
        <f>+'COMUNAS - HOME DELIVERY 2025'!N54*'COMUNAS - HOME DELIVERY 2025'!$Q$7</f>
        <v>236.328</v>
      </c>
      <c r="O54" s="60"/>
      <c r="P54" s="2"/>
      <c r="Q54" s="2"/>
      <c r="R54" s="2"/>
      <c r="S54" s="2"/>
      <c r="T54" s="2"/>
      <c r="U54" s="2"/>
      <c r="V54" s="2"/>
      <c r="W54" s="2"/>
      <c r="X54" s="2"/>
      <c r="Y54" s="38"/>
    </row>
    <row r="55" spans="2:25" ht="15.75" customHeight="1" x14ac:dyDescent="0.3">
      <c r="B55" s="2"/>
      <c r="C55" s="61" t="s">
        <v>74</v>
      </c>
      <c r="D55" s="62" t="s">
        <v>171</v>
      </c>
      <c r="E55" s="63" t="s">
        <v>172</v>
      </c>
      <c r="F55" s="64">
        <f>+'COMUNAS - HOME DELIVERY 2025'!F55*'COMUNAS - HOME DELIVERY 2025'!$Q$7</f>
        <v>3025.8240000000001</v>
      </c>
      <c r="G55" s="65">
        <f>+'COMUNAS - HOME DELIVERY 2025'!G55*'COMUNAS - HOME DELIVERY 2025'!$Q$7</f>
        <v>3138.3119999999999</v>
      </c>
      <c r="H55" s="65">
        <f>+'COMUNAS - HOME DELIVERY 2025'!H55*'COMUNAS - HOME DELIVERY 2025'!$Q$7</f>
        <v>3340.5840000000003</v>
      </c>
      <c r="I55" s="65">
        <f>+'COMUNAS - HOME DELIVERY 2025'!I55*'COMUNAS - HOME DELIVERY 2025'!$Q$7</f>
        <v>3636.768</v>
      </c>
      <c r="J55" s="65">
        <f>+'COMUNAS - HOME DELIVERY 2025'!J55*'COMUNAS - HOME DELIVERY 2025'!$Q$7</f>
        <v>4211.5920000000006</v>
      </c>
      <c r="K55" s="65">
        <f>+'COMUNAS - HOME DELIVERY 2025'!K55*'COMUNAS - HOME DELIVERY 2025'!$Q$7</f>
        <v>4581.0479999999998</v>
      </c>
      <c r="L55" s="65">
        <f>+'COMUNAS - HOME DELIVERY 2025'!L55*'COMUNAS - HOME DELIVERY 2025'!$Q$7</f>
        <v>5363.3040000000001</v>
      </c>
      <c r="M55" s="66">
        <f>+'COMUNAS - HOME DELIVERY 2025'!M55*'COMUNAS - HOME DELIVERY 2025'!$Q$7</f>
        <v>309.60000000000002</v>
      </c>
      <c r="N55" s="67">
        <f>+'COMUNAS - HOME DELIVERY 2025'!N55*'COMUNAS - HOME DELIVERY 2025'!$Q$7</f>
        <v>236.328</v>
      </c>
      <c r="O55" s="60"/>
      <c r="P55" s="2"/>
      <c r="Q55" s="2"/>
      <c r="R55" s="2"/>
      <c r="S55" s="2"/>
      <c r="T55" s="2"/>
      <c r="U55" s="2"/>
      <c r="V55" s="2"/>
      <c r="W55" s="2"/>
      <c r="X55" s="2"/>
      <c r="Y55" s="38"/>
    </row>
    <row r="56" spans="2:25" ht="15.75" customHeight="1" x14ac:dyDescent="0.3">
      <c r="B56" s="2"/>
      <c r="C56" s="61" t="s">
        <v>74</v>
      </c>
      <c r="D56" s="62" t="s">
        <v>173</v>
      </c>
      <c r="E56" s="63" t="s">
        <v>174</v>
      </c>
      <c r="F56" s="64">
        <f>+'COMUNAS - HOME DELIVERY 2025'!F56*'COMUNAS - HOME DELIVERY 2025'!$Q$7</f>
        <v>3703.848</v>
      </c>
      <c r="G56" s="65">
        <f>+'COMUNAS - HOME DELIVERY 2025'!G56*'COMUNAS - HOME DELIVERY 2025'!$Q$7</f>
        <v>3961.848</v>
      </c>
      <c r="H56" s="65">
        <f>+'COMUNAS - HOME DELIVERY 2025'!H56*'COMUNAS - HOME DELIVERY 2025'!$Q$7</f>
        <v>4496.424</v>
      </c>
      <c r="I56" s="65">
        <f>+'COMUNAS - HOME DELIVERY 2025'!I56*'COMUNAS - HOME DELIVERY 2025'!$Q$7</f>
        <v>5325.12</v>
      </c>
      <c r="J56" s="65">
        <f>+'COMUNAS - HOME DELIVERY 2025'!J56*'COMUNAS - HOME DELIVERY 2025'!$Q$7</f>
        <v>6616.152</v>
      </c>
      <c r="K56" s="65">
        <f>+'COMUNAS - HOME DELIVERY 2025'!K56*'COMUNAS - HOME DELIVERY 2025'!$Q$7</f>
        <v>7476.84</v>
      </c>
      <c r="L56" s="65">
        <f>+'COMUNAS - HOME DELIVERY 2025'!L56*'COMUNAS - HOME DELIVERY 2025'!$Q$7</f>
        <v>8391.1920000000009</v>
      </c>
      <c r="M56" s="66">
        <f>+'COMUNAS - HOME DELIVERY 2025'!M56*'COMUNAS - HOME DELIVERY 2025'!$Q$7</f>
        <v>423.12</v>
      </c>
      <c r="N56" s="67">
        <f>+'COMUNAS - HOME DELIVERY 2025'!N56*'COMUNAS - HOME DELIVERY 2025'!$Q$7</f>
        <v>350.88</v>
      </c>
      <c r="O56" s="60"/>
      <c r="P56" s="2"/>
      <c r="Q56" s="2"/>
      <c r="R56" s="2"/>
      <c r="S56" s="2"/>
      <c r="T56" s="2"/>
      <c r="U56" s="2"/>
      <c r="V56" s="2"/>
      <c r="W56" s="2"/>
      <c r="X56" s="2"/>
      <c r="Y56" s="38"/>
    </row>
    <row r="57" spans="2:25" ht="15.75" customHeight="1" thickBot="1" x14ac:dyDescent="0.35">
      <c r="B57" s="2"/>
      <c r="C57" s="68" t="s">
        <v>74</v>
      </c>
      <c r="D57" s="69" t="s">
        <v>175</v>
      </c>
      <c r="E57" s="70" t="s">
        <v>176</v>
      </c>
      <c r="F57" s="71">
        <f>+'COMUNAS - HOME DELIVERY 2025'!F57*'COMUNAS - HOME DELIVERY 2025'!$Q$7</f>
        <v>3025.8240000000001</v>
      </c>
      <c r="G57" s="72">
        <f>+'COMUNAS - HOME DELIVERY 2025'!G57*'COMUNAS - HOME DELIVERY 2025'!$Q$7</f>
        <v>3138.3119999999999</v>
      </c>
      <c r="H57" s="72">
        <f>+'COMUNAS - HOME DELIVERY 2025'!H57*'COMUNAS - HOME DELIVERY 2025'!$Q$7</f>
        <v>3340.5840000000003</v>
      </c>
      <c r="I57" s="72">
        <f>+'COMUNAS - HOME DELIVERY 2025'!I57*'COMUNAS - HOME DELIVERY 2025'!$Q$7</f>
        <v>3636.768</v>
      </c>
      <c r="J57" s="72">
        <f>+'COMUNAS - HOME DELIVERY 2025'!J57*'COMUNAS - HOME DELIVERY 2025'!$Q$7</f>
        <v>4211.5920000000006</v>
      </c>
      <c r="K57" s="72">
        <f>+'COMUNAS - HOME DELIVERY 2025'!K57*'COMUNAS - HOME DELIVERY 2025'!$Q$7</f>
        <v>4581.0479999999998</v>
      </c>
      <c r="L57" s="72">
        <f>+'COMUNAS - HOME DELIVERY 2025'!L57*'COMUNAS - HOME DELIVERY 2025'!$Q$7</f>
        <v>5363.3040000000001</v>
      </c>
      <c r="M57" s="73">
        <f>+'COMUNAS - HOME DELIVERY 2025'!M57*'COMUNAS - HOME DELIVERY 2025'!$Q$7</f>
        <v>309.60000000000002</v>
      </c>
      <c r="N57" s="74">
        <f>+'COMUNAS - HOME DELIVERY 2025'!N57*'COMUNAS - HOME DELIVERY 2025'!$Q$7</f>
        <v>236.328</v>
      </c>
      <c r="O57" s="60"/>
      <c r="P57" s="2"/>
      <c r="Q57" s="2"/>
      <c r="R57" s="2"/>
      <c r="S57" s="2"/>
      <c r="T57" s="2"/>
      <c r="U57" s="2"/>
      <c r="V57" s="2"/>
      <c r="W57" s="2"/>
      <c r="X57" s="2"/>
      <c r="Y57" s="38"/>
    </row>
    <row r="58" spans="2:25" ht="15.75" customHeight="1" x14ac:dyDescent="0.3">
      <c r="B58" s="2"/>
      <c r="C58" s="53" t="s">
        <v>177</v>
      </c>
      <c r="D58" s="54" t="s">
        <v>178</v>
      </c>
      <c r="E58" s="55" t="s">
        <v>20</v>
      </c>
      <c r="F58" s="56">
        <f>+'COMUNAS - HOME DELIVERY 2025'!F58*'COMUNAS - HOME DELIVERY 2025'!$Q$7</f>
        <v>4670.8320000000003</v>
      </c>
      <c r="G58" s="57">
        <f>+'COMUNAS - HOME DELIVERY 2025'!G58*'COMUNAS - HOME DELIVERY 2025'!$Q$7</f>
        <v>5141.424</v>
      </c>
      <c r="H58" s="57">
        <f>+'COMUNAS - HOME DELIVERY 2025'!H58*'COMUNAS - HOME DELIVERY 2025'!$Q$7</f>
        <v>5714.1840000000002</v>
      </c>
      <c r="I58" s="57">
        <f>+'COMUNAS - HOME DELIVERY 2025'!I58*'COMUNAS - HOME DELIVERY 2025'!$Q$7</f>
        <v>6459.2880000000005</v>
      </c>
      <c r="J58" s="57">
        <f>+'COMUNAS - HOME DELIVERY 2025'!J58*'COMUNAS - HOME DELIVERY 2025'!$Q$7</f>
        <v>8045.4720000000007</v>
      </c>
      <c r="K58" s="57">
        <f>+'COMUNAS - HOME DELIVERY 2025'!K58*'COMUNAS - HOME DELIVERY 2025'!$Q$7</f>
        <v>9612.0480000000007</v>
      </c>
      <c r="L58" s="57">
        <f>+'COMUNAS - HOME DELIVERY 2025'!L58*'COMUNAS - HOME DELIVERY 2025'!$Q$7</f>
        <v>10904.112000000001</v>
      </c>
      <c r="M58" s="58">
        <f>+'COMUNAS - HOME DELIVERY 2025'!M58*'COMUNAS - HOME DELIVERY 2025'!$Q$7</f>
        <v>558.31200000000001</v>
      </c>
      <c r="N58" s="59">
        <f>+'COMUNAS - HOME DELIVERY 2025'!N58*'COMUNAS - HOME DELIVERY 2025'!$Q$7</f>
        <v>458.20800000000003</v>
      </c>
      <c r="O58" s="60"/>
      <c r="P58" s="2"/>
      <c r="Q58" s="2"/>
      <c r="R58" s="2"/>
      <c r="S58" s="2"/>
      <c r="T58" s="2"/>
      <c r="U58" s="2"/>
      <c r="V58" s="2"/>
      <c r="W58" s="2"/>
      <c r="X58" s="2"/>
      <c r="Y58" s="38"/>
    </row>
    <row r="59" spans="2:25" ht="15.75" customHeight="1" x14ac:dyDescent="0.3">
      <c r="B59" s="2"/>
      <c r="C59" s="61" t="s">
        <v>177</v>
      </c>
      <c r="D59" s="62" t="s">
        <v>179</v>
      </c>
      <c r="E59" s="63" t="s">
        <v>180</v>
      </c>
      <c r="F59" s="64">
        <f>+'COMUNAS - HOME DELIVERY 2025'!F59*'COMUNAS - HOME DELIVERY 2025'!$Q$7</f>
        <v>4379.808</v>
      </c>
      <c r="G59" s="65">
        <f>+'COMUNAS - HOME DELIVERY 2025'!G59*'COMUNAS - HOME DELIVERY 2025'!$Q$7</f>
        <v>4821.5039999999999</v>
      </c>
      <c r="H59" s="65">
        <f>+'COMUNAS - HOME DELIVERY 2025'!H59*'COMUNAS - HOME DELIVERY 2025'!$Q$7</f>
        <v>5358.1440000000002</v>
      </c>
      <c r="I59" s="65">
        <f>+'COMUNAS - HOME DELIVERY 2025'!I59*'COMUNAS - HOME DELIVERY 2025'!$Q$7</f>
        <v>6056.808</v>
      </c>
      <c r="J59" s="65">
        <f>+'COMUNAS - HOME DELIVERY 2025'!J59*'COMUNAS - HOME DELIVERY 2025'!$Q$7</f>
        <v>7431.4319999999998</v>
      </c>
      <c r="K59" s="65">
        <f>+'COMUNAS - HOME DELIVERY 2025'!K59*'COMUNAS - HOME DELIVERY 2025'!$Q$7</f>
        <v>8879.3279999999995</v>
      </c>
      <c r="L59" s="65">
        <f>+'COMUNAS - HOME DELIVERY 2025'!L59*'COMUNAS - HOME DELIVERY 2025'!$Q$7</f>
        <v>10079.544</v>
      </c>
      <c r="M59" s="66">
        <f>+'COMUNAS - HOME DELIVERY 2025'!M59*'COMUNAS - HOME DELIVERY 2025'!$Q$7</f>
        <v>549.024</v>
      </c>
      <c r="N59" s="67">
        <f>+'COMUNAS - HOME DELIVERY 2025'!N59*'COMUNAS - HOME DELIVERY 2025'!$Q$7</f>
        <v>449.952</v>
      </c>
      <c r="O59" s="60"/>
      <c r="P59" s="2"/>
      <c r="Q59" s="2"/>
      <c r="R59" s="2"/>
      <c r="S59" s="2"/>
      <c r="T59" s="2"/>
      <c r="U59" s="2"/>
      <c r="V59" s="2"/>
      <c r="W59" s="2"/>
      <c r="X59" s="2"/>
      <c r="Y59" s="38"/>
    </row>
    <row r="60" spans="2:25" ht="15.75" customHeight="1" x14ac:dyDescent="0.3">
      <c r="B60" s="2"/>
      <c r="C60" s="61" t="s">
        <v>177</v>
      </c>
      <c r="D60" s="62" t="s">
        <v>181</v>
      </c>
      <c r="E60" s="63" t="s">
        <v>182</v>
      </c>
      <c r="F60" s="64">
        <f>+'COMUNAS - HOME DELIVERY 2025'!F60*'COMUNAS - HOME DELIVERY 2025'!$Q$7</f>
        <v>4379.808</v>
      </c>
      <c r="G60" s="65">
        <f>+'COMUNAS - HOME DELIVERY 2025'!G60*'COMUNAS - HOME DELIVERY 2025'!$Q$7</f>
        <v>4821.5039999999999</v>
      </c>
      <c r="H60" s="65">
        <f>+'COMUNAS - HOME DELIVERY 2025'!H60*'COMUNAS - HOME DELIVERY 2025'!$Q$7</f>
        <v>5358.1440000000002</v>
      </c>
      <c r="I60" s="65">
        <f>+'COMUNAS - HOME DELIVERY 2025'!I60*'COMUNAS - HOME DELIVERY 2025'!$Q$7</f>
        <v>6056.808</v>
      </c>
      <c r="J60" s="65">
        <f>+'COMUNAS - HOME DELIVERY 2025'!J60*'COMUNAS - HOME DELIVERY 2025'!$Q$7</f>
        <v>7431.4319999999998</v>
      </c>
      <c r="K60" s="65">
        <f>+'COMUNAS - HOME DELIVERY 2025'!K60*'COMUNAS - HOME DELIVERY 2025'!$Q$7</f>
        <v>8879.3279999999995</v>
      </c>
      <c r="L60" s="65">
        <f>+'COMUNAS - HOME DELIVERY 2025'!L60*'COMUNAS - HOME DELIVERY 2025'!$Q$7</f>
        <v>10079.544</v>
      </c>
      <c r="M60" s="66">
        <f>+'COMUNAS - HOME DELIVERY 2025'!M60*'COMUNAS - HOME DELIVERY 2025'!$Q$7</f>
        <v>549.024</v>
      </c>
      <c r="N60" s="67">
        <f>+'COMUNAS - HOME DELIVERY 2025'!N60*'COMUNAS - HOME DELIVERY 2025'!$Q$7</f>
        <v>449.952</v>
      </c>
      <c r="O60" s="60"/>
      <c r="P60" s="2"/>
      <c r="Q60" s="2"/>
      <c r="R60" s="2"/>
      <c r="S60" s="2"/>
      <c r="T60" s="2"/>
      <c r="U60" s="2"/>
      <c r="V60" s="2"/>
      <c r="W60" s="2"/>
      <c r="X60" s="2"/>
      <c r="Y60" s="38"/>
    </row>
    <row r="61" spans="2:25" ht="15.75" customHeight="1" x14ac:dyDescent="0.3">
      <c r="B61" s="2"/>
      <c r="C61" s="61" t="s">
        <v>177</v>
      </c>
      <c r="D61" s="62" t="s">
        <v>183</v>
      </c>
      <c r="E61" s="63" t="s">
        <v>184</v>
      </c>
      <c r="F61" s="64">
        <f>+'COMUNAS - HOME DELIVERY 2025'!F61*'COMUNAS - HOME DELIVERY 2025'!$Q$7</f>
        <v>4670.8320000000003</v>
      </c>
      <c r="G61" s="65">
        <f>+'COMUNAS - HOME DELIVERY 2025'!G61*'COMUNAS - HOME DELIVERY 2025'!$Q$7</f>
        <v>5141.424</v>
      </c>
      <c r="H61" s="65">
        <f>+'COMUNAS - HOME DELIVERY 2025'!H61*'COMUNAS - HOME DELIVERY 2025'!$Q$7</f>
        <v>5714.1840000000002</v>
      </c>
      <c r="I61" s="65">
        <f>+'COMUNAS - HOME DELIVERY 2025'!I61*'COMUNAS - HOME DELIVERY 2025'!$Q$7</f>
        <v>6459.2880000000005</v>
      </c>
      <c r="J61" s="65">
        <f>+'COMUNAS - HOME DELIVERY 2025'!J61*'COMUNAS - HOME DELIVERY 2025'!$Q$7</f>
        <v>8045.4720000000007</v>
      </c>
      <c r="K61" s="65">
        <f>+'COMUNAS - HOME DELIVERY 2025'!K61*'COMUNAS - HOME DELIVERY 2025'!$Q$7</f>
        <v>9612.0480000000007</v>
      </c>
      <c r="L61" s="65">
        <f>+'COMUNAS - HOME DELIVERY 2025'!L61*'COMUNAS - HOME DELIVERY 2025'!$Q$7</f>
        <v>10904.112000000001</v>
      </c>
      <c r="M61" s="66">
        <f>+'COMUNAS - HOME DELIVERY 2025'!M61*'COMUNAS - HOME DELIVERY 2025'!$Q$7</f>
        <v>558.31200000000001</v>
      </c>
      <c r="N61" s="67">
        <f>+'COMUNAS - HOME DELIVERY 2025'!N61*'COMUNAS - HOME DELIVERY 2025'!$Q$7</f>
        <v>458.20800000000003</v>
      </c>
      <c r="O61" s="60"/>
      <c r="P61" s="2"/>
      <c r="Q61" s="2"/>
      <c r="R61" s="2"/>
      <c r="S61" s="2"/>
      <c r="T61" s="2"/>
      <c r="U61" s="2"/>
      <c r="V61" s="2"/>
      <c r="W61" s="2"/>
      <c r="X61" s="2"/>
      <c r="Y61" s="38"/>
    </row>
    <row r="62" spans="2:25" ht="15.75" customHeight="1" x14ac:dyDescent="0.3">
      <c r="B62" s="2"/>
      <c r="C62" s="61" t="s">
        <v>177</v>
      </c>
      <c r="D62" s="62" t="s">
        <v>185</v>
      </c>
      <c r="E62" s="63" t="s">
        <v>186</v>
      </c>
      <c r="F62" s="64">
        <f>+'COMUNAS - HOME DELIVERY 2025'!F62*'COMUNAS - HOME DELIVERY 2025'!$Q$7</f>
        <v>7006.2480000000005</v>
      </c>
      <c r="G62" s="65">
        <f>+'COMUNAS - HOME DELIVERY 2025'!G62*'COMUNAS - HOME DELIVERY 2025'!$Q$7</f>
        <v>7712.1360000000004</v>
      </c>
      <c r="H62" s="65">
        <f>+'COMUNAS - HOME DELIVERY 2025'!H62*'COMUNAS - HOME DELIVERY 2025'!$Q$7</f>
        <v>8571.2759999999998</v>
      </c>
      <c r="I62" s="65">
        <f>+'COMUNAS - HOME DELIVERY 2025'!I62*'COMUNAS - HOME DELIVERY 2025'!$Q$7</f>
        <v>9688.9320000000007</v>
      </c>
      <c r="J62" s="65">
        <f>+'COMUNAS - HOME DELIVERY 2025'!J62*'COMUNAS - HOME DELIVERY 2025'!$Q$7</f>
        <v>12068.208000000001</v>
      </c>
      <c r="K62" s="65">
        <f>+'COMUNAS - HOME DELIVERY 2025'!K62*'COMUNAS - HOME DELIVERY 2025'!$Q$7</f>
        <v>14418.072</v>
      </c>
      <c r="L62" s="65">
        <f>+'COMUNAS - HOME DELIVERY 2025'!L62*'COMUNAS - HOME DELIVERY 2025'!$Q$7</f>
        <v>16356.168</v>
      </c>
      <c r="M62" s="66">
        <f>+'COMUNAS - HOME DELIVERY 2025'!M62*'COMUNAS - HOME DELIVERY 2025'!$Q$7</f>
        <v>837.46800000000007</v>
      </c>
      <c r="N62" s="67">
        <f>+'COMUNAS - HOME DELIVERY 2025'!N62*'COMUNAS - HOME DELIVERY 2025'!$Q$7</f>
        <v>687.31200000000001</v>
      </c>
      <c r="O62" s="60"/>
      <c r="P62" s="2"/>
      <c r="Q62" s="2"/>
      <c r="R62" s="2"/>
      <c r="S62" s="2"/>
      <c r="T62" s="2"/>
      <c r="U62" s="2"/>
      <c r="V62" s="2"/>
      <c r="W62" s="2"/>
      <c r="X62" s="2"/>
      <c r="Y62" s="38"/>
    </row>
    <row r="63" spans="2:25" ht="15.75" customHeight="1" x14ac:dyDescent="0.3">
      <c r="B63" s="2"/>
      <c r="C63" s="61" t="s">
        <v>177</v>
      </c>
      <c r="D63" s="62" t="s">
        <v>187</v>
      </c>
      <c r="E63" s="63" t="s">
        <v>188</v>
      </c>
      <c r="F63" s="64">
        <f>+'COMUNAS - HOME DELIVERY 2025'!F63*'COMUNAS - HOME DELIVERY 2025'!$Q$7</f>
        <v>7006.2480000000005</v>
      </c>
      <c r="G63" s="65">
        <f>+'COMUNAS - HOME DELIVERY 2025'!G63*'COMUNAS - HOME DELIVERY 2025'!$Q$7</f>
        <v>7712.1360000000004</v>
      </c>
      <c r="H63" s="65">
        <f>+'COMUNAS - HOME DELIVERY 2025'!H63*'COMUNAS - HOME DELIVERY 2025'!$Q$7</f>
        <v>8571.2759999999998</v>
      </c>
      <c r="I63" s="65">
        <f>+'COMUNAS - HOME DELIVERY 2025'!I63*'COMUNAS - HOME DELIVERY 2025'!$Q$7</f>
        <v>9688.9320000000007</v>
      </c>
      <c r="J63" s="65">
        <f>+'COMUNAS - HOME DELIVERY 2025'!J63*'COMUNAS - HOME DELIVERY 2025'!$Q$7</f>
        <v>12068.208000000001</v>
      </c>
      <c r="K63" s="65">
        <f>+'COMUNAS - HOME DELIVERY 2025'!K63*'COMUNAS - HOME DELIVERY 2025'!$Q$7</f>
        <v>14418.072</v>
      </c>
      <c r="L63" s="65">
        <f>+'COMUNAS - HOME DELIVERY 2025'!L63*'COMUNAS - HOME DELIVERY 2025'!$Q$7</f>
        <v>16356.168</v>
      </c>
      <c r="M63" s="66">
        <f>+'COMUNAS - HOME DELIVERY 2025'!M63*'COMUNAS - HOME DELIVERY 2025'!$Q$7</f>
        <v>837.46800000000007</v>
      </c>
      <c r="N63" s="67">
        <f>+'COMUNAS - HOME DELIVERY 2025'!N63*'COMUNAS - HOME DELIVERY 2025'!$Q$7</f>
        <v>687.31200000000001</v>
      </c>
      <c r="O63" s="60"/>
      <c r="P63" s="2"/>
      <c r="Q63" s="2"/>
      <c r="R63" s="2"/>
      <c r="S63" s="2"/>
      <c r="T63" s="2"/>
      <c r="U63" s="2"/>
      <c r="V63" s="2"/>
      <c r="W63" s="2"/>
      <c r="X63" s="2"/>
      <c r="Y63" s="38"/>
    </row>
    <row r="64" spans="2:25" ht="15.75" customHeight="1" x14ac:dyDescent="0.3">
      <c r="B64" s="2"/>
      <c r="C64" s="61" t="s">
        <v>177</v>
      </c>
      <c r="D64" s="62" t="s">
        <v>189</v>
      </c>
      <c r="E64" s="63" t="s">
        <v>190</v>
      </c>
      <c r="F64" s="64">
        <f>+'COMUNAS - HOME DELIVERY 2025'!F64*'COMUNAS - HOME DELIVERY 2025'!$Q$7</f>
        <v>6569.7120000000004</v>
      </c>
      <c r="G64" s="65">
        <f>+'COMUNAS - HOME DELIVERY 2025'!G64*'COMUNAS - HOME DELIVERY 2025'!$Q$7</f>
        <v>7232.2560000000003</v>
      </c>
      <c r="H64" s="65">
        <f>+'COMUNAS - HOME DELIVERY 2025'!H64*'COMUNAS - HOME DELIVERY 2025'!$Q$7</f>
        <v>8037.2160000000003</v>
      </c>
      <c r="I64" s="65">
        <f>+'COMUNAS - HOME DELIVERY 2025'!I64*'COMUNAS - HOME DELIVERY 2025'!$Q$7</f>
        <v>9085.2119999999995</v>
      </c>
      <c r="J64" s="65">
        <f>+'COMUNAS - HOME DELIVERY 2025'!J64*'COMUNAS - HOME DELIVERY 2025'!$Q$7</f>
        <v>11147.148000000001</v>
      </c>
      <c r="K64" s="65">
        <f>+'COMUNAS - HOME DELIVERY 2025'!K64*'COMUNAS - HOME DELIVERY 2025'!$Q$7</f>
        <v>13318.992</v>
      </c>
      <c r="L64" s="65">
        <f>+'COMUNAS - HOME DELIVERY 2025'!L64*'COMUNAS - HOME DELIVERY 2025'!$Q$7</f>
        <v>15119.316000000001</v>
      </c>
      <c r="M64" s="66">
        <f>+'COMUNAS - HOME DELIVERY 2025'!M64*'COMUNAS - HOME DELIVERY 2025'!$Q$7</f>
        <v>823.53600000000006</v>
      </c>
      <c r="N64" s="67">
        <f>+'COMUNAS - HOME DELIVERY 2025'!N64*'COMUNAS - HOME DELIVERY 2025'!$Q$7</f>
        <v>674.928</v>
      </c>
      <c r="O64" s="60"/>
      <c r="P64" s="2"/>
      <c r="Q64" s="2"/>
      <c r="R64" s="2"/>
      <c r="S64" s="2"/>
      <c r="T64" s="2"/>
      <c r="U64" s="2"/>
      <c r="V64" s="2"/>
      <c r="W64" s="2"/>
      <c r="X64" s="2"/>
      <c r="Y64" s="38"/>
    </row>
    <row r="65" spans="2:25" ht="15.75" customHeight="1" x14ac:dyDescent="0.3">
      <c r="B65" s="2"/>
      <c r="C65" s="61" t="s">
        <v>177</v>
      </c>
      <c r="D65" s="62" t="s">
        <v>191</v>
      </c>
      <c r="E65" s="63" t="s">
        <v>192</v>
      </c>
      <c r="F65" s="64">
        <f>+'COMUNAS - HOME DELIVERY 2025'!F65*'COMUNAS - HOME DELIVERY 2025'!$Q$7</f>
        <v>4670.8320000000003</v>
      </c>
      <c r="G65" s="65">
        <f>+'COMUNAS - HOME DELIVERY 2025'!G65*'COMUNAS - HOME DELIVERY 2025'!$Q$7</f>
        <v>5141.424</v>
      </c>
      <c r="H65" s="65">
        <f>+'COMUNAS - HOME DELIVERY 2025'!H65*'COMUNAS - HOME DELIVERY 2025'!$Q$7</f>
        <v>5714.1840000000002</v>
      </c>
      <c r="I65" s="65">
        <f>+'COMUNAS - HOME DELIVERY 2025'!I65*'COMUNAS - HOME DELIVERY 2025'!$Q$7</f>
        <v>6459.2880000000005</v>
      </c>
      <c r="J65" s="65">
        <f>+'COMUNAS - HOME DELIVERY 2025'!J65*'COMUNAS - HOME DELIVERY 2025'!$Q$7</f>
        <v>8045.4720000000007</v>
      </c>
      <c r="K65" s="65">
        <f>+'COMUNAS - HOME DELIVERY 2025'!K65*'COMUNAS - HOME DELIVERY 2025'!$Q$7</f>
        <v>9612.0480000000007</v>
      </c>
      <c r="L65" s="65">
        <f>+'COMUNAS - HOME DELIVERY 2025'!L65*'COMUNAS - HOME DELIVERY 2025'!$Q$7</f>
        <v>10904.112000000001</v>
      </c>
      <c r="M65" s="66">
        <f>+'COMUNAS - HOME DELIVERY 2025'!M65*'COMUNAS - HOME DELIVERY 2025'!$Q$7</f>
        <v>558.31200000000001</v>
      </c>
      <c r="N65" s="67">
        <f>+'COMUNAS - HOME DELIVERY 2025'!N65*'COMUNAS - HOME DELIVERY 2025'!$Q$7</f>
        <v>458.20800000000003</v>
      </c>
      <c r="O65" s="60"/>
      <c r="P65" s="2"/>
      <c r="Q65" s="2"/>
      <c r="R65" s="2"/>
      <c r="S65" s="2"/>
      <c r="T65" s="2"/>
      <c r="U65" s="2"/>
      <c r="V65" s="2"/>
      <c r="W65" s="2"/>
      <c r="X65" s="2"/>
      <c r="Y65" s="38"/>
    </row>
    <row r="66" spans="2:25" ht="15.75" customHeight="1" thickBot="1" x14ac:dyDescent="0.35">
      <c r="B66" s="2"/>
      <c r="C66" s="68" t="s">
        <v>177</v>
      </c>
      <c r="D66" s="69" t="s">
        <v>193</v>
      </c>
      <c r="E66" s="70" t="s">
        <v>194</v>
      </c>
      <c r="F66" s="71">
        <f>+'COMUNAS - HOME DELIVERY 2025'!F66*'COMUNAS - HOME DELIVERY 2025'!$Q$7</f>
        <v>4379.808</v>
      </c>
      <c r="G66" s="72">
        <f>+'COMUNAS - HOME DELIVERY 2025'!G66*'COMUNAS - HOME DELIVERY 2025'!$Q$7</f>
        <v>4821.5039999999999</v>
      </c>
      <c r="H66" s="72">
        <f>+'COMUNAS - HOME DELIVERY 2025'!H66*'COMUNAS - HOME DELIVERY 2025'!$Q$7</f>
        <v>5358.1440000000002</v>
      </c>
      <c r="I66" s="72">
        <f>+'COMUNAS - HOME DELIVERY 2025'!I66*'COMUNAS - HOME DELIVERY 2025'!$Q$7</f>
        <v>6056.808</v>
      </c>
      <c r="J66" s="72">
        <f>+'COMUNAS - HOME DELIVERY 2025'!J66*'COMUNAS - HOME DELIVERY 2025'!$Q$7</f>
        <v>7431.4319999999998</v>
      </c>
      <c r="K66" s="72">
        <f>+'COMUNAS - HOME DELIVERY 2025'!K66*'COMUNAS - HOME DELIVERY 2025'!$Q$7</f>
        <v>8879.3279999999995</v>
      </c>
      <c r="L66" s="72">
        <f>+'COMUNAS - HOME DELIVERY 2025'!L66*'COMUNAS - HOME DELIVERY 2025'!$Q$7</f>
        <v>10079.544</v>
      </c>
      <c r="M66" s="73">
        <f>+'COMUNAS - HOME DELIVERY 2025'!M66*'COMUNAS - HOME DELIVERY 2025'!$Q$7</f>
        <v>549.024</v>
      </c>
      <c r="N66" s="74">
        <f>+'COMUNAS - HOME DELIVERY 2025'!N66*'COMUNAS - HOME DELIVERY 2025'!$Q$7</f>
        <v>449.952</v>
      </c>
      <c r="O66" s="60"/>
      <c r="P66" s="2"/>
      <c r="Q66" s="2"/>
      <c r="R66" s="2"/>
      <c r="S66" s="2"/>
      <c r="T66" s="2"/>
      <c r="U66" s="2"/>
      <c r="V66" s="2"/>
      <c r="W66" s="2"/>
      <c r="X66" s="2"/>
      <c r="Y66" s="38"/>
    </row>
    <row r="67" spans="2:25" ht="15.75" customHeight="1" x14ac:dyDescent="0.3">
      <c r="B67" s="2"/>
      <c r="C67" s="53" t="s">
        <v>195</v>
      </c>
      <c r="D67" s="54" t="s">
        <v>196</v>
      </c>
      <c r="E67" s="55" t="s">
        <v>197</v>
      </c>
      <c r="F67" s="56">
        <f>+'COMUNAS - HOME DELIVERY 2025'!F67*'COMUNAS - HOME DELIVERY 2025'!$Q$7</f>
        <v>4379.808</v>
      </c>
      <c r="G67" s="57">
        <f>+'COMUNAS - HOME DELIVERY 2025'!G67*'COMUNAS - HOME DELIVERY 2025'!$Q$7</f>
        <v>4821.5039999999999</v>
      </c>
      <c r="H67" s="57">
        <f>+'COMUNAS - HOME DELIVERY 2025'!H67*'COMUNAS - HOME DELIVERY 2025'!$Q$7</f>
        <v>5358.1440000000002</v>
      </c>
      <c r="I67" s="57">
        <f>+'COMUNAS - HOME DELIVERY 2025'!I67*'COMUNAS - HOME DELIVERY 2025'!$Q$7</f>
        <v>6056.808</v>
      </c>
      <c r="J67" s="57">
        <f>+'COMUNAS - HOME DELIVERY 2025'!J67*'COMUNAS - HOME DELIVERY 2025'!$Q$7</f>
        <v>7431.4319999999998</v>
      </c>
      <c r="K67" s="57">
        <f>+'COMUNAS - HOME DELIVERY 2025'!K67*'COMUNAS - HOME DELIVERY 2025'!$Q$7</f>
        <v>8879.3279999999995</v>
      </c>
      <c r="L67" s="57">
        <f>+'COMUNAS - HOME DELIVERY 2025'!L67*'COMUNAS - HOME DELIVERY 2025'!$Q$7</f>
        <v>10079.544</v>
      </c>
      <c r="M67" s="58">
        <f>+'COMUNAS - HOME DELIVERY 2025'!M67*'COMUNAS - HOME DELIVERY 2025'!$Q$7</f>
        <v>549.024</v>
      </c>
      <c r="N67" s="59">
        <f>+'COMUNAS - HOME DELIVERY 2025'!N67*'COMUNAS - HOME DELIVERY 2025'!$Q$7</f>
        <v>449.952</v>
      </c>
      <c r="O67" s="60"/>
      <c r="P67" s="2"/>
      <c r="Q67" s="2"/>
      <c r="R67" s="2"/>
      <c r="S67" s="2"/>
      <c r="T67" s="2"/>
      <c r="U67" s="2"/>
      <c r="V67" s="2"/>
      <c r="W67" s="2"/>
      <c r="X67" s="2"/>
      <c r="Y67" s="38"/>
    </row>
    <row r="68" spans="2:25" ht="15.75" customHeight="1" x14ac:dyDescent="0.3">
      <c r="B68" s="2"/>
      <c r="C68" s="61" t="s">
        <v>195</v>
      </c>
      <c r="D68" s="62" t="s">
        <v>198</v>
      </c>
      <c r="E68" s="63" t="s">
        <v>199</v>
      </c>
      <c r="F68" s="64">
        <f>+'COMUNAS - HOME DELIVERY 2025'!F68*'COMUNAS - HOME DELIVERY 2025'!$Q$7</f>
        <v>6569.7120000000004</v>
      </c>
      <c r="G68" s="65">
        <f>+'COMUNAS - HOME DELIVERY 2025'!G68*'COMUNAS - HOME DELIVERY 2025'!$Q$7</f>
        <v>7232.2560000000003</v>
      </c>
      <c r="H68" s="65">
        <f>+'COMUNAS - HOME DELIVERY 2025'!H68*'COMUNAS - HOME DELIVERY 2025'!$Q$7</f>
        <v>8037.2160000000003</v>
      </c>
      <c r="I68" s="65">
        <f>+'COMUNAS - HOME DELIVERY 2025'!I68*'COMUNAS - HOME DELIVERY 2025'!$Q$7</f>
        <v>9085.2119999999995</v>
      </c>
      <c r="J68" s="65">
        <f>+'COMUNAS - HOME DELIVERY 2025'!J68*'COMUNAS - HOME DELIVERY 2025'!$Q$7</f>
        <v>11147.148000000001</v>
      </c>
      <c r="K68" s="65">
        <f>+'COMUNAS - HOME DELIVERY 2025'!K68*'COMUNAS - HOME DELIVERY 2025'!$Q$7</f>
        <v>13318.992</v>
      </c>
      <c r="L68" s="65">
        <f>+'COMUNAS - HOME DELIVERY 2025'!L68*'COMUNAS - HOME DELIVERY 2025'!$Q$7</f>
        <v>15119.316000000001</v>
      </c>
      <c r="M68" s="66">
        <f>+'COMUNAS - HOME DELIVERY 2025'!M68*'COMUNAS - HOME DELIVERY 2025'!$Q$7</f>
        <v>823.53600000000006</v>
      </c>
      <c r="N68" s="67">
        <f>+'COMUNAS - HOME DELIVERY 2025'!N68*'COMUNAS - HOME DELIVERY 2025'!$Q$7</f>
        <v>674.928</v>
      </c>
      <c r="O68" s="60"/>
      <c r="P68" s="2"/>
      <c r="Q68" s="2"/>
      <c r="R68" s="2"/>
      <c r="S68" s="2"/>
      <c r="T68" s="2"/>
      <c r="U68" s="2"/>
      <c r="V68" s="2"/>
      <c r="W68" s="2"/>
      <c r="X68" s="2"/>
      <c r="Y68" s="38"/>
    </row>
    <row r="69" spans="2:25" ht="15.75" customHeight="1" x14ac:dyDescent="0.3">
      <c r="B69" s="2"/>
      <c r="C69" s="61" t="s">
        <v>195</v>
      </c>
      <c r="D69" s="62" t="s">
        <v>200</v>
      </c>
      <c r="E69" s="63" t="s">
        <v>201</v>
      </c>
      <c r="F69" s="64">
        <f>+'COMUNAS - HOME DELIVERY 2025'!F69*'COMUNAS - HOME DELIVERY 2025'!$Q$7</f>
        <v>5743.08</v>
      </c>
      <c r="G69" s="65">
        <f>+'COMUNAS - HOME DELIVERY 2025'!G69*'COMUNAS - HOME DELIVERY 2025'!$Q$7</f>
        <v>6075.9000000000005</v>
      </c>
      <c r="H69" s="65">
        <f>+'COMUNAS - HOME DELIVERY 2025'!H69*'COMUNAS - HOME DELIVERY 2025'!$Q$7</f>
        <v>7031.0160000000005</v>
      </c>
      <c r="I69" s="65">
        <f>+'COMUNAS - HOME DELIVERY 2025'!I69*'COMUNAS - HOME DELIVERY 2025'!$Q$7</f>
        <v>8176.5360000000001</v>
      </c>
      <c r="J69" s="65">
        <f>+'COMUNAS - HOME DELIVERY 2025'!J69*'COMUNAS - HOME DELIVERY 2025'!$Q$7</f>
        <v>10106.892</v>
      </c>
      <c r="K69" s="65">
        <f>+'COMUNAS - HOME DELIVERY 2025'!K69*'COMUNAS - HOME DELIVERY 2025'!$Q$7</f>
        <v>12147.156000000001</v>
      </c>
      <c r="L69" s="65">
        <f>+'COMUNAS - HOME DELIVERY 2025'!L69*'COMUNAS - HOME DELIVERY 2025'!$Q$7</f>
        <v>13644.072</v>
      </c>
      <c r="M69" s="66">
        <f>+'COMUNAS - HOME DELIVERY 2025'!M69*'COMUNAS - HOME DELIVERY 2025'!$Q$7</f>
        <v>691.95600000000002</v>
      </c>
      <c r="N69" s="67">
        <f>+'COMUNAS - HOME DELIVERY 2025'!N69*'COMUNAS - HOME DELIVERY 2025'!$Q$7</f>
        <v>582.048</v>
      </c>
      <c r="O69" s="60"/>
      <c r="P69" s="2"/>
      <c r="Q69" s="2"/>
      <c r="R69" s="2"/>
      <c r="S69" s="2"/>
      <c r="T69" s="2"/>
      <c r="U69" s="2"/>
      <c r="V69" s="2"/>
      <c r="W69" s="2"/>
      <c r="X69" s="2"/>
      <c r="Y69" s="38"/>
    </row>
    <row r="70" spans="2:25" ht="15.75" customHeight="1" x14ac:dyDescent="0.3">
      <c r="B70" s="2"/>
      <c r="C70" s="61" t="s">
        <v>195</v>
      </c>
      <c r="D70" s="62" t="s">
        <v>202</v>
      </c>
      <c r="E70" s="63" t="s">
        <v>203</v>
      </c>
      <c r="F70" s="64">
        <f>+'COMUNAS - HOME DELIVERY 2025'!F70*'COMUNAS - HOME DELIVERY 2025'!$Q$7</f>
        <v>6664.14</v>
      </c>
      <c r="G70" s="65">
        <f>+'COMUNAS - HOME DELIVERY 2025'!G70*'COMUNAS - HOME DELIVERY 2025'!$Q$7</f>
        <v>7339.0680000000002</v>
      </c>
      <c r="H70" s="65">
        <f>+'COMUNAS - HOME DELIVERY 2025'!H70*'COMUNAS - HOME DELIVERY 2025'!$Q$7</f>
        <v>8153.3159999999998</v>
      </c>
      <c r="I70" s="65">
        <f>+'COMUNAS - HOME DELIVERY 2025'!I70*'COMUNAS - HOME DELIVERY 2025'!$Q$7</f>
        <v>9218.34</v>
      </c>
      <c r="J70" s="65">
        <f>+'COMUNAS - HOME DELIVERY 2025'!J70*'COMUNAS - HOME DELIVERY 2025'!$Q$7</f>
        <v>11038.788</v>
      </c>
      <c r="K70" s="65">
        <f>+'COMUNAS - HOME DELIVERY 2025'!K70*'COMUNAS - HOME DELIVERY 2025'!$Q$7</f>
        <v>13337.568000000001</v>
      </c>
      <c r="L70" s="65">
        <f>+'COMUNAS - HOME DELIVERY 2025'!L70*'COMUNAS - HOME DELIVERY 2025'!$Q$7</f>
        <v>15140.988000000001</v>
      </c>
      <c r="M70" s="66">
        <f>+'COMUNAS - HOME DELIVERY 2025'!M70*'COMUNAS - HOME DELIVERY 2025'!$Q$7</f>
        <v>825.08400000000006</v>
      </c>
      <c r="N70" s="67">
        <f>+'COMUNAS - HOME DELIVERY 2025'!N70*'COMUNAS - HOME DELIVERY 2025'!$Q$7</f>
        <v>676.476</v>
      </c>
      <c r="O70" s="60"/>
      <c r="P70" s="2"/>
      <c r="Q70" s="2"/>
      <c r="R70" s="2"/>
      <c r="S70" s="2"/>
      <c r="T70" s="2"/>
      <c r="U70" s="2"/>
      <c r="V70" s="2"/>
      <c r="W70" s="2"/>
      <c r="X70" s="2"/>
      <c r="Y70" s="38"/>
    </row>
    <row r="71" spans="2:25" ht="15.75" customHeight="1" x14ac:dyDescent="0.3">
      <c r="B71" s="2"/>
      <c r="C71" s="61" t="s">
        <v>195</v>
      </c>
      <c r="D71" s="62" t="s">
        <v>204</v>
      </c>
      <c r="E71" s="63" t="s">
        <v>205</v>
      </c>
      <c r="F71" s="64">
        <f>+'COMUNAS - HOME DELIVERY 2025'!F71*'COMUNAS - HOME DELIVERY 2025'!$Q$7</f>
        <v>3828.7200000000003</v>
      </c>
      <c r="G71" s="65">
        <f>+'COMUNAS - HOME DELIVERY 2025'!G71*'COMUNAS - HOME DELIVERY 2025'!$Q$7</f>
        <v>4050.6</v>
      </c>
      <c r="H71" s="65">
        <f>+'COMUNAS - HOME DELIVERY 2025'!H71*'COMUNAS - HOME DELIVERY 2025'!$Q$7</f>
        <v>4687.3440000000001</v>
      </c>
      <c r="I71" s="65">
        <f>+'COMUNAS - HOME DELIVERY 2025'!I71*'COMUNAS - HOME DELIVERY 2025'!$Q$7</f>
        <v>5451.0240000000003</v>
      </c>
      <c r="J71" s="65">
        <f>+'COMUNAS - HOME DELIVERY 2025'!J71*'COMUNAS - HOME DELIVERY 2025'!$Q$7</f>
        <v>6737.9279999999999</v>
      </c>
      <c r="K71" s="65">
        <f>+'COMUNAS - HOME DELIVERY 2025'!K71*'COMUNAS - HOME DELIVERY 2025'!$Q$7</f>
        <v>8098.1040000000003</v>
      </c>
      <c r="L71" s="65">
        <f>+'COMUNAS - HOME DELIVERY 2025'!L71*'COMUNAS - HOME DELIVERY 2025'!$Q$7</f>
        <v>9096.0480000000007</v>
      </c>
      <c r="M71" s="66">
        <f>+'COMUNAS - HOME DELIVERY 2025'!M71*'COMUNAS - HOME DELIVERY 2025'!$Q$7</f>
        <v>461.30400000000003</v>
      </c>
      <c r="N71" s="67">
        <f>+'COMUNAS - HOME DELIVERY 2025'!N71*'COMUNAS - HOME DELIVERY 2025'!$Q$7</f>
        <v>388.03200000000004</v>
      </c>
      <c r="O71" s="60"/>
      <c r="P71" s="2"/>
      <c r="Q71" s="2"/>
      <c r="R71" s="2"/>
      <c r="S71" s="2"/>
      <c r="T71" s="2"/>
      <c r="U71" s="2"/>
      <c r="V71" s="2"/>
      <c r="W71" s="2"/>
      <c r="X71" s="2"/>
      <c r="Y71" s="38"/>
    </row>
    <row r="72" spans="2:25" ht="15.75" customHeight="1" x14ac:dyDescent="0.3">
      <c r="B72" s="2"/>
      <c r="C72" s="61" t="s">
        <v>195</v>
      </c>
      <c r="D72" s="62" t="s">
        <v>206</v>
      </c>
      <c r="E72" s="63" t="s">
        <v>22</v>
      </c>
      <c r="F72" s="64">
        <f>+'COMUNAS - HOME DELIVERY 2025'!F72*'COMUNAS - HOME DELIVERY 2025'!$Q$7</f>
        <v>4379.808</v>
      </c>
      <c r="G72" s="65">
        <f>+'COMUNAS - HOME DELIVERY 2025'!G72*'COMUNAS - HOME DELIVERY 2025'!$Q$7</f>
        <v>4821.5039999999999</v>
      </c>
      <c r="H72" s="65">
        <f>+'COMUNAS - HOME DELIVERY 2025'!H72*'COMUNAS - HOME DELIVERY 2025'!$Q$7</f>
        <v>5358.1440000000002</v>
      </c>
      <c r="I72" s="65">
        <f>+'COMUNAS - HOME DELIVERY 2025'!I72*'COMUNAS - HOME DELIVERY 2025'!$Q$7</f>
        <v>6056.808</v>
      </c>
      <c r="J72" s="65">
        <f>+'COMUNAS - HOME DELIVERY 2025'!J72*'COMUNAS - HOME DELIVERY 2025'!$Q$7</f>
        <v>7431.4319999999998</v>
      </c>
      <c r="K72" s="65">
        <f>+'COMUNAS - HOME DELIVERY 2025'!K72*'COMUNAS - HOME DELIVERY 2025'!$Q$7</f>
        <v>8879.3279999999995</v>
      </c>
      <c r="L72" s="65">
        <f>+'COMUNAS - HOME DELIVERY 2025'!L72*'COMUNAS - HOME DELIVERY 2025'!$Q$7</f>
        <v>10079.544</v>
      </c>
      <c r="M72" s="66">
        <f>+'COMUNAS - HOME DELIVERY 2025'!M72*'COMUNAS - HOME DELIVERY 2025'!$Q$7</f>
        <v>549.024</v>
      </c>
      <c r="N72" s="67">
        <f>+'COMUNAS - HOME DELIVERY 2025'!N72*'COMUNAS - HOME DELIVERY 2025'!$Q$7</f>
        <v>449.952</v>
      </c>
      <c r="O72" s="60"/>
      <c r="P72" s="2"/>
      <c r="Q72" s="2"/>
      <c r="R72" s="2"/>
      <c r="S72" s="2"/>
      <c r="T72" s="2"/>
      <c r="U72" s="2"/>
      <c r="V72" s="2"/>
      <c r="W72" s="2"/>
      <c r="X72" s="2"/>
      <c r="Y72" s="38"/>
    </row>
    <row r="73" spans="2:25" ht="15.75" customHeight="1" x14ac:dyDescent="0.3">
      <c r="B73" s="2"/>
      <c r="C73" s="61" t="s">
        <v>195</v>
      </c>
      <c r="D73" s="62" t="s">
        <v>207</v>
      </c>
      <c r="E73" s="63" t="s">
        <v>208</v>
      </c>
      <c r="F73" s="64">
        <f>+'COMUNAS - HOME DELIVERY 2025'!F73*'COMUNAS - HOME DELIVERY 2025'!$Q$7</f>
        <v>4379.808</v>
      </c>
      <c r="G73" s="65">
        <f>+'COMUNAS - HOME DELIVERY 2025'!G73*'COMUNAS - HOME DELIVERY 2025'!$Q$7</f>
        <v>4821.5039999999999</v>
      </c>
      <c r="H73" s="65">
        <f>+'COMUNAS - HOME DELIVERY 2025'!H73*'COMUNAS - HOME DELIVERY 2025'!$Q$7</f>
        <v>5358.1440000000002</v>
      </c>
      <c r="I73" s="65">
        <f>+'COMUNAS - HOME DELIVERY 2025'!I73*'COMUNAS - HOME DELIVERY 2025'!$Q$7</f>
        <v>6056.808</v>
      </c>
      <c r="J73" s="65">
        <f>+'COMUNAS - HOME DELIVERY 2025'!J73*'COMUNAS - HOME DELIVERY 2025'!$Q$7</f>
        <v>7431.4319999999998</v>
      </c>
      <c r="K73" s="65">
        <f>+'COMUNAS - HOME DELIVERY 2025'!K73*'COMUNAS - HOME DELIVERY 2025'!$Q$7</f>
        <v>8879.3279999999995</v>
      </c>
      <c r="L73" s="65">
        <f>+'COMUNAS - HOME DELIVERY 2025'!L73*'COMUNAS - HOME DELIVERY 2025'!$Q$7</f>
        <v>10079.544</v>
      </c>
      <c r="M73" s="66">
        <f>+'COMUNAS - HOME DELIVERY 2025'!M73*'COMUNAS - HOME DELIVERY 2025'!$Q$7</f>
        <v>549.024</v>
      </c>
      <c r="N73" s="67">
        <f>+'COMUNAS - HOME DELIVERY 2025'!N73*'COMUNAS - HOME DELIVERY 2025'!$Q$7</f>
        <v>449.952</v>
      </c>
      <c r="O73" s="60"/>
      <c r="P73" s="2"/>
      <c r="Q73" s="146"/>
      <c r="R73" s="2"/>
      <c r="S73" s="2"/>
      <c r="T73" s="2"/>
      <c r="U73" s="2"/>
      <c r="V73" s="2"/>
      <c r="W73" s="2"/>
      <c r="X73" s="2"/>
      <c r="Y73" s="38"/>
    </row>
    <row r="74" spans="2:25" ht="15.75" customHeight="1" x14ac:dyDescent="0.3">
      <c r="B74" s="2"/>
      <c r="C74" s="61" t="s">
        <v>195</v>
      </c>
      <c r="D74" s="62" t="s">
        <v>209</v>
      </c>
      <c r="E74" s="63" t="s">
        <v>210</v>
      </c>
      <c r="F74" s="64">
        <f>+'COMUNAS - HOME DELIVERY 2025'!F74*'COMUNAS - HOME DELIVERY 2025'!$Q$7</f>
        <v>3828.7200000000003</v>
      </c>
      <c r="G74" s="65">
        <f>+'COMUNAS - HOME DELIVERY 2025'!G74*'COMUNAS - HOME DELIVERY 2025'!$Q$7</f>
        <v>4050.6</v>
      </c>
      <c r="H74" s="65">
        <f>+'COMUNAS - HOME DELIVERY 2025'!H74*'COMUNAS - HOME DELIVERY 2025'!$Q$7</f>
        <v>4687.3440000000001</v>
      </c>
      <c r="I74" s="65">
        <f>+'COMUNAS - HOME DELIVERY 2025'!I74*'COMUNAS - HOME DELIVERY 2025'!$Q$7</f>
        <v>5451.0240000000003</v>
      </c>
      <c r="J74" s="65">
        <f>+'COMUNAS - HOME DELIVERY 2025'!J74*'COMUNAS - HOME DELIVERY 2025'!$Q$7</f>
        <v>6737.9279999999999</v>
      </c>
      <c r="K74" s="65">
        <f>+'COMUNAS - HOME DELIVERY 2025'!K74*'COMUNAS - HOME DELIVERY 2025'!$Q$7</f>
        <v>8098.1040000000003</v>
      </c>
      <c r="L74" s="65">
        <f>+'COMUNAS - HOME DELIVERY 2025'!L74*'COMUNAS - HOME DELIVERY 2025'!$Q$7</f>
        <v>9096.0480000000007</v>
      </c>
      <c r="M74" s="66">
        <f>+'COMUNAS - HOME DELIVERY 2025'!M74*'COMUNAS - HOME DELIVERY 2025'!$Q$7</f>
        <v>461.30400000000003</v>
      </c>
      <c r="N74" s="67">
        <f>+'COMUNAS - HOME DELIVERY 2025'!N74*'COMUNAS - HOME DELIVERY 2025'!$Q$7</f>
        <v>388.03200000000004</v>
      </c>
      <c r="O74" s="60"/>
      <c r="P74" s="2"/>
      <c r="Q74" s="146"/>
      <c r="R74" s="2"/>
      <c r="S74" s="2"/>
      <c r="T74" s="2"/>
      <c r="U74" s="2"/>
      <c r="V74" s="2"/>
      <c r="W74" s="2"/>
      <c r="X74" s="2"/>
      <c r="Y74" s="38"/>
    </row>
    <row r="75" spans="2:25" ht="15.75" customHeight="1" x14ac:dyDescent="0.3">
      <c r="B75" s="2"/>
      <c r="C75" s="61" t="s">
        <v>195</v>
      </c>
      <c r="D75" s="62" t="s">
        <v>211</v>
      </c>
      <c r="E75" s="63" t="s">
        <v>212</v>
      </c>
      <c r="F75" s="64">
        <f>+'COMUNAS - HOME DELIVERY 2025'!F75*'COMUNAS - HOME DELIVERY 2025'!$Q$7</f>
        <v>6664.14</v>
      </c>
      <c r="G75" s="65">
        <f>+'COMUNAS - HOME DELIVERY 2025'!G75*'COMUNAS - HOME DELIVERY 2025'!$Q$7</f>
        <v>7339.0680000000002</v>
      </c>
      <c r="H75" s="65">
        <f>+'COMUNAS - HOME DELIVERY 2025'!H75*'COMUNAS - HOME DELIVERY 2025'!$Q$7</f>
        <v>8153.3159999999998</v>
      </c>
      <c r="I75" s="65">
        <f>+'COMUNAS - HOME DELIVERY 2025'!I75*'COMUNAS - HOME DELIVERY 2025'!$Q$7</f>
        <v>9218.34</v>
      </c>
      <c r="J75" s="65">
        <f>+'COMUNAS - HOME DELIVERY 2025'!J75*'COMUNAS - HOME DELIVERY 2025'!$Q$7</f>
        <v>11038.788</v>
      </c>
      <c r="K75" s="65">
        <f>+'COMUNAS - HOME DELIVERY 2025'!K75*'COMUNAS - HOME DELIVERY 2025'!$Q$7</f>
        <v>13337.568000000001</v>
      </c>
      <c r="L75" s="65">
        <f>+'COMUNAS - HOME DELIVERY 2025'!L75*'COMUNAS - HOME DELIVERY 2025'!$Q$7</f>
        <v>15140.988000000001</v>
      </c>
      <c r="M75" s="66">
        <f>+'COMUNAS - HOME DELIVERY 2025'!M75*'COMUNAS - HOME DELIVERY 2025'!$Q$7</f>
        <v>825.08400000000006</v>
      </c>
      <c r="N75" s="67">
        <f>+'COMUNAS - HOME DELIVERY 2025'!N75*'COMUNAS - HOME DELIVERY 2025'!$Q$7</f>
        <v>676.476</v>
      </c>
      <c r="O75" s="60"/>
      <c r="P75" s="2"/>
      <c r="Q75" s="2"/>
      <c r="R75" s="2"/>
      <c r="S75" s="2"/>
      <c r="T75" s="2"/>
      <c r="U75" s="2"/>
      <c r="V75" s="2"/>
      <c r="W75" s="2"/>
      <c r="X75" s="2"/>
      <c r="Y75" s="38"/>
    </row>
    <row r="76" spans="2:25" ht="15.75" customHeight="1" x14ac:dyDescent="0.3">
      <c r="B76" s="2"/>
      <c r="C76" s="61" t="s">
        <v>195</v>
      </c>
      <c r="D76" s="62" t="s">
        <v>213</v>
      </c>
      <c r="E76" s="63" t="s">
        <v>24</v>
      </c>
      <c r="F76" s="64">
        <f>+'COMUNAS - HOME DELIVERY 2025'!F76*'COMUNAS - HOME DELIVERY 2025'!$Q$7</f>
        <v>4442.76</v>
      </c>
      <c r="G76" s="65">
        <f>+'COMUNAS - HOME DELIVERY 2025'!G76*'COMUNAS - HOME DELIVERY 2025'!$Q$7</f>
        <v>4892.7120000000004</v>
      </c>
      <c r="H76" s="65">
        <f>+'COMUNAS - HOME DELIVERY 2025'!H76*'COMUNAS - HOME DELIVERY 2025'!$Q$7</f>
        <v>5435.5439999999999</v>
      </c>
      <c r="I76" s="65">
        <f>+'COMUNAS - HOME DELIVERY 2025'!I76*'COMUNAS - HOME DELIVERY 2025'!$Q$7</f>
        <v>6145.56</v>
      </c>
      <c r="J76" s="65">
        <f>+'COMUNAS - HOME DELIVERY 2025'!J76*'COMUNAS - HOME DELIVERY 2025'!$Q$7</f>
        <v>7359.192</v>
      </c>
      <c r="K76" s="65">
        <f>+'COMUNAS - HOME DELIVERY 2025'!K76*'COMUNAS - HOME DELIVERY 2025'!$Q$7</f>
        <v>8891.7119999999995</v>
      </c>
      <c r="L76" s="65">
        <f>+'COMUNAS - HOME DELIVERY 2025'!L76*'COMUNAS - HOME DELIVERY 2025'!$Q$7</f>
        <v>10093.992</v>
      </c>
      <c r="M76" s="66">
        <f>+'COMUNAS - HOME DELIVERY 2025'!M76*'COMUNAS - HOME DELIVERY 2025'!$Q$7</f>
        <v>550.05600000000004</v>
      </c>
      <c r="N76" s="67">
        <f>+'COMUNAS - HOME DELIVERY 2025'!N76*'COMUNAS - HOME DELIVERY 2025'!$Q$7</f>
        <v>450.98400000000004</v>
      </c>
      <c r="O76" s="60"/>
      <c r="P76" s="2"/>
      <c r="Q76" s="2"/>
      <c r="R76" s="2"/>
      <c r="S76" s="2"/>
      <c r="T76" s="2"/>
      <c r="U76" s="2"/>
      <c r="V76" s="2"/>
      <c r="W76" s="2"/>
      <c r="X76" s="2"/>
      <c r="Y76" s="38"/>
    </row>
    <row r="77" spans="2:25" ht="15.75" customHeight="1" x14ac:dyDescent="0.3">
      <c r="B77" s="2"/>
      <c r="C77" s="61" t="s">
        <v>195</v>
      </c>
      <c r="D77" s="62" t="s">
        <v>214</v>
      </c>
      <c r="E77" s="63" t="s">
        <v>215</v>
      </c>
      <c r="F77" s="64">
        <f>+'COMUNAS - HOME DELIVERY 2025'!F77*'COMUNAS - HOME DELIVERY 2025'!$Q$7</f>
        <v>6569.7120000000004</v>
      </c>
      <c r="G77" s="65">
        <f>+'COMUNAS - HOME DELIVERY 2025'!G77*'COMUNAS - HOME DELIVERY 2025'!$Q$7</f>
        <v>7232.2560000000003</v>
      </c>
      <c r="H77" s="65">
        <f>+'COMUNAS - HOME DELIVERY 2025'!H77*'COMUNAS - HOME DELIVERY 2025'!$Q$7</f>
        <v>8037.2160000000003</v>
      </c>
      <c r="I77" s="65">
        <f>+'COMUNAS - HOME DELIVERY 2025'!I77*'COMUNAS - HOME DELIVERY 2025'!$Q$7</f>
        <v>9085.2119999999995</v>
      </c>
      <c r="J77" s="65">
        <f>+'COMUNAS - HOME DELIVERY 2025'!J77*'COMUNAS - HOME DELIVERY 2025'!$Q$7</f>
        <v>11147.148000000001</v>
      </c>
      <c r="K77" s="65">
        <f>+'COMUNAS - HOME DELIVERY 2025'!K77*'COMUNAS - HOME DELIVERY 2025'!$Q$7</f>
        <v>13318.992</v>
      </c>
      <c r="L77" s="65">
        <f>+'COMUNAS - HOME DELIVERY 2025'!L77*'COMUNAS - HOME DELIVERY 2025'!$Q$7</f>
        <v>15119.316000000001</v>
      </c>
      <c r="M77" s="66">
        <f>+'COMUNAS - HOME DELIVERY 2025'!M77*'COMUNAS - HOME DELIVERY 2025'!$Q$7</f>
        <v>823.53600000000006</v>
      </c>
      <c r="N77" s="67">
        <f>+'COMUNAS - HOME DELIVERY 2025'!N77*'COMUNAS - HOME DELIVERY 2025'!$Q$7</f>
        <v>674.928</v>
      </c>
      <c r="O77" s="60"/>
      <c r="P77" s="2"/>
      <c r="Q77" s="2"/>
      <c r="R77" s="2"/>
      <c r="S77" s="2"/>
      <c r="T77" s="2"/>
      <c r="U77" s="2"/>
      <c r="V77" s="2"/>
      <c r="W77" s="2"/>
      <c r="X77" s="2"/>
      <c r="Y77" s="38"/>
    </row>
    <row r="78" spans="2:25" ht="15.75" customHeight="1" x14ac:dyDescent="0.3">
      <c r="B78" s="2"/>
      <c r="C78" s="61" t="s">
        <v>195</v>
      </c>
      <c r="D78" s="62" t="s">
        <v>216</v>
      </c>
      <c r="E78" s="63" t="s">
        <v>217</v>
      </c>
      <c r="F78" s="64">
        <f>+'COMUNAS - HOME DELIVERY 2025'!F78*'COMUNAS - HOME DELIVERY 2025'!$Q$7</f>
        <v>4442.76</v>
      </c>
      <c r="G78" s="65">
        <f>+'COMUNAS - HOME DELIVERY 2025'!G78*'COMUNAS - HOME DELIVERY 2025'!$Q$7</f>
        <v>4892.7120000000004</v>
      </c>
      <c r="H78" s="65">
        <f>+'COMUNAS - HOME DELIVERY 2025'!H78*'COMUNAS - HOME DELIVERY 2025'!$Q$7</f>
        <v>5435.5439999999999</v>
      </c>
      <c r="I78" s="65">
        <f>+'COMUNAS - HOME DELIVERY 2025'!I78*'COMUNAS - HOME DELIVERY 2025'!$Q$7</f>
        <v>6145.56</v>
      </c>
      <c r="J78" s="65">
        <f>+'COMUNAS - HOME DELIVERY 2025'!J78*'COMUNAS - HOME DELIVERY 2025'!$Q$7</f>
        <v>7359.192</v>
      </c>
      <c r="K78" s="65">
        <f>+'COMUNAS - HOME DELIVERY 2025'!K78*'COMUNAS - HOME DELIVERY 2025'!$Q$7</f>
        <v>8891.7119999999995</v>
      </c>
      <c r="L78" s="65">
        <f>+'COMUNAS - HOME DELIVERY 2025'!L78*'COMUNAS - HOME DELIVERY 2025'!$Q$7</f>
        <v>10093.992</v>
      </c>
      <c r="M78" s="66">
        <f>+'COMUNAS - HOME DELIVERY 2025'!M78*'COMUNAS - HOME DELIVERY 2025'!$Q$7</f>
        <v>550.05600000000004</v>
      </c>
      <c r="N78" s="67">
        <f>+'COMUNAS - HOME DELIVERY 2025'!N78*'COMUNAS - HOME DELIVERY 2025'!$Q$7</f>
        <v>450.98400000000004</v>
      </c>
      <c r="O78" s="60"/>
      <c r="P78" s="2"/>
      <c r="Q78" s="2"/>
      <c r="R78" s="2"/>
      <c r="S78" s="2"/>
      <c r="T78" s="2"/>
      <c r="U78" s="2"/>
      <c r="V78" s="2"/>
      <c r="W78" s="2"/>
      <c r="X78" s="2"/>
      <c r="Y78" s="38"/>
    </row>
    <row r="79" spans="2:25" ht="15.75" customHeight="1" x14ac:dyDescent="0.3">
      <c r="B79" s="2"/>
      <c r="C79" s="61" t="s">
        <v>195</v>
      </c>
      <c r="D79" s="62" t="s">
        <v>218</v>
      </c>
      <c r="E79" s="63" t="s">
        <v>219</v>
      </c>
      <c r="F79" s="64">
        <f>+'COMUNAS - HOME DELIVERY 2025'!F79*'COMUNAS - HOME DELIVERY 2025'!$Q$7</f>
        <v>6664.14</v>
      </c>
      <c r="G79" s="65">
        <f>+'COMUNAS - HOME DELIVERY 2025'!G79*'COMUNAS - HOME DELIVERY 2025'!$Q$7</f>
        <v>7339.0680000000002</v>
      </c>
      <c r="H79" s="65">
        <f>+'COMUNAS - HOME DELIVERY 2025'!H79*'COMUNAS - HOME DELIVERY 2025'!$Q$7</f>
        <v>8153.3159999999998</v>
      </c>
      <c r="I79" s="65">
        <f>+'COMUNAS - HOME DELIVERY 2025'!I79*'COMUNAS - HOME DELIVERY 2025'!$Q$7</f>
        <v>9218.34</v>
      </c>
      <c r="J79" s="65">
        <f>+'COMUNAS - HOME DELIVERY 2025'!J79*'COMUNAS - HOME DELIVERY 2025'!$Q$7</f>
        <v>11038.788</v>
      </c>
      <c r="K79" s="65">
        <f>+'COMUNAS - HOME DELIVERY 2025'!K79*'COMUNAS - HOME DELIVERY 2025'!$Q$7</f>
        <v>13337.568000000001</v>
      </c>
      <c r="L79" s="65">
        <f>+'COMUNAS - HOME DELIVERY 2025'!L79*'COMUNAS - HOME DELIVERY 2025'!$Q$7</f>
        <v>15140.988000000001</v>
      </c>
      <c r="M79" s="66">
        <f>+'COMUNAS - HOME DELIVERY 2025'!M79*'COMUNAS - HOME DELIVERY 2025'!$Q$7</f>
        <v>825.08400000000006</v>
      </c>
      <c r="N79" s="67">
        <f>+'COMUNAS - HOME DELIVERY 2025'!N79*'COMUNAS - HOME DELIVERY 2025'!$Q$7</f>
        <v>676.476</v>
      </c>
      <c r="O79" s="60"/>
      <c r="P79" s="2"/>
      <c r="Q79" s="2"/>
      <c r="R79" s="2"/>
      <c r="S79" s="2"/>
      <c r="T79" s="2"/>
      <c r="U79" s="2"/>
      <c r="V79" s="2"/>
      <c r="W79" s="2"/>
      <c r="X79" s="2"/>
      <c r="Y79" s="38"/>
    </row>
    <row r="80" spans="2:25" ht="15.75" customHeight="1" x14ac:dyDescent="0.3">
      <c r="B80" s="2"/>
      <c r="C80" s="61" t="s">
        <v>195</v>
      </c>
      <c r="D80" s="62" t="s">
        <v>220</v>
      </c>
      <c r="E80" s="63" t="s">
        <v>221</v>
      </c>
      <c r="F80" s="64">
        <f>+'COMUNAS - HOME DELIVERY 2025'!F80*'COMUNAS - HOME DELIVERY 2025'!$Q$7</f>
        <v>5743.08</v>
      </c>
      <c r="G80" s="65">
        <f>+'COMUNAS - HOME DELIVERY 2025'!G80*'COMUNAS - HOME DELIVERY 2025'!$Q$7</f>
        <v>6075.9000000000005</v>
      </c>
      <c r="H80" s="65">
        <f>+'COMUNAS - HOME DELIVERY 2025'!H80*'COMUNAS - HOME DELIVERY 2025'!$Q$7</f>
        <v>7031.0160000000005</v>
      </c>
      <c r="I80" s="65">
        <f>+'COMUNAS - HOME DELIVERY 2025'!I80*'COMUNAS - HOME DELIVERY 2025'!$Q$7</f>
        <v>8176.5360000000001</v>
      </c>
      <c r="J80" s="65">
        <f>+'COMUNAS - HOME DELIVERY 2025'!J80*'COMUNAS - HOME DELIVERY 2025'!$Q$7</f>
        <v>10106.892</v>
      </c>
      <c r="K80" s="65">
        <f>+'COMUNAS - HOME DELIVERY 2025'!K80*'COMUNAS - HOME DELIVERY 2025'!$Q$7</f>
        <v>12147.156000000001</v>
      </c>
      <c r="L80" s="65">
        <f>+'COMUNAS - HOME DELIVERY 2025'!L80*'COMUNAS - HOME DELIVERY 2025'!$Q$7</f>
        <v>13644.072</v>
      </c>
      <c r="M80" s="66">
        <f>+'COMUNAS - HOME DELIVERY 2025'!M80*'COMUNAS - HOME DELIVERY 2025'!$Q$7</f>
        <v>691.95600000000002</v>
      </c>
      <c r="N80" s="67">
        <f>+'COMUNAS - HOME DELIVERY 2025'!N80*'COMUNAS - HOME DELIVERY 2025'!$Q$7</f>
        <v>582.048</v>
      </c>
      <c r="O80" s="60"/>
      <c r="P80" s="2"/>
      <c r="Q80" s="2"/>
      <c r="R80" s="2"/>
      <c r="S80" s="2"/>
      <c r="T80" s="2"/>
      <c r="U80" s="2"/>
      <c r="V80" s="2"/>
      <c r="W80" s="2"/>
      <c r="X80" s="2"/>
      <c r="Y80" s="38"/>
    </row>
    <row r="81" spans="2:25" ht="15.75" customHeight="1" thickBot="1" x14ac:dyDescent="0.35">
      <c r="B81" s="2"/>
      <c r="C81" s="68" t="s">
        <v>195</v>
      </c>
      <c r="D81" s="69" t="s">
        <v>222</v>
      </c>
      <c r="E81" s="70" t="s">
        <v>223</v>
      </c>
      <c r="F81" s="71">
        <f>+'COMUNAS - HOME DELIVERY 2025'!F81*'COMUNAS - HOME DELIVERY 2025'!$Q$7</f>
        <v>4379.808</v>
      </c>
      <c r="G81" s="72">
        <f>+'COMUNAS - HOME DELIVERY 2025'!G81*'COMUNAS - HOME DELIVERY 2025'!$Q$7</f>
        <v>4821.5039999999999</v>
      </c>
      <c r="H81" s="72">
        <f>+'COMUNAS - HOME DELIVERY 2025'!H81*'COMUNAS - HOME DELIVERY 2025'!$Q$7</f>
        <v>5358.1440000000002</v>
      </c>
      <c r="I81" s="72">
        <f>+'COMUNAS - HOME DELIVERY 2025'!I81*'COMUNAS - HOME DELIVERY 2025'!$Q$7</f>
        <v>6056.808</v>
      </c>
      <c r="J81" s="72">
        <f>+'COMUNAS - HOME DELIVERY 2025'!J81*'COMUNAS - HOME DELIVERY 2025'!$Q$7</f>
        <v>7431.4319999999998</v>
      </c>
      <c r="K81" s="72">
        <f>+'COMUNAS - HOME DELIVERY 2025'!K81*'COMUNAS - HOME DELIVERY 2025'!$Q$7</f>
        <v>8879.3279999999995</v>
      </c>
      <c r="L81" s="72">
        <f>+'COMUNAS - HOME DELIVERY 2025'!L81*'COMUNAS - HOME DELIVERY 2025'!$Q$7</f>
        <v>10079.544</v>
      </c>
      <c r="M81" s="73">
        <f>+'COMUNAS - HOME DELIVERY 2025'!M81*'COMUNAS - HOME DELIVERY 2025'!$Q$7</f>
        <v>549.024</v>
      </c>
      <c r="N81" s="74">
        <f>+'COMUNAS - HOME DELIVERY 2025'!N81*'COMUNAS - HOME DELIVERY 2025'!$Q$7</f>
        <v>449.952</v>
      </c>
      <c r="O81" s="60"/>
      <c r="P81" s="2"/>
      <c r="Q81" s="2"/>
      <c r="R81" s="2"/>
      <c r="S81" s="2"/>
      <c r="T81" s="2"/>
      <c r="U81" s="2"/>
      <c r="V81" s="2"/>
      <c r="W81" s="2"/>
      <c r="X81" s="2"/>
      <c r="Y81" s="38"/>
    </row>
    <row r="82" spans="2:25" ht="15.75" customHeight="1" x14ac:dyDescent="0.3">
      <c r="B82" s="2"/>
      <c r="C82" s="53" t="s">
        <v>224</v>
      </c>
      <c r="D82" s="54" t="s">
        <v>225</v>
      </c>
      <c r="E82" s="55" t="s">
        <v>30</v>
      </c>
      <c r="F82" s="56">
        <f>+'COMUNAS - HOME DELIVERY 2025'!F82*'COMUNAS - HOME DELIVERY 2025'!$Q$7</f>
        <v>3703.848</v>
      </c>
      <c r="G82" s="57">
        <f>+'COMUNAS - HOME DELIVERY 2025'!G82*'COMUNAS - HOME DELIVERY 2025'!$Q$7</f>
        <v>3961.848</v>
      </c>
      <c r="H82" s="57">
        <f>+'COMUNAS - HOME DELIVERY 2025'!H82*'COMUNAS - HOME DELIVERY 2025'!$Q$7</f>
        <v>4496.424</v>
      </c>
      <c r="I82" s="57">
        <f>+'COMUNAS - HOME DELIVERY 2025'!I82*'COMUNAS - HOME DELIVERY 2025'!$Q$7</f>
        <v>5325.12</v>
      </c>
      <c r="J82" s="57">
        <f>+'COMUNAS - HOME DELIVERY 2025'!J82*'COMUNAS - HOME DELIVERY 2025'!$Q$7</f>
        <v>6616.152</v>
      </c>
      <c r="K82" s="57">
        <f>+'COMUNAS - HOME DELIVERY 2025'!K82*'COMUNAS - HOME DELIVERY 2025'!$Q$7</f>
        <v>7476.84</v>
      </c>
      <c r="L82" s="57">
        <f>+'COMUNAS - HOME DELIVERY 2025'!L82*'COMUNAS - HOME DELIVERY 2025'!$Q$7</f>
        <v>8391.1920000000009</v>
      </c>
      <c r="M82" s="58">
        <f>+'COMUNAS - HOME DELIVERY 2025'!M82*'COMUNAS - HOME DELIVERY 2025'!$Q$7</f>
        <v>423.12</v>
      </c>
      <c r="N82" s="59">
        <f>+'COMUNAS - HOME DELIVERY 2025'!N82*'COMUNAS - HOME DELIVERY 2025'!$Q$7</f>
        <v>350.88</v>
      </c>
      <c r="O82" s="60"/>
      <c r="P82" s="2"/>
      <c r="Q82" s="2"/>
      <c r="R82" s="2"/>
      <c r="S82" s="2"/>
      <c r="T82" s="2"/>
      <c r="U82" s="2"/>
      <c r="V82" s="2"/>
      <c r="W82" s="2"/>
      <c r="X82" s="2"/>
      <c r="Y82" s="38"/>
    </row>
    <row r="83" spans="2:25" ht="15.75" customHeight="1" x14ac:dyDescent="0.3">
      <c r="B83" s="2"/>
      <c r="C83" s="61" t="s">
        <v>224</v>
      </c>
      <c r="D83" s="62" t="s">
        <v>226</v>
      </c>
      <c r="E83" s="63" t="s">
        <v>227</v>
      </c>
      <c r="F83" s="64">
        <f>+'COMUNAS - HOME DELIVERY 2025'!F83*'COMUNAS - HOME DELIVERY 2025'!$Q$7</f>
        <v>3703.848</v>
      </c>
      <c r="G83" s="65">
        <f>+'COMUNAS - HOME DELIVERY 2025'!G83*'COMUNAS - HOME DELIVERY 2025'!$Q$7</f>
        <v>3961.848</v>
      </c>
      <c r="H83" s="65">
        <f>+'COMUNAS - HOME DELIVERY 2025'!H83*'COMUNAS - HOME DELIVERY 2025'!$Q$7</f>
        <v>4496.424</v>
      </c>
      <c r="I83" s="65">
        <f>+'COMUNAS - HOME DELIVERY 2025'!I83*'COMUNAS - HOME DELIVERY 2025'!$Q$7</f>
        <v>5325.12</v>
      </c>
      <c r="J83" s="65">
        <f>+'COMUNAS - HOME DELIVERY 2025'!J83*'COMUNAS - HOME DELIVERY 2025'!$Q$7</f>
        <v>6616.152</v>
      </c>
      <c r="K83" s="65">
        <f>+'COMUNAS - HOME DELIVERY 2025'!K83*'COMUNAS - HOME DELIVERY 2025'!$Q$7</f>
        <v>7476.84</v>
      </c>
      <c r="L83" s="65">
        <f>+'COMUNAS - HOME DELIVERY 2025'!L83*'COMUNAS - HOME DELIVERY 2025'!$Q$7</f>
        <v>8391.1920000000009</v>
      </c>
      <c r="M83" s="66">
        <f>+'COMUNAS - HOME DELIVERY 2025'!M83*'COMUNAS - HOME DELIVERY 2025'!$Q$7</f>
        <v>423.12</v>
      </c>
      <c r="N83" s="67">
        <f>+'COMUNAS - HOME DELIVERY 2025'!N83*'COMUNAS - HOME DELIVERY 2025'!$Q$7</f>
        <v>350.88</v>
      </c>
      <c r="O83" s="60"/>
      <c r="P83" s="2"/>
      <c r="Q83" s="2"/>
      <c r="R83" s="2"/>
      <c r="S83" s="2"/>
      <c r="T83" s="2"/>
      <c r="U83" s="2"/>
      <c r="V83" s="2"/>
      <c r="W83" s="2"/>
      <c r="X83" s="2"/>
      <c r="Y83" s="38"/>
    </row>
    <row r="84" spans="2:25" ht="15.75" customHeight="1" x14ac:dyDescent="0.3">
      <c r="B84" s="2"/>
      <c r="C84" s="61" t="s">
        <v>224</v>
      </c>
      <c r="D84" s="62" t="s">
        <v>228</v>
      </c>
      <c r="E84" s="63" t="s">
        <v>229</v>
      </c>
      <c r="F84" s="64">
        <f>+'COMUNAS - HOME DELIVERY 2025'!F84*'COMUNAS - HOME DELIVERY 2025'!$Q$7</f>
        <v>3828.7200000000003</v>
      </c>
      <c r="G84" s="65">
        <f>+'COMUNAS - HOME DELIVERY 2025'!G84*'COMUNAS - HOME DELIVERY 2025'!$Q$7</f>
        <v>4050.6</v>
      </c>
      <c r="H84" s="65">
        <f>+'COMUNAS - HOME DELIVERY 2025'!H84*'COMUNAS - HOME DELIVERY 2025'!$Q$7</f>
        <v>4687.3440000000001</v>
      </c>
      <c r="I84" s="65">
        <f>+'COMUNAS - HOME DELIVERY 2025'!I84*'COMUNAS - HOME DELIVERY 2025'!$Q$7</f>
        <v>5451.0240000000003</v>
      </c>
      <c r="J84" s="65">
        <f>+'COMUNAS - HOME DELIVERY 2025'!J84*'COMUNAS - HOME DELIVERY 2025'!$Q$7</f>
        <v>6737.9279999999999</v>
      </c>
      <c r="K84" s="65">
        <f>+'COMUNAS - HOME DELIVERY 2025'!K84*'COMUNAS - HOME DELIVERY 2025'!$Q$7</f>
        <v>8098.1040000000003</v>
      </c>
      <c r="L84" s="65">
        <f>+'COMUNAS - HOME DELIVERY 2025'!L84*'COMUNAS - HOME DELIVERY 2025'!$Q$7</f>
        <v>9096.0480000000007</v>
      </c>
      <c r="M84" s="66">
        <f>+'COMUNAS - HOME DELIVERY 2025'!M84*'COMUNAS - HOME DELIVERY 2025'!$Q$7</f>
        <v>461.30400000000003</v>
      </c>
      <c r="N84" s="67">
        <f>+'COMUNAS - HOME DELIVERY 2025'!N84*'COMUNAS - HOME DELIVERY 2025'!$Q$7</f>
        <v>388.03200000000004</v>
      </c>
      <c r="O84" s="60"/>
      <c r="P84" s="2"/>
      <c r="Q84" s="2"/>
      <c r="R84" s="2"/>
      <c r="S84" s="2"/>
      <c r="T84" s="2"/>
      <c r="U84" s="2"/>
      <c r="V84" s="2"/>
      <c r="W84" s="2"/>
      <c r="X84" s="2"/>
      <c r="Y84" s="38"/>
    </row>
    <row r="85" spans="2:25" ht="15.75" customHeight="1" x14ac:dyDescent="0.3">
      <c r="B85" s="2"/>
      <c r="C85" s="61" t="s">
        <v>224</v>
      </c>
      <c r="D85" s="62" t="s">
        <v>230</v>
      </c>
      <c r="E85" s="63" t="s">
        <v>231</v>
      </c>
      <c r="F85" s="64">
        <f>+'COMUNAS - HOME DELIVERY 2025'!F85*'COMUNAS - HOME DELIVERY 2025'!$Q$7</f>
        <v>3790.5360000000001</v>
      </c>
      <c r="G85" s="65">
        <f>+'COMUNAS - HOME DELIVERY 2025'!G85*'COMUNAS - HOME DELIVERY 2025'!$Q$7</f>
        <v>4010.3520000000003</v>
      </c>
      <c r="H85" s="65">
        <f>+'COMUNAS - HOME DELIVERY 2025'!H85*'COMUNAS - HOME DELIVERY 2025'!$Q$7</f>
        <v>4639.8720000000003</v>
      </c>
      <c r="I85" s="65">
        <f>+'COMUNAS - HOME DELIVERY 2025'!I85*'COMUNAS - HOME DELIVERY 2025'!$Q$7</f>
        <v>5397.3600000000006</v>
      </c>
      <c r="J85" s="65">
        <f>+'COMUNAS - HOME DELIVERY 2025'!J85*'COMUNAS - HOME DELIVERY 2025'!$Q$7</f>
        <v>6671.88</v>
      </c>
      <c r="K85" s="65">
        <f>+'COMUNAS - HOME DELIVERY 2025'!K85*'COMUNAS - HOME DELIVERY 2025'!$Q$7</f>
        <v>8017.6080000000002</v>
      </c>
      <c r="L85" s="65">
        <f>+'COMUNAS - HOME DELIVERY 2025'!L85*'COMUNAS - HOME DELIVERY 2025'!$Q$7</f>
        <v>9010.3919999999998</v>
      </c>
      <c r="M85" s="66">
        <f>+'COMUNAS - HOME DELIVERY 2025'!M85*'COMUNAS - HOME DELIVERY 2025'!$Q$7</f>
        <v>459.24</v>
      </c>
      <c r="N85" s="67">
        <f>+'COMUNAS - HOME DELIVERY 2025'!N85*'COMUNAS - HOME DELIVERY 2025'!$Q$7</f>
        <v>385.96800000000002</v>
      </c>
      <c r="O85" s="60"/>
      <c r="P85" s="2"/>
      <c r="Q85" s="2"/>
      <c r="R85" s="2"/>
      <c r="S85" s="2"/>
      <c r="T85" s="2"/>
      <c r="U85" s="2"/>
      <c r="V85" s="2"/>
      <c r="W85" s="2"/>
      <c r="X85" s="2"/>
      <c r="Y85" s="38"/>
    </row>
    <row r="86" spans="2:25" ht="15.75" customHeight="1" x14ac:dyDescent="0.3">
      <c r="B86" s="2"/>
      <c r="C86" s="61" t="s">
        <v>224</v>
      </c>
      <c r="D86" s="62" t="s">
        <v>232</v>
      </c>
      <c r="E86" s="63" t="s">
        <v>233</v>
      </c>
      <c r="F86" s="64">
        <f>+'COMUNAS - HOME DELIVERY 2025'!F86*'COMUNAS - HOME DELIVERY 2025'!$Q$7</f>
        <v>3703.848</v>
      </c>
      <c r="G86" s="65">
        <f>+'COMUNAS - HOME DELIVERY 2025'!G86*'COMUNAS - HOME DELIVERY 2025'!$Q$7</f>
        <v>3961.848</v>
      </c>
      <c r="H86" s="65">
        <f>+'COMUNAS - HOME DELIVERY 2025'!H86*'COMUNAS - HOME DELIVERY 2025'!$Q$7</f>
        <v>4496.424</v>
      </c>
      <c r="I86" s="65">
        <f>+'COMUNAS - HOME DELIVERY 2025'!I86*'COMUNAS - HOME DELIVERY 2025'!$Q$7</f>
        <v>5325.12</v>
      </c>
      <c r="J86" s="65">
        <f>+'COMUNAS - HOME DELIVERY 2025'!J86*'COMUNAS - HOME DELIVERY 2025'!$Q$7</f>
        <v>6616.152</v>
      </c>
      <c r="K86" s="65">
        <f>+'COMUNAS - HOME DELIVERY 2025'!K86*'COMUNAS - HOME DELIVERY 2025'!$Q$7</f>
        <v>7476.84</v>
      </c>
      <c r="L86" s="65">
        <f>+'COMUNAS - HOME DELIVERY 2025'!L86*'COMUNAS - HOME DELIVERY 2025'!$Q$7</f>
        <v>8391.1920000000009</v>
      </c>
      <c r="M86" s="66">
        <f>+'COMUNAS - HOME DELIVERY 2025'!M86*'COMUNAS - HOME DELIVERY 2025'!$Q$7</f>
        <v>423.12</v>
      </c>
      <c r="N86" s="67">
        <f>+'COMUNAS - HOME DELIVERY 2025'!N86*'COMUNAS - HOME DELIVERY 2025'!$Q$7</f>
        <v>350.88</v>
      </c>
      <c r="O86" s="60"/>
      <c r="P86" s="2"/>
      <c r="Q86" s="2"/>
      <c r="R86" s="2"/>
      <c r="S86" s="2"/>
      <c r="T86" s="2"/>
      <c r="U86" s="2"/>
      <c r="V86" s="2"/>
      <c r="W86" s="2"/>
      <c r="X86" s="2"/>
      <c r="Y86" s="38"/>
    </row>
    <row r="87" spans="2:25" ht="15.75" customHeight="1" x14ac:dyDescent="0.3">
      <c r="B87" s="2"/>
      <c r="C87" s="61" t="s">
        <v>224</v>
      </c>
      <c r="D87" s="62" t="s">
        <v>234</v>
      </c>
      <c r="E87" s="63" t="s">
        <v>235</v>
      </c>
      <c r="F87" s="64">
        <f>+'COMUNAS - HOME DELIVERY 2025'!F87*'COMUNAS - HOME DELIVERY 2025'!$Q$7</f>
        <v>3703.848</v>
      </c>
      <c r="G87" s="65">
        <f>+'COMUNAS - HOME DELIVERY 2025'!G87*'COMUNAS - HOME DELIVERY 2025'!$Q$7</f>
        <v>3961.848</v>
      </c>
      <c r="H87" s="65">
        <f>+'COMUNAS - HOME DELIVERY 2025'!H87*'COMUNAS - HOME DELIVERY 2025'!$Q$7</f>
        <v>4496.424</v>
      </c>
      <c r="I87" s="65">
        <f>+'COMUNAS - HOME DELIVERY 2025'!I87*'COMUNAS - HOME DELIVERY 2025'!$Q$7</f>
        <v>5325.12</v>
      </c>
      <c r="J87" s="65">
        <f>+'COMUNAS - HOME DELIVERY 2025'!J87*'COMUNAS - HOME DELIVERY 2025'!$Q$7</f>
        <v>6616.152</v>
      </c>
      <c r="K87" s="65">
        <f>+'COMUNAS - HOME DELIVERY 2025'!K87*'COMUNAS - HOME DELIVERY 2025'!$Q$7</f>
        <v>7476.84</v>
      </c>
      <c r="L87" s="65">
        <f>+'COMUNAS - HOME DELIVERY 2025'!L87*'COMUNAS - HOME DELIVERY 2025'!$Q$7</f>
        <v>8391.1920000000009</v>
      </c>
      <c r="M87" s="66">
        <f>+'COMUNAS - HOME DELIVERY 2025'!M87*'COMUNAS - HOME DELIVERY 2025'!$Q$7</f>
        <v>423.12</v>
      </c>
      <c r="N87" s="67">
        <f>+'COMUNAS - HOME DELIVERY 2025'!N87*'COMUNAS - HOME DELIVERY 2025'!$Q$7</f>
        <v>350.88</v>
      </c>
      <c r="O87" s="60"/>
      <c r="P87" s="2"/>
      <c r="Q87" s="2"/>
      <c r="R87" s="2"/>
      <c r="S87" s="2"/>
      <c r="T87" s="2"/>
      <c r="U87" s="2"/>
      <c r="V87" s="2"/>
      <c r="W87" s="2"/>
      <c r="X87" s="2"/>
      <c r="Y87" s="38"/>
    </row>
    <row r="88" spans="2:25" ht="15.75" customHeight="1" x14ac:dyDescent="0.3">
      <c r="B88" s="2"/>
      <c r="C88" s="61" t="s">
        <v>224</v>
      </c>
      <c r="D88" s="62" t="s">
        <v>236</v>
      </c>
      <c r="E88" s="63" t="s">
        <v>237</v>
      </c>
      <c r="F88" s="64">
        <f>+'COMUNAS - HOME DELIVERY 2025'!F88*'COMUNAS - HOME DELIVERY 2025'!$Q$7</f>
        <v>3790.5360000000001</v>
      </c>
      <c r="G88" s="65">
        <f>+'COMUNAS - HOME DELIVERY 2025'!G88*'COMUNAS - HOME DELIVERY 2025'!$Q$7</f>
        <v>4010.3520000000003</v>
      </c>
      <c r="H88" s="65">
        <f>+'COMUNAS - HOME DELIVERY 2025'!H88*'COMUNAS - HOME DELIVERY 2025'!$Q$7</f>
        <v>4639.8720000000003</v>
      </c>
      <c r="I88" s="65">
        <f>+'COMUNAS - HOME DELIVERY 2025'!I88*'COMUNAS - HOME DELIVERY 2025'!$Q$7</f>
        <v>5397.3600000000006</v>
      </c>
      <c r="J88" s="65">
        <f>+'COMUNAS - HOME DELIVERY 2025'!J88*'COMUNAS - HOME DELIVERY 2025'!$Q$7</f>
        <v>6671.88</v>
      </c>
      <c r="K88" s="65">
        <f>+'COMUNAS - HOME DELIVERY 2025'!K88*'COMUNAS - HOME DELIVERY 2025'!$Q$7</f>
        <v>8017.6080000000002</v>
      </c>
      <c r="L88" s="65">
        <f>+'COMUNAS - HOME DELIVERY 2025'!L88*'COMUNAS - HOME DELIVERY 2025'!$Q$7</f>
        <v>9010.3919999999998</v>
      </c>
      <c r="M88" s="66">
        <f>+'COMUNAS - HOME DELIVERY 2025'!M88*'COMUNAS - HOME DELIVERY 2025'!$Q$7</f>
        <v>459.24</v>
      </c>
      <c r="N88" s="67">
        <f>+'COMUNAS - HOME DELIVERY 2025'!N88*'COMUNAS - HOME DELIVERY 2025'!$Q$7</f>
        <v>385.96800000000002</v>
      </c>
      <c r="O88" s="60"/>
      <c r="P88" s="2"/>
      <c r="Q88" s="2"/>
      <c r="R88" s="2"/>
      <c r="S88" s="2"/>
      <c r="T88" s="2"/>
      <c r="U88" s="2"/>
      <c r="V88" s="2"/>
      <c r="W88" s="2"/>
      <c r="X88" s="2"/>
      <c r="Y88" s="38"/>
    </row>
    <row r="89" spans="2:25" ht="15.75" customHeight="1" x14ac:dyDescent="0.3">
      <c r="B89" s="2"/>
      <c r="C89" s="61" t="s">
        <v>224</v>
      </c>
      <c r="D89" s="62" t="s">
        <v>238</v>
      </c>
      <c r="E89" s="63" t="s">
        <v>239</v>
      </c>
      <c r="F89" s="64">
        <f>+'COMUNAS - HOME DELIVERY 2025'!F89*'COMUNAS - HOME DELIVERY 2025'!$Q$7</f>
        <v>3703.848</v>
      </c>
      <c r="G89" s="65">
        <f>+'COMUNAS - HOME DELIVERY 2025'!G89*'COMUNAS - HOME DELIVERY 2025'!$Q$7</f>
        <v>3961.848</v>
      </c>
      <c r="H89" s="65">
        <f>+'COMUNAS - HOME DELIVERY 2025'!H89*'COMUNAS - HOME DELIVERY 2025'!$Q$7</f>
        <v>4496.424</v>
      </c>
      <c r="I89" s="65">
        <f>+'COMUNAS - HOME DELIVERY 2025'!I89*'COMUNAS - HOME DELIVERY 2025'!$Q$7</f>
        <v>5325.12</v>
      </c>
      <c r="J89" s="65">
        <f>+'COMUNAS - HOME DELIVERY 2025'!J89*'COMUNAS - HOME DELIVERY 2025'!$Q$7</f>
        <v>6616.152</v>
      </c>
      <c r="K89" s="65">
        <f>+'COMUNAS - HOME DELIVERY 2025'!K89*'COMUNAS - HOME DELIVERY 2025'!$Q$7</f>
        <v>7476.84</v>
      </c>
      <c r="L89" s="65">
        <f>+'COMUNAS - HOME DELIVERY 2025'!L89*'COMUNAS - HOME DELIVERY 2025'!$Q$7</f>
        <v>8391.1920000000009</v>
      </c>
      <c r="M89" s="66">
        <f>+'COMUNAS - HOME DELIVERY 2025'!M89*'COMUNAS - HOME DELIVERY 2025'!$Q$7</f>
        <v>423.12</v>
      </c>
      <c r="N89" s="67">
        <f>+'COMUNAS - HOME DELIVERY 2025'!N89*'COMUNAS - HOME DELIVERY 2025'!$Q$7</f>
        <v>350.88</v>
      </c>
      <c r="O89" s="60"/>
      <c r="P89" s="2"/>
      <c r="Q89" s="2"/>
      <c r="R89" s="2"/>
      <c r="S89" s="2"/>
      <c r="T89" s="2"/>
      <c r="U89" s="2"/>
      <c r="V89" s="2"/>
      <c r="W89" s="2"/>
      <c r="X89" s="2"/>
      <c r="Y89" s="38"/>
    </row>
    <row r="90" spans="2:25" ht="15.75" customHeight="1" x14ac:dyDescent="0.3">
      <c r="B90" s="2"/>
      <c r="C90" s="61" t="s">
        <v>224</v>
      </c>
      <c r="D90" s="62" t="s">
        <v>240</v>
      </c>
      <c r="E90" s="63" t="s">
        <v>241</v>
      </c>
      <c r="F90" s="64">
        <f>+'COMUNAS - HOME DELIVERY 2025'!F90*'COMUNAS - HOME DELIVERY 2025'!$Q$7</f>
        <v>3703.848</v>
      </c>
      <c r="G90" s="65">
        <f>+'COMUNAS - HOME DELIVERY 2025'!G90*'COMUNAS - HOME DELIVERY 2025'!$Q$7</f>
        <v>3961.848</v>
      </c>
      <c r="H90" s="65">
        <f>+'COMUNAS - HOME DELIVERY 2025'!H90*'COMUNAS - HOME DELIVERY 2025'!$Q$7</f>
        <v>4496.424</v>
      </c>
      <c r="I90" s="65">
        <f>+'COMUNAS - HOME DELIVERY 2025'!I90*'COMUNAS - HOME DELIVERY 2025'!$Q$7</f>
        <v>5325.12</v>
      </c>
      <c r="J90" s="65">
        <f>+'COMUNAS - HOME DELIVERY 2025'!J90*'COMUNAS - HOME DELIVERY 2025'!$Q$7</f>
        <v>6616.152</v>
      </c>
      <c r="K90" s="65">
        <f>+'COMUNAS - HOME DELIVERY 2025'!K90*'COMUNAS - HOME DELIVERY 2025'!$Q$7</f>
        <v>7476.84</v>
      </c>
      <c r="L90" s="65">
        <f>+'COMUNAS - HOME DELIVERY 2025'!L90*'COMUNAS - HOME DELIVERY 2025'!$Q$7</f>
        <v>8391.1920000000009</v>
      </c>
      <c r="M90" s="66">
        <f>+'COMUNAS - HOME DELIVERY 2025'!M90*'COMUNAS - HOME DELIVERY 2025'!$Q$7</f>
        <v>423.12</v>
      </c>
      <c r="N90" s="67">
        <f>+'COMUNAS - HOME DELIVERY 2025'!N90*'COMUNAS - HOME DELIVERY 2025'!$Q$7</f>
        <v>350.88</v>
      </c>
      <c r="O90" s="60"/>
      <c r="P90" s="2"/>
      <c r="Q90" s="2"/>
      <c r="R90" s="2"/>
      <c r="S90" s="2"/>
      <c r="T90" s="2"/>
      <c r="U90" s="2"/>
      <c r="V90" s="2"/>
      <c r="W90" s="2"/>
      <c r="X90" s="2"/>
      <c r="Y90" s="38"/>
    </row>
    <row r="91" spans="2:25" ht="15.75" customHeight="1" x14ac:dyDescent="0.3">
      <c r="B91" s="2"/>
      <c r="C91" s="61" t="s">
        <v>224</v>
      </c>
      <c r="D91" s="62" t="s">
        <v>242</v>
      </c>
      <c r="E91" s="63" t="s">
        <v>243</v>
      </c>
      <c r="F91" s="64">
        <f>+'COMUNAS - HOME DELIVERY 2025'!F91*'COMUNAS - HOME DELIVERY 2025'!$Q$7</f>
        <v>3703.848</v>
      </c>
      <c r="G91" s="65">
        <f>+'COMUNAS - HOME DELIVERY 2025'!G91*'COMUNAS - HOME DELIVERY 2025'!$Q$7</f>
        <v>3961.848</v>
      </c>
      <c r="H91" s="65">
        <f>+'COMUNAS - HOME DELIVERY 2025'!H91*'COMUNAS - HOME DELIVERY 2025'!$Q$7</f>
        <v>4496.424</v>
      </c>
      <c r="I91" s="65">
        <f>+'COMUNAS - HOME DELIVERY 2025'!I91*'COMUNAS - HOME DELIVERY 2025'!$Q$7</f>
        <v>5325.12</v>
      </c>
      <c r="J91" s="65">
        <f>+'COMUNAS - HOME DELIVERY 2025'!J91*'COMUNAS - HOME DELIVERY 2025'!$Q$7</f>
        <v>6616.152</v>
      </c>
      <c r="K91" s="65">
        <f>+'COMUNAS - HOME DELIVERY 2025'!K91*'COMUNAS - HOME DELIVERY 2025'!$Q$7</f>
        <v>7476.84</v>
      </c>
      <c r="L91" s="65">
        <f>+'COMUNAS - HOME DELIVERY 2025'!L91*'COMUNAS - HOME DELIVERY 2025'!$Q$7</f>
        <v>8391.1920000000009</v>
      </c>
      <c r="M91" s="66">
        <f>+'COMUNAS - HOME DELIVERY 2025'!M91*'COMUNAS - HOME DELIVERY 2025'!$Q$7</f>
        <v>423.12</v>
      </c>
      <c r="N91" s="67">
        <f>+'COMUNAS - HOME DELIVERY 2025'!N91*'COMUNAS - HOME DELIVERY 2025'!$Q$7</f>
        <v>350.88</v>
      </c>
      <c r="O91" s="60"/>
      <c r="P91" s="2"/>
      <c r="Q91" s="2"/>
      <c r="R91" s="2"/>
      <c r="S91" s="2"/>
      <c r="T91" s="2"/>
      <c r="U91" s="2"/>
      <c r="V91" s="2"/>
      <c r="W91" s="2"/>
      <c r="X91" s="2"/>
      <c r="Y91" s="38"/>
    </row>
    <row r="92" spans="2:25" ht="15.75" customHeight="1" x14ac:dyDescent="0.3">
      <c r="B92" s="2"/>
      <c r="C92" s="61" t="s">
        <v>224</v>
      </c>
      <c r="D92" s="62" t="s">
        <v>244</v>
      </c>
      <c r="E92" s="63" t="s">
        <v>245</v>
      </c>
      <c r="F92" s="64">
        <f>+'COMUNAS - HOME DELIVERY 2025'!F92*'COMUNAS - HOME DELIVERY 2025'!$Q$7</f>
        <v>3828.7200000000003</v>
      </c>
      <c r="G92" s="65">
        <f>+'COMUNAS - HOME DELIVERY 2025'!G92*'COMUNAS - HOME DELIVERY 2025'!$Q$7</f>
        <v>4050.6</v>
      </c>
      <c r="H92" s="65">
        <f>+'COMUNAS - HOME DELIVERY 2025'!H92*'COMUNAS - HOME DELIVERY 2025'!$Q$7</f>
        <v>4687.3440000000001</v>
      </c>
      <c r="I92" s="65">
        <f>+'COMUNAS - HOME DELIVERY 2025'!I92*'COMUNAS - HOME DELIVERY 2025'!$Q$7</f>
        <v>5451.0240000000003</v>
      </c>
      <c r="J92" s="65">
        <f>+'COMUNAS - HOME DELIVERY 2025'!J92*'COMUNAS - HOME DELIVERY 2025'!$Q$7</f>
        <v>6737.9279999999999</v>
      </c>
      <c r="K92" s="65">
        <f>+'COMUNAS - HOME DELIVERY 2025'!K92*'COMUNAS - HOME DELIVERY 2025'!$Q$7</f>
        <v>8098.1040000000003</v>
      </c>
      <c r="L92" s="65">
        <f>+'COMUNAS - HOME DELIVERY 2025'!L92*'COMUNAS - HOME DELIVERY 2025'!$Q$7</f>
        <v>9096.0480000000007</v>
      </c>
      <c r="M92" s="66">
        <f>+'COMUNAS - HOME DELIVERY 2025'!M92*'COMUNAS - HOME DELIVERY 2025'!$Q$7</f>
        <v>461.30400000000003</v>
      </c>
      <c r="N92" s="67">
        <f>+'COMUNAS - HOME DELIVERY 2025'!N92*'COMUNAS - HOME DELIVERY 2025'!$Q$7</f>
        <v>388.03200000000004</v>
      </c>
      <c r="O92" s="60"/>
      <c r="P92" s="2"/>
      <c r="Q92" s="2"/>
      <c r="R92" s="2"/>
      <c r="S92" s="2"/>
      <c r="T92" s="2"/>
      <c r="U92" s="2"/>
      <c r="V92" s="2"/>
      <c r="W92" s="2"/>
      <c r="X92" s="2"/>
      <c r="Y92" s="38"/>
    </row>
    <row r="93" spans="2:25" ht="15.75" customHeight="1" x14ac:dyDescent="0.3">
      <c r="B93" s="2"/>
      <c r="C93" s="61" t="s">
        <v>224</v>
      </c>
      <c r="D93" s="62" t="s">
        <v>246</v>
      </c>
      <c r="E93" s="63" t="s">
        <v>247</v>
      </c>
      <c r="F93" s="64">
        <f>+'COMUNAS - HOME DELIVERY 2025'!F93*'COMUNAS - HOME DELIVERY 2025'!$Q$7</f>
        <v>20018.736000000001</v>
      </c>
      <c r="G93" s="65">
        <f>+'COMUNAS - HOME DELIVERY 2025'!G93*'COMUNAS - HOME DELIVERY 2025'!$Q$7</f>
        <v>20187.468000000001</v>
      </c>
      <c r="H93" s="65">
        <f>+'COMUNAS - HOME DELIVERY 2025'!H93*'COMUNAS - HOME DELIVERY 2025'!$Q$7</f>
        <v>20490.876</v>
      </c>
      <c r="I93" s="65">
        <f>+'COMUNAS - HOME DELIVERY 2025'!I93*'COMUNAS - HOME DELIVERY 2025'!$Q$7</f>
        <v>20935.152000000002</v>
      </c>
      <c r="J93" s="65">
        <f>+'COMUNAS - HOME DELIVERY 2025'!J93*'COMUNAS - HOME DELIVERY 2025'!$Q$7</f>
        <v>21797.387999999999</v>
      </c>
      <c r="K93" s="65">
        <f>+'COMUNAS - HOME DELIVERY 2025'!K93*'COMUNAS - HOME DELIVERY 2025'!$Q$7</f>
        <v>22351.572</v>
      </c>
      <c r="L93" s="65">
        <f>+'COMUNAS - HOME DELIVERY 2025'!L93*'COMUNAS - HOME DELIVERY 2025'!$Q$7</f>
        <v>23524.956000000002</v>
      </c>
      <c r="M93" s="66">
        <f>+'COMUNAS - HOME DELIVERY 2025'!M93*'COMUNAS - HOME DELIVERY 2025'!$Q$7</f>
        <v>464.40000000000003</v>
      </c>
      <c r="N93" s="67">
        <f>+'COMUNAS - HOME DELIVERY 2025'!N93*'COMUNAS - HOME DELIVERY 2025'!$Q$7</f>
        <v>354.49200000000002</v>
      </c>
      <c r="O93" s="60"/>
      <c r="P93" s="2"/>
      <c r="Q93" s="2"/>
      <c r="R93" s="2"/>
      <c r="S93" s="2"/>
      <c r="T93" s="2"/>
      <c r="U93" s="2"/>
      <c r="V93" s="2"/>
      <c r="W93" s="2"/>
      <c r="X93" s="2"/>
      <c r="Y93" s="38"/>
    </row>
    <row r="94" spans="2:25" ht="15.75" customHeight="1" x14ac:dyDescent="0.3">
      <c r="B94" s="2"/>
      <c r="C94" s="61" t="s">
        <v>224</v>
      </c>
      <c r="D94" s="62" t="s">
        <v>248</v>
      </c>
      <c r="E94" s="63" t="s">
        <v>249</v>
      </c>
      <c r="F94" s="64">
        <f>+'COMUNAS - HOME DELIVERY 2025'!F94*'COMUNAS - HOME DELIVERY 2025'!$Q$7</f>
        <v>20018.736000000001</v>
      </c>
      <c r="G94" s="65">
        <f>+'COMUNAS - HOME DELIVERY 2025'!G94*'COMUNAS - HOME DELIVERY 2025'!$Q$7</f>
        <v>20187.468000000001</v>
      </c>
      <c r="H94" s="65">
        <f>+'COMUNAS - HOME DELIVERY 2025'!H94*'COMUNAS - HOME DELIVERY 2025'!$Q$7</f>
        <v>20490.876</v>
      </c>
      <c r="I94" s="65">
        <f>+'COMUNAS - HOME DELIVERY 2025'!I94*'COMUNAS - HOME DELIVERY 2025'!$Q$7</f>
        <v>20935.152000000002</v>
      </c>
      <c r="J94" s="65">
        <f>+'COMUNAS - HOME DELIVERY 2025'!J94*'COMUNAS - HOME DELIVERY 2025'!$Q$7</f>
        <v>21797.387999999999</v>
      </c>
      <c r="K94" s="65">
        <f>+'COMUNAS - HOME DELIVERY 2025'!K94*'COMUNAS - HOME DELIVERY 2025'!$Q$7</f>
        <v>22351.572</v>
      </c>
      <c r="L94" s="65">
        <f>+'COMUNAS - HOME DELIVERY 2025'!L94*'COMUNAS - HOME DELIVERY 2025'!$Q$7</f>
        <v>23524.956000000002</v>
      </c>
      <c r="M94" s="66">
        <f>+'COMUNAS - HOME DELIVERY 2025'!M94*'COMUNAS - HOME DELIVERY 2025'!$Q$7</f>
        <v>464.40000000000003</v>
      </c>
      <c r="N94" s="67">
        <f>+'COMUNAS - HOME DELIVERY 2025'!N94*'COMUNAS - HOME DELIVERY 2025'!$Q$7</f>
        <v>354.49200000000002</v>
      </c>
      <c r="O94" s="60"/>
      <c r="P94" s="2"/>
      <c r="Q94" s="2"/>
      <c r="R94" s="2"/>
      <c r="S94" s="2"/>
      <c r="T94" s="2"/>
      <c r="U94" s="2"/>
      <c r="V94" s="2"/>
      <c r="W94" s="2"/>
      <c r="X94" s="2"/>
      <c r="Y94" s="38"/>
    </row>
    <row r="95" spans="2:25" ht="15.75" customHeight="1" x14ac:dyDescent="0.3">
      <c r="B95" s="2"/>
      <c r="C95" s="61" t="s">
        <v>224</v>
      </c>
      <c r="D95" s="62" t="s">
        <v>250</v>
      </c>
      <c r="E95" s="63" t="s">
        <v>251</v>
      </c>
      <c r="F95" s="64">
        <f>+'COMUNAS - HOME DELIVERY 2025'!F95*'COMUNAS - HOME DELIVERY 2025'!$Q$7</f>
        <v>3828.7200000000003</v>
      </c>
      <c r="G95" s="65">
        <f>+'COMUNAS - HOME DELIVERY 2025'!G95*'COMUNAS - HOME DELIVERY 2025'!$Q$7</f>
        <v>4050.6</v>
      </c>
      <c r="H95" s="65">
        <f>+'COMUNAS - HOME DELIVERY 2025'!H95*'COMUNAS - HOME DELIVERY 2025'!$Q$7</f>
        <v>4687.3440000000001</v>
      </c>
      <c r="I95" s="65">
        <f>+'COMUNAS - HOME DELIVERY 2025'!I95*'COMUNAS - HOME DELIVERY 2025'!$Q$7</f>
        <v>5451.0240000000003</v>
      </c>
      <c r="J95" s="65">
        <f>+'COMUNAS - HOME DELIVERY 2025'!J95*'COMUNAS - HOME DELIVERY 2025'!$Q$7</f>
        <v>6737.9279999999999</v>
      </c>
      <c r="K95" s="65">
        <f>+'COMUNAS - HOME DELIVERY 2025'!K95*'COMUNAS - HOME DELIVERY 2025'!$Q$7</f>
        <v>8098.1040000000003</v>
      </c>
      <c r="L95" s="65">
        <f>+'COMUNAS - HOME DELIVERY 2025'!L95*'COMUNAS - HOME DELIVERY 2025'!$Q$7</f>
        <v>9096.0480000000007</v>
      </c>
      <c r="M95" s="66">
        <f>+'COMUNAS - HOME DELIVERY 2025'!M95*'COMUNAS - HOME DELIVERY 2025'!$Q$7</f>
        <v>461.30400000000003</v>
      </c>
      <c r="N95" s="67">
        <f>+'COMUNAS - HOME DELIVERY 2025'!N95*'COMUNAS - HOME DELIVERY 2025'!$Q$7</f>
        <v>388.03200000000004</v>
      </c>
      <c r="O95" s="60"/>
      <c r="P95" s="2"/>
      <c r="Q95" s="2"/>
      <c r="R95" s="2"/>
      <c r="S95" s="2"/>
      <c r="T95" s="2"/>
      <c r="U95" s="2"/>
      <c r="V95" s="2"/>
      <c r="W95" s="2"/>
      <c r="X95" s="2"/>
      <c r="Y95" s="38"/>
    </row>
    <row r="96" spans="2:25" ht="15.75" customHeight="1" x14ac:dyDescent="0.3">
      <c r="B96" s="2"/>
      <c r="C96" s="61" t="s">
        <v>224</v>
      </c>
      <c r="D96" s="62" t="s">
        <v>252</v>
      </c>
      <c r="E96" s="63" t="s">
        <v>253</v>
      </c>
      <c r="F96" s="64">
        <f>+'COMUNAS - HOME DELIVERY 2025'!F96*'COMUNAS - HOME DELIVERY 2025'!$Q$7</f>
        <v>3828.7200000000003</v>
      </c>
      <c r="G96" s="65">
        <f>+'COMUNAS - HOME DELIVERY 2025'!G96*'COMUNAS - HOME DELIVERY 2025'!$Q$7</f>
        <v>4050.6</v>
      </c>
      <c r="H96" s="65">
        <f>+'COMUNAS - HOME DELIVERY 2025'!H96*'COMUNAS - HOME DELIVERY 2025'!$Q$7</f>
        <v>4687.3440000000001</v>
      </c>
      <c r="I96" s="65">
        <f>+'COMUNAS - HOME DELIVERY 2025'!I96*'COMUNAS - HOME DELIVERY 2025'!$Q$7</f>
        <v>5451.0240000000003</v>
      </c>
      <c r="J96" s="65">
        <f>+'COMUNAS - HOME DELIVERY 2025'!J96*'COMUNAS - HOME DELIVERY 2025'!$Q$7</f>
        <v>6737.9279999999999</v>
      </c>
      <c r="K96" s="65">
        <f>+'COMUNAS - HOME DELIVERY 2025'!K96*'COMUNAS - HOME DELIVERY 2025'!$Q$7</f>
        <v>8098.1040000000003</v>
      </c>
      <c r="L96" s="65">
        <f>+'COMUNAS - HOME DELIVERY 2025'!L96*'COMUNAS - HOME DELIVERY 2025'!$Q$7</f>
        <v>9096.0480000000007</v>
      </c>
      <c r="M96" s="66">
        <f>+'COMUNAS - HOME DELIVERY 2025'!M96*'COMUNAS - HOME DELIVERY 2025'!$Q$7</f>
        <v>461.30400000000003</v>
      </c>
      <c r="N96" s="67">
        <f>+'COMUNAS - HOME DELIVERY 2025'!N96*'COMUNAS - HOME DELIVERY 2025'!$Q$7</f>
        <v>388.03200000000004</v>
      </c>
      <c r="O96" s="60"/>
      <c r="P96" s="2"/>
      <c r="Q96" s="2"/>
      <c r="R96" s="2"/>
      <c r="S96" s="2"/>
      <c r="T96" s="2"/>
      <c r="U96" s="2"/>
      <c r="V96" s="2"/>
      <c r="W96" s="2"/>
      <c r="X96" s="2"/>
      <c r="Y96" s="38"/>
    </row>
    <row r="97" spans="2:25" ht="15.75" customHeight="1" x14ac:dyDescent="0.3">
      <c r="B97" s="2"/>
      <c r="C97" s="61" t="s">
        <v>224</v>
      </c>
      <c r="D97" s="62" t="s">
        <v>254</v>
      </c>
      <c r="E97" s="63" t="s">
        <v>255</v>
      </c>
      <c r="F97" s="64">
        <f>+'COMUNAS - HOME DELIVERY 2025'!F97*'COMUNAS - HOME DELIVERY 2025'!$Q$7</f>
        <v>3828.7200000000003</v>
      </c>
      <c r="G97" s="65">
        <f>+'COMUNAS - HOME DELIVERY 2025'!G97*'COMUNAS - HOME DELIVERY 2025'!$Q$7</f>
        <v>4050.6</v>
      </c>
      <c r="H97" s="65">
        <f>+'COMUNAS - HOME DELIVERY 2025'!H97*'COMUNAS - HOME DELIVERY 2025'!$Q$7</f>
        <v>4687.3440000000001</v>
      </c>
      <c r="I97" s="65">
        <f>+'COMUNAS - HOME DELIVERY 2025'!I97*'COMUNAS - HOME DELIVERY 2025'!$Q$7</f>
        <v>5451.0240000000003</v>
      </c>
      <c r="J97" s="65">
        <f>+'COMUNAS - HOME DELIVERY 2025'!J97*'COMUNAS - HOME DELIVERY 2025'!$Q$7</f>
        <v>6737.9279999999999</v>
      </c>
      <c r="K97" s="65">
        <f>+'COMUNAS - HOME DELIVERY 2025'!K97*'COMUNAS - HOME DELIVERY 2025'!$Q$7</f>
        <v>8098.1040000000003</v>
      </c>
      <c r="L97" s="65">
        <f>+'COMUNAS - HOME DELIVERY 2025'!L97*'COMUNAS - HOME DELIVERY 2025'!$Q$7</f>
        <v>9096.0480000000007</v>
      </c>
      <c r="M97" s="66">
        <f>+'COMUNAS - HOME DELIVERY 2025'!M97*'COMUNAS - HOME DELIVERY 2025'!$Q$7</f>
        <v>461.30400000000003</v>
      </c>
      <c r="N97" s="67">
        <f>+'COMUNAS - HOME DELIVERY 2025'!N97*'COMUNAS - HOME DELIVERY 2025'!$Q$7</f>
        <v>388.03200000000004</v>
      </c>
      <c r="O97" s="60"/>
      <c r="P97" s="2"/>
      <c r="Q97" s="2"/>
      <c r="R97" s="2"/>
      <c r="S97" s="2"/>
      <c r="T97" s="2"/>
      <c r="U97" s="2"/>
      <c r="V97" s="2"/>
      <c r="W97" s="2"/>
      <c r="X97" s="2"/>
      <c r="Y97" s="38"/>
    </row>
    <row r="98" spans="2:25" ht="15.75" customHeight="1" x14ac:dyDescent="0.3">
      <c r="B98" s="2"/>
      <c r="C98" s="61" t="s">
        <v>224</v>
      </c>
      <c r="D98" s="62" t="s">
        <v>256</v>
      </c>
      <c r="E98" s="63" t="s">
        <v>257</v>
      </c>
      <c r="F98" s="64">
        <f>+'COMUNAS - HOME DELIVERY 2025'!F98*'COMUNAS - HOME DELIVERY 2025'!$Q$7</f>
        <v>3828.7200000000003</v>
      </c>
      <c r="G98" s="65">
        <f>+'COMUNAS - HOME DELIVERY 2025'!G98*'COMUNAS - HOME DELIVERY 2025'!$Q$7</f>
        <v>4050.6</v>
      </c>
      <c r="H98" s="65">
        <f>+'COMUNAS - HOME DELIVERY 2025'!H98*'COMUNAS - HOME DELIVERY 2025'!$Q$7</f>
        <v>4687.3440000000001</v>
      </c>
      <c r="I98" s="65">
        <f>+'COMUNAS - HOME DELIVERY 2025'!I98*'COMUNAS - HOME DELIVERY 2025'!$Q$7</f>
        <v>5451.0240000000003</v>
      </c>
      <c r="J98" s="65">
        <f>+'COMUNAS - HOME DELIVERY 2025'!J98*'COMUNAS - HOME DELIVERY 2025'!$Q$7</f>
        <v>6737.9279999999999</v>
      </c>
      <c r="K98" s="65">
        <f>+'COMUNAS - HOME DELIVERY 2025'!K98*'COMUNAS - HOME DELIVERY 2025'!$Q$7</f>
        <v>8098.1040000000003</v>
      </c>
      <c r="L98" s="65">
        <f>+'COMUNAS - HOME DELIVERY 2025'!L98*'COMUNAS - HOME DELIVERY 2025'!$Q$7</f>
        <v>9096.0480000000007</v>
      </c>
      <c r="M98" s="66">
        <f>+'COMUNAS - HOME DELIVERY 2025'!M98*'COMUNAS - HOME DELIVERY 2025'!$Q$7</f>
        <v>461.30400000000003</v>
      </c>
      <c r="N98" s="67">
        <f>+'COMUNAS - HOME DELIVERY 2025'!N98*'COMUNAS - HOME DELIVERY 2025'!$Q$7</f>
        <v>388.03200000000004</v>
      </c>
      <c r="O98" s="60"/>
      <c r="P98" s="2"/>
      <c r="Q98" s="2"/>
      <c r="R98" s="2"/>
      <c r="S98" s="2"/>
      <c r="T98" s="2"/>
      <c r="U98" s="2"/>
      <c r="V98" s="2"/>
      <c r="W98" s="2"/>
      <c r="X98" s="2"/>
      <c r="Y98" s="38"/>
    </row>
    <row r="99" spans="2:25" ht="15.75" customHeight="1" x14ac:dyDescent="0.3">
      <c r="B99" s="2"/>
      <c r="C99" s="61" t="s">
        <v>224</v>
      </c>
      <c r="D99" s="62" t="s">
        <v>258</v>
      </c>
      <c r="E99" s="63" t="s">
        <v>259</v>
      </c>
      <c r="F99" s="64">
        <f>+'COMUNAS - HOME DELIVERY 2025'!F99*'COMUNAS - HOME DELIVERY 2025'!$Q$7</f>
        <v>3790.5360000000001</v>
      </c>
      <c r="G99" s="65">
        <f>+'COMUNAS - HOME DELIVERY 2025'!G99*'COMUNAS - HOME DELIVERY 2025'!$Q$7</f>
        <v>4010.3520000000003</v>
      </c>
      <c r="H99" s="65">
        <f>+'COMUNAS - HOME DELIVERY 2025'!H99*'COMUNAS - HOME DELIVERY 2025'!$Q$7</f>
        <v>4639.8720000000003</v>
      </c>
      <c r="I99" s="65">
        <f>+'COMUNAS - HOME DELIVERY 2025'!I99*'COMUNAS - HOME DELIVERY 2025'!$Q$7</f>
        <v>5397.3600000000006</v>
      </c>
      <c r="J99" s="65">
        <f>+'COMUNAS - HOME DELIVERY 2025'!J99*'COMUNAS - HOME DELIVERY 2025'!$Q$7</f>
        <v>6671.88</v>
      </c>
      <c r="K99" s="65">
        <f>+'COMUNAS - HOME DELIVERY 2025'!K99*'COMUNAS - HOME DELIVERY 2025'!$Q$7</f>
        <v>8017.6080000000002</v>
      </c>
      <c r="L99" s="65">
        <f>+'COMUNAS - HOME DELIVERY 2025'!L99*'COMUNAS - HOME DELIVERY 2025'!$Q$7</f>
        <v>9010.3919999999998</v>
      </c>
      <c r="M99" s="66">
        <f>+'COMUNAS - HOME DELIVERY 2025'!M99*'COMUNAS - HOME DELIVERY 2025'!$Q$7</f>
        <v>459.24</v>
      </c>
      <c r="N99" s="67">
        <f>+'COMUNAS - HOME DELIVERY 2025'!N99*'COMUNAS - HOME DELIVERY 2025'!$Q$7</f>
        <v>385.96800000000002</v>
      </c>
      <c r="O99" s="60"/>
      <c r="P99" s="2"/>
      <c r="Q99" s="2"/>
      <c r="R99" s="2"/>
      <c r="S99" s="2"/>
      <c r="T99" s="2"/>
      <c r="U99" s="2"/>
      <c r="V99" s="2"/>
      <c r="W99" s="2"/>
      <c r="X99" s="2"/>
      <c r="Y99" s="38"/>
    </row>
    <row r="100" spans="2:25" ht="15.75" customHeight="1" x14ac:dyDescent="0.3">
      <c r="B100" s="2"/>
      <c r="C100" s="61" t="s">
        <v>224</v>
      </c>
      <c r="D100" s="62" t="s">
        <v>260</v>
      </c>
      <c r="E100" s="63" t="s">
        <v>28</v>
      </c>
      <c r="F100" s="64">
        <f>+'COMUNAS - HOME DELIVERY 2025'!F100*'COMUNAS - HOME DELIVERY 2025'!$Q$7</f>
        <v>3790.5360000000001</v>
      </c>
      <c r="G100" s="65">
        <f>+'COMUNAS - HOME DELIVERY 2025'!G100*'COMUNAS - HOME DELIVERY 2025'!$Q$7</f>
        <v>4010.3520000000003</v>
      </c>
      <c r="H100" s="65">
        <f>+'COMUNAS - HOME DELIVERY 2025'!H100*'COMUNAS - HOME DELIVERY 2025'!$Q$7</f>
        <v>4639.8720000000003</v>
      </c>
      <c r="I100" s="65">
        <f>+'COMUNAS - HOME DELIVERY 2025'!I100*'COMUNAS - HOME DELIVERY 2025'!$Q$7</f>
        <v>5397.3600000000006</v>
      </c>
      <c r="J100" s="65">
        <f>+'COMUNAS - HOME DELIVERY 2025'!J100*'COMUNAS - HOME DELIVERY 2025'!$Q$7</f>
        <v>6671.88</v>
      </c>
      <c r="K100" s="65">
        <f>+'COMUNAS - HOME DELIVERY 2025'!K100*'COMUNAS - HOME DELIVERY 2025'!$Q$7</f>
        <v>8017.6080000000002</v>
      </c>
      <c r="L100" s="65">
        <f>+'COMUNAS - HOME DELIVERY 2025'!L100*'COMUNAS - HOME DELIVERY 2025'!$Q$7</f>
        <v>9010.3919999999998</v>
      </c>
      <c r="M100" s="66">
        <f>+'COMUNAS - HOME DELIVERY 2025'!M100*'COMUNAS - HOME DELIVERY 2025'!$Q$7</f>
        <v>459.24</v>
      </c>
      <c r="N100" s="67">
        <f>+'COMUNAS - HOME DELIVERY 2025'!N100*'COMUNAS - HOME DELIVERY 2025'!$Q$7</f>
        <v>385.96800000000002</v>
      </c>
      <c r="O100" s="60"/>
      <c r="P100" s="2"/>
      <c r="Q100" s="2"/>
      <c r="R100" s="2"/>
      <c r="S100" s="2"/>
      <c r="T100" s="2"/>
      <c r="U100" s="2"/>
      <c r="V100" s="2"/>
      <c r="W100" s="2"/>
      <c r="X100" s="2"/>
      <c r="Y100" s="38"/>
    </row>
    <row r="101" spans="2:25" ht="15.75" customHeight="1" x14ac:dyDescent="0.3">
      <c r="B101" s="2"/>
      <c r="C101" s="61" t="s">
        <v>224</v>
      </c>
      <c r="D101" s="62" t="s">
        <v>261</v>
      </c>
      <c r="E101" s="63" t="s">
        <v>262</v>
      </c>
      <c r="F101" s="64">
        <f>+'COMUNAS - HOME DELIVERY 2025'!F101*'COMUNAS - HOME DELIVERY 2025'!$Q$7</f>
        <v>3828.7200000000003</v>
      </c>
      <c r="G101" s="65">
        <f>+'COMUNAS - HOME DELIVERY 2025'!G101*'COMUNAS - HOME DELIVERY 2025'!$Q$7</f>
        <v>4050.6</v>
      </c>
      <c r="H101" s="65">
        <f>+'COMUNAS - HOME DELIVERY 2025'!H101*'COMUNAS - HOME DELIVERY 2025'!$Q$7</f>
        <v>4687.3440000000001</v>
      </c>
      <c r="I101" s="65">
        <f>+'COMUNAS - HOME DELIVERY 2025'!I101*'COMUNAS - HOME DELIVERY 2025'!$Q$7</f>
        <v>5451.0240000000003</v>
      </c>
      <c r="J101" s="65">
        <f>+'COMUNAS - HOME DELIVERY 2025'!J101*'COMUNAS - HOME DELIVERY 2025'!$Q$7</f>
        <v>6737.9279999999999</v>
      </c>
      <c r="K101" s="65">
        <f>+'COMUNAS - HOME DELIVERY 2025'!K101*'COMUNAS - HOME DELIVERY 2025'!$Q$7</f>
        <v>8098.1040000000003</v>
      </c>
      <c r="L101" s="65">
        <f>+'COMUNAS - HOME DELIVERY 2025'!L101*'COMUNAS - HOME DELIVERY 2025'!$Q$7</f>
        <v>9096.0480000000007</v>
      </c>
      <c r="M101" s="66">
        <f>+'COMUNAS - HOME DELIVERY 2025'!M101*'COMUNAS - HOME DELIVERY 2025'!$Q$7</f>
        <v>461.30400000000003</v>
      </c>
      <c r="N101" s="67">
        <f>+'COMUNAS - HOME DELIVERY 2025'!N101*'COMUNAS - HOME DELIVERY 2025'!$Q$7</f>
        <v>388.03200000000004</v>
      </c>
      <c r="O101" s="60"/>
      <c r="P101" s="2"/>
      <c r="Q101" s="2"/>
      <c r="R101" s="2"/>
      <c r="S101" s="2"/>
      <c r="T101" s="2"/>
      <c r="U101" s="2"/>
      <c r="V101" s="2"/>
      <c r="W101" s="2"/>
      <c r="X101" s="2"/>
      <c r="Y101" s="38"/>
    </row>
    <row r="102" spans="2:25" ht="15.75" customHeight="1" x14ac:dyDescent="0.3">
      <c r="B102" s="2"/>
      <c r="C102" s="61" t="s">
        <v>224</v>
      </c>
      <c r="D102" s="62" t="s">
        <v>263</v>
      </c>
      <c r="E102" s="63" t="s">
        <v>264</v>
      </c>
      <c r="F102" s="64">
        <f>+'COMUNAS - HOME DELIVERY 2025'!F102*'COMUNAS - HOME DELIVERY 2025'!$Q$7</f>
        <v>3828.7200000000003</v>
      </c>
      <c r="G102" s="65">
        <f>+'COMUNAS - HOME DELIVERY 2025'!G102*'COMUNAS - HOME DELIVERY 2025'!$Q$7</f>
        <v>4050.6</v>
      </c>
      <c r="H102" s="65">
        <f>+'COMUNAS - HOME DELIVERY 2025'!H102*'COMUNAS - HOME DELIVERY 2025'!$Q$7</f>
        <v>4687.3440000000001</v>
      </c>
      <c r="I102" s="65">
        <f>+'COMUNAS - HOME DELIVERY 2025'!I102*'COMUNAS - HOME DELIVERY 2025'!$Q$7</f>
        <v>5451.0240000000003</v>
      </c>
      <c r="J102" s="65">
        <f>+'COMUNAS - HOME DELIVERY 2025'!J102*'COMUNAS - HOME DELIVERY 2025'!$Q$7</f>
        <v>6737.9279999999999</v>
      </c>
      <c r="K102" s="65">
        <f>+'COMUNAS - HOME DELIVERY 2025'!K102*'COMUNAS - HOME DELIVERY 2025'!$Q$7</f>
        <v>8098.1040000000003</v>
      </c>
      <c r="L102" s="65">
        <f>+'COMUNAS - HOME DELIVERY 2025'!L102*'COMUNAS - HOME DELIVERY 2025'!$Q$7</f>
        <v>9096.0480000000007</v>
      </c>
      <c r="M102" s="66">
        <f>+'COMUNAS - HOME DELIVERY 2025'!M102*'COMUNAS - HOME DELIVERY 2025'!$Q$7</f>
        <v>461.30400000000003</v>
      </c>
      <c r="N102" s="67">
        <f>+'COMUNAS - HOME DELIVERY 2025'!N102*'COMUNAS - HOME DELIVERY 2025'!$Q$7</f>
        <v>388.03200000000004</v>
      </c>
      <c r="O102" s="60"/>
      <c r="P102" s="2"/>
      <c r="Q102" s="2"/>
      <c r="R102" s="2"/>
      <c r="S102" s="2"/>
      <c r="T102" s="2"/>
      <c r="U102" s="2"/>
      <c r="V102" s="2"/>
      <c r="W102" s="2"/>
      <c r="X102" s="2"/>
      <c r="Y102" s="38"/>
    </row>
    <row r="103" spans="2:25" ht="15.75" customHeight="1" x14ac:dyDescent="0.3">
      <c r="B103" s="2"/>
      <c r="C103" s="61" t="s">
        <v>224</v>
      </c>
      <c r="D103" s="62" t="s">
        <v>265</v>
      </c>
      <c r="E103" s="63" t="s">
        <v>266</v>
      </c>
      <c r="F103" s="64">
        <f>+'COMUNAS - HOME DELIVERY 2025'!F103*'COMUNAS - HOME DELIVERY 2025'!$Q$7</f>
        <v>3790.5360000000001</v>
      </c>
      <c r="G103" s="65">
        <f>+'COMUNAS - HOME DELIVERY 2025'!G103*'COMUNAS - HOME DELIVERY 2025'!$Q$7</f>
        <v>4010.3520000000003</v>
      </c>
      <c r="H103" s="65">
        <f>+'COMUNAS - HOME DELIVERY 2025'!H103*'COMUNAS - HOME DELIVERY 2025'!$Q$7</f>
        <v>4639.8720000000003</v>
      </c>
      <c r="I103" s="65">
        <f>+'COMUNAS - HOME DELIVERY 2025'!I103*'COMUNAS - HOME DELIVERY 2025'!$Q$7</f>
        <v>5397.3600000000006</v>
      </c>
      <c r="J103" s="65">
        <f>+'COMUNAS - HOME DELIVERY 2025'!J103*'COMUNAS - HOME DELIVERY 2025'!$Q$7</f>
        <v>6671.88</v>
      </c>
      <c r="K103" s="65">
        <f>+'COMUNAS - HOME DELIVERY 2025'!K103*'COMUNAS - HOME DELIVERY 2025'!$Q$7</f>
        <v>8017.6080000000002</v>
      </c>
      <c r="L103" s="65">
        <f>+'COMUNAS - HOME DELIVERY 2025'!L103*'COMUNAS - HOME DELIVERY 2025'!$Q$7</f>
        <v>9010.3919999999998</v>
      </c>
      <c r="M103" s="66">
        <f>+'COMUNAS - HOME DELIVERY 2025'!M103*'COMUNAS - HOME DELIVERY 2025'!$Q$7</f>
        <v>459.24</v>
      </c>
      <c r="N103" s="67">
        <f>+'COMUNAS - HOME DELIVERY 2025'!N103*'COMUNAS - HOME DELIVERY 2025'!$Q$7</f>
        <v>385.96800000000002</v>
      </c>
      <c r="O103" s="60"/>
      <c r="P103" s="2"/>
      <c r="Q103" s="2"/>
      <c r="R103" s="2"/>
      <c r="S103" s="2"/>
      <c r="T103" s="2"/>
      <c r="U103" s="2"/>
      <c r="V103" s="2"/>
      <c r="W103" s="2"/>
      <c r="X103" s="2"/>
      <c r="Y103" s="38"/>
    </row>
    <row r="104" spans="2:25" ht="15.75" customHeight="1" x14ac:dyDescent="0.3">
      <c r="B104" s="2"/>
      <c r="C104" s="61" t="s">
        <v>224</v>
      </c>
      <c r="D104" s="62" t="s">
        <v>267</v>
      </c>
      <c r="E104" s="63" t="s">
        <v>268</v>
      </c>
      <c r="F104" s="64">
        <f>+'COMUNAS - HOME DELIVERY 2025'!F104*'COMUNAS - HOME DELIVERY 2025'!$Q$7</f>
        <v>3828.7200000000003</v>
      </c>
      <c r="G104" s="65">
        <f>+'COMUNAS - HOME DELIVERY 2025'!G104*'COMUNAS - HOME DELIVERY 2025'!$Q$7</f>
        <v>4050.6</v>
      </c>
      <c r="H104" s="65">
        <f>+'COMUNAS - HOME DELIVERY 2025'!H104*'COMUNAS - HOME DELIVERY 2025'!$Q$7</f>
        <v>4687.3440000000001</v>
      </c>
      <c r="I104" s="65">
        <f>+'COMUNAS - HOME DELIVERY 2025'!I104*'COMUNAS - HOME DELIVERY 2025'!$Q$7</f>
        <v>5451.0240000000003</v>
      </c>
      <c r="J104" s="65">
        <f>+'COMUNAS - HOME DELIVERY 2025'!J104*'COMUNAS - HOME DELIVERY 2025'!$Q$7</f>
        <v>6737.9279999999999</v>
      </c>
      <c r="K104" s="65">
        <f>+'COMUNAS - HOME DELIVERY 2025'!K104*'COMUNAS - HOME DELIVERY 2025'!$Q$7</f>
        <v>8098.1040000000003</v>
      </c>
      <c r="L104" s="65">
        <f>+'COMUNAS - HOME DELIVERY 2025'!L104*'COMUNAS - HOME DELIVERY 2025'!$Q$7</f>
        <v>9096.0480000000007</v>
      </c>
      <c r="M104" s="66">
        <f>+'COMUNAS - HOME DELIVERY 2025'!M104*'COMUNAS - HOME DELIVERY 2025'!$Q$7</f>
        <v>461.30400000000003</v>
      </c>
      <c r="N104" s="67">
        <f>+'COMUNAS - HOME DELIVERY 2025'!N104*'COMUNAS - HOME DELIVERY 2025'!$Q$7</f>
        <v>388.03200000000004</v>
      </c>
      <c r="O104" s="60"/>
      <c r="P104" s="2"/>
      <c r="Q104" s="2"/>
      <c r="R104" s="2"/>
      <c r="S104" s="2"/>
      <c r="T104" s="2"/>
      <c r="U104" s="2"/>
      <c r="V104" s="2"/>
      <c r="W104" s="2"/>
      <c r="X104" s="2"/>
      <c r="Y104" s="38"/>
    </row>
    <row r="105" spans="2:25" ht="15.75" customHeight="1" x14ac:dyDescent="0.3">
      <c r="B105" s="2"/>
      <c r="C105" s="61" t="s">
        <v>224</v>
      </c>
      <c r="D105" s="62" t="s">
        <v>269</v>
      </c>
      <c r="E105" s="63" t="s">
        <v>270</v>
      </c>
      <c r="F105" s="64">
        <f>+'COMUNAS - HOME DELIVERY 2025'!F105*'COMUNAS - HOME DELIVERY 2025'!$Q$7</f>
        <v>5743.08</v>
      </c>
      <c r="G105" s="65">
        <f>+'COMUNAS - HOME DELIVERY 2025'!G105*'COMUNAS - HOME DELIVERY 2025'!$Q$7</f>
        <v>6075.9000000000005</v>
      </c>
      <c r="H105" s="65">
        <f>+'COMUNAS - HOME DELIVERY 2025'!H105*'COMUNAS - HOME DELIVERY 2025'!$Q$7</f>
        <v>7031.0160000000005</v>
      </c>
      <c r="I105" s="65">
        <f>+'COMUNAS - HOME DELIVERY 2025'!I105*'COMUNAS - HOME DELIVERY 2025'!$Q$7</f>
        <v>8176.5360000000001</v>
      </c>
      <c r="J105" s="65">
        <f>+'COMUNAS - HOME DELIVERY 2025'!J105*'COMUNAS - HOME DELIVERY 2025'!$Q$7</f>
        <v>10106.892</v>
      </c>
      <c r="K105" s="65">
        <f>+'COMUNAS - HOME DELIVERY 2025'!K105*'COMUNAS - HOME DELIVERY 2025'!$Q$7</f>
        <v>12147.156000000001</v>
      </c>
      <c r="L105" s="65">
        <f>+'COMUNAS - HOME DELIVERY 2025'!L105*'COMUNAS - HOME DELIVERY 2025'!$Q$7</f>
        <v>13644.072</v>
      </c>
      <c r="M105" s="66">
        <f>+'COMUNAS - HOME DELIVERY 2025'!M105*'COMUNAS - HOME DELIVERY 2025'!$Q$7</f>
        <v>691.95600000000002</v>
      </c>
      <c r="N105" s="67">
        <f>+'COMUNAS - HOME DELIVERY 2025'!N105*'COMUNAS - HOME DELIVERY 2025'!$Q$7</f>
        <v>582.048</v>
      </c>
      <c r="O105" s="60"/>
      <c r="P105" s="2"/>
      <c r="Q105" s="2"/>
      <c r="R105" s="2"/>
      <c r="S105" s="2"/>
      <c r="T105" s="2"/>
      <c r="U105" s="2"/>
      <c r="V105" s="2"/>
      <c r="W105" s="2"/>
      <c r="X105" s="2"/>
      <c r="Y105" s="38"/>
    </row>
    <row r="106" spans="2:25" ht="15.75" customHeight="1" x14ac:dyDescent="0.3">
      <c r="B106" s="2"/>
      <c r="C106" s="61" t="s">
        <v>224</v>
      </c>
      <c r="D106" s="62" t="s">
        <v>271</v>
      </c>
      <c r="E106" s="63" t="s">
        <v>272</v>
      </c>
      <c r="F106" s="64">
        <f>+'COMUNAS - HOME DELIVERY 2025'!F106*'COMUNAS - HOME DELIVERY 2025'!$Q$7</f>
        <v>3828.7200000000003</v>
      </c>
      <c r="G106" s="65">
        <f>+'COMUNAS - HOME DELIVERY 2025'!G106*'COMUNAS - HOME DELIVERY 2025'!$Q$7</f>
        <v>4050.6</v>
      </c>
      <c r="H106" s="65">
        <f>+'COMUNAS - HOME DELIVERY 2025'!H106*'COMUNAS - HOME DELIVERY 2025'!$Q$7</f>
        <v>4687.3440000000001</v>
      </c>
      <c r="I106" s="65">
        <f>+'COMUNAS - HOME DELIVERY 2025'!I106*'COMUNAS - HOME DELIVERY 2025'!$Q$7</f>
        <v>5451.0240000000003</v>
      </c>
      <c r="J106" s="65">
        <f>+'COMUNAS - HOME DELIVERY 2025'!J106*'COMUNAS - HOME DELIVERY 2025'!$Q$7</f>
        <v>6737.9279999999999</v>
      </c>
      <c r="K106" s="65">
        <f>+'COMUNAS - HOME DELIVERY 2025'!K106*'COMUNAS - HOME DELIVERY 2025'!$Q$7</f>
        <v>8098.1040000000003</v>
      </c>
      <c r="L106" s="65">
        <f>+'COMUNAS - HOME DELIVERY 2025'!L106*'COMUNAS - HOME DELIVERY 2025'!$Q$7</f>
        <v>9096.0480000000007</v>
      </c>
      <c r="M106" s="66">
        <f>+'COMUNAS - HOME DELIVERY 2025'!M106*'COMUNAS - HOME DELIVERY 2025'!$Q$7</f>
        <v>461.30400000000003</v>
      </c>
      <c r="N106" s="67">
        <f>+'COMUNAS - HOME DELIVERY 2025'!N106*'COMUNAS - HOME DELIVERY 2025'!$Q$7</f>
        <v>388.03200000000004</v>
      </c>
      <c r="O106" s="60"/>
      <c r="P106" s="2"/>
      <c r="Q106" s="2"/>
      <c r="R106" s="2"/>
      <c r="S106" s="2"/>
      <c r="T106" s="2"/>
      <c r="U106" s="2"/>
      <c r="V106" s="2"/>
      <c r="W106" s="2"/>
      <c r="X106" s="2"/>
      <c r="Y106" s="38"/>
    </row>
    <row r="107" spans="2:25" ht="15.75" customHeight="1" x14ac:dyDescent="0.3">
      <c r="B107" s="2"/>
      <c r="C107" s="61" t="s">
        <v>224</v>
      </c>
      <c r="D107" s="62" t="s">
        <v>273</v>
      </c>
      <c r="E107" s="63" t="s">
        <v>274</v>
      </c>
      <c r="F107" s="64">
        <f>+'COMUNAS - HOME DELIVERY 2025'!F107*'COMUNAS - HOME DELIVERY 2025'!$Q$7</f>
        <v>3790.5360000000001</v>
      </c>
      <c r="G107" s="65">
        <f>+'COMUNAS - HOME DELIVERY 2025'!G107*'COMUNAS - HOME DELIVERY 2025'!$Q$7</f>
        <v>4010.3520000000003</v>
      </c>
      <c r="H107" s="65">
        <f>+'COMUNAS - HOME DELIVERY 2025'!H107*'COMUNAS - HOME DELIVERY 2025'!$Q$7</f>
        <v>4639.8720000000003</v>
      </c>
      <c r="I107" s="65">
        <f>+'COMUNAS - HOME DELIVERY 2025'!I107*'COMUNAS - HOME DELIVERY 2025'!$Q$7</f>
        <v>5397.3600000000006</v>
      </c>
      <c r="J107" s="65">
        <f>+'COMUNAS - HOME DELIVERY 2025'!J107*'COMUNAS - HOME DELIVERY 2025'!$Q$7</f>
        <v>6671.88</v>
      </c>
      <c r="K107" s="65">
        <f>+'COMUNAS - HOME DELIVERY 2025'!K107*'COMUNAS - HOME DELIVERY 2025'!$Q$7</f>
        <v>8017.6080000000002</v>
      </c>
      <c r="L107" s="65">
        <f>+'COMUNAS - HOME DELIVERY 2025'!L107*'COMUNAS - HOME DELIVERY 2025'!$Q$7</f>
        <v>9010.3919999999998</v>
      </c>
      <c r="M107" s="66">
        <f>+'COMUNAS - HOME DELIVERY 2025'!M107*'COMUNAS - HOME DELIVERY 2025'!$Q$7</f>
        <v>459.24</v>
      </c>
      <c r="N107" s="67">
        <f>+'COMUNAS - HOME DELIVERY 2025'!N107*'COMUNAS - HOME DELIVERY 2025'!$Q$7</f>
        <v>385.96800000000002</v>
      </c>
      <c r="O107" s="60"/>
      <c r="P107" s="2"/>
      <c r="Q107" s="2"/>
      <c r="R107" s="2"/>
      <c r="S107" s="2"/>
      <c r="T107" s="2"/>
      <c r="U107" s="2"/>
      <c r="V107" s="2"/>
      <c r="W107" s="2"/>
      <c r="X107" s="2"/>
      <c r="Y107" s="38"/>
    </row>
    <row r="108" spans="2:25" ht="15.75" customHeight="1" x14ac:dyDescent="0.3">
      <c r="B108" s="2"/>
      <c r="C108" s="61" t="s">
        <v>224</v>
      </c>
      <c r="D108" s="62" t="s">
        <v>275</v>
      </c>
      <c r="E108" s="63" t="s">
        <v>276</v>
      </c>
      <c r="F108" s="64">
        <f>+'COMUNAS - HOME DELIVERY 2025'!F108*'COMUNAS - HOME DELIVERY 2025'!$Q$7</f>
        <v>3828.7200000000003</v>
      </c>
      <c r="G108" s="65">
        <f>+'COMUNAS - HOME DELIVERY 2025'!G108*'COMUNAS - HOME DELIVERY 2025'!$Q$7</f>
        <v>4050.6</v>
      </c>
      <c r="H108" s="65">
        <f>+'COMUNAS - HOME DELIVERY 2025'!H108*'COMUNAS - HOME DELIVERY 2025'!$Q$7</f>
        <v>4687.3440000000001</v>
      </c>
      <c r="I108" s="65">
        <f>+'COMUNAS - HOME DELIVERY 2025'!I108*'COMUNAS - HOME DELIVERY 2025'!$Q$7</f>
        <v>5451.0240000000003</v>
      </c>
      <c r="J108" s="65">
        <f>+'COMUNAS - HOME DELIVERY 2025'!J108*'COMUNAS - HOME DELIVERY 2025'!$Q$7</f>
        <v>6737.9279999999999</v>
      </c>
      <c r="K108" s="65">
        <f>+'COMUNAS - HOME DELIVERY 2025'!K108*'COMUNAS - HOME DELIVERY 2025'!$Q$7</f>
        <v>8098.1040000000003</v>
      </c>
      <c r="L108" s="65">
        <f>+'COMUNAS - HOME DELIVERY 2025'!L108*'COMUNAS - HOME DELIVERY 2025'!$Q$7</f>
        <v>9096.0480000000007</v>
      </c>
      <c r="M108" s="66">
        <f>+'COMUNAS - HOME DELIVERY 2025'!M108*'COMUNAS - HOME DELIVERY 2025'!$Q$7</f>
        <v>461.30400000000003</v>
      </c>
      <c r="N108" s="67">
        <f>+'COMUNAS - HOME DELIVERY 2025'!N108*'COMUNAS - HOME DELIVERY 2025'!$Q$7</f>
        <v>388.03200000000004</v>
      </c>
      <c r="O108" s="60"/>
      <c r="P108" s="2"/>
      <c r="Q108" s="2"/>
      <c r="R108" s="2"/>
      <c r="S108" s="2"/>
      <c r="T108" s="2"/>
      <c r="U108" s="2"/>
      <c r="V108" s="2"/>
      <c r="W108" s="2"/>
      <c r="X108" s="2"/>
      <c r="Y108" s="38"/>
    </row>
    <row r="109" spans="2:25" ht="15.75" customHeight="1" x14ac:dyDescent="0.3">
      <c r="B109" s="2"/>
      <c r="C109" s="61" t="s">
        <v>224</v>
      </c>
      <c r="D109" s="62" t="s">
        <v>277</v>
      </c>
      <c r="E109" s="63" t="s">
        <v>278</v>
      </c>
      <c r="F109" s="64">
        <f>+'COMUNAS - HOME DELIVERY 2025'!F109*'COMUNAS - HOME DELIVERY 2025'!$Q$7</f>
        <v>3703.848</v>
      </c>
      <c r="G109" s="65">
        <f>+'COMUNAS - HOME DELIVERY 2025'!G109*'COMUNAS - HOME DELIVERY 2025'!$Q$7</f>
        <v>3961.848</v>
      </c>
      <c r="H109" s="65">
        <f>+'COMUNAS - HOME DELIVERY 2025'!H109*'COMUNAS - HOME DELIVERY 2025'!$Q$7</f>
        <v>4496.424</v>
      </c>
      <c r="I109" s="65">
        <f>+'COMUNAS - HOME DELIVERY 2025'!I109*'COMUNAS - HOME DELIVERY 2025'!$Q$7</f>
        <v>5325.12</v>
      </c>
      <c r="J109" s="65">
        <f>+'COMUNAS - HOME DELIVERY 2025'!J109*'COMUNAS - HOME DELIVERY 2025'!$Q$7</f>
        <v>6616.152</v>
      </c>
      <c r="K109" s="65">
        <f>+'COMUNAS - HOME DELIVERY 2025'!K109*'COMUNAS - HOME DELIVERY 2025'!$Q$7</f>
        <v>7476.84</v>
      </c>
      <c r="L109" s="65">
        <f>+'COMUNAS - HOME DELIVERY 2025'!L109*'COMUNAS - HOME DELIVERY 2025'!$Q$7</f>
        <v>8391.1920000000009</v>
      </c>
      <c r="M109" s="66">
        <f>+'COMUNAS - HOME DELIVERY 2025'!M109*'COMUNAS - HOME DELIVERY 2025'!$Q$7</f>
        <v>423.12</v>
      </c>
      <c r="N109" s="67">
        <f>+'COMUNAS - HOME DELIVERY 2025'!N109*'COMUNAS - HOME DELIVERY 2025'!$Q$7</f>
        <v>350.88</v>
      </c>
      <c r="O109" s="60"/>
      <c r="P109" s="2"/>
      <c r="Q109" s="2"/>
      <c r="R109" s="2"/>
      <c r="S109" s="2"/>
      <c r="T109" s="2"/>
      <c r="U109" s="2"/>
      <c r="V109" s="2"/>
      <c r="W109" s="2"/>
      <c r="X109" s="2"/>
      <c r="Y109" s="38"/>
    </row>
    <row r="110" spans="2:25" ht="15.75" customHeight="1" x14ac:dyDescent="0.3">
      <c r="B110" s="2"/>
      <c r="C110" s="61" t="s">
        <v>224</v>
      </c>
      <c r="D110" s="62" t="s">
        <v>279</v>
      </c>
      <c r="E110" s="63" t="s">
        <v>280</v>
      </c>
      <c r="F110" s="64">
        <f>+'COMUNAS - HOME DELIVERY 2025'!F110*'COMUNAS - HOME DELIVERY 2025'!$Q$7</f>
        <v>3703.848</v>
      </c>
      <c r="G110" s="65">
        <f>+'COMUNAS - HOME DELIVERY 2025'!G110*'COMUNAS - HOME DELIVERY 2025'!$Q$7</f>
        <v>3961.848</v>
      </c>
      <c r="H110" s="65">
        <f>+'COMUNAS - HOME DELIVERY 2025'!H110*'COMUNAS - HOME DELIVERY 2025'!$Q$7</f>
        <v>4496.424</v>
      </c>
      <c r="I110" s="65">
        <f>+'COMUNAS - HOME DELIVERY 2025'!I110*'COMUNAS - HOME DELIVERY 2025'!$Q$7</f>
        <v>5325.12</v>
      </c>
      <c r="J110" s="65">
        <f>+'COMUNAS - HOME DELIVERY 2025'!J110*'COMUNAS - HOME DELIVERY 2025'!$Q$7</f>
        <v>6616.152</v>
      </c>
      <c r="K110" s="65">
        <f>+'COMUNAS - HOME DELIVERY 2025'!K110*'COMUNAS - HOME DELIVERY 2025'!$Q$7</f>
        <v>7476.84</v>
      </c>
      <c r="L110" s="65">
        <f>+'COMUNAS - HOME DELIVERY 2025'!L110*'COMUNAS - HOME DELIVERY 2025'!$Q$7</f>
        <v>8391.1920000000009</v>
      </c>
      <c r="M110" s="66">
        <f>+'COMUNAS - HOME DELIVERY 2025'!M110*'COMUNAS - HOME DELIVERY 2025'!$Q$7</f>
        <v>423.12</v>
      </c>
      <c r="N110" s="67">
        <f>+'COMUNAS - HOME DELIVERY 2025'!N110*'COMUNAS - HOME DELIVERY 2025'!$Q$7</f>
        <v>350.88</v>
      </c>
      <c r="O110" s="60"/>
      <c r="P110" s="2"/>
      <c r="Q110" s="2"/>
      <c r="R110" s="2"/>
      <c r="S110" s="2"/>
      <c r="T110" s="2"/>
      <c r="U110" s="2"/>
      <c r="V110" s="2"/>
      <c r="W110" s="2"/>
      <c r="X110" s="2"/>
      <c r="Y110" s="38"/>
    </row>
    <row r="111" spans="2:25" ht="15.75" customHeight="1" x14ac:dyDescent="0.3">
      <c r="B111" s="2"/>
      <c r="C111" s="61" t="s">
        <v>224</v>
      </c>
      <c r="D111" s="62" t="s">
        <v>281</v>
      </c>
      <c r="E111" s="63" t="s">
        <v>282</v>
      </c>
      <c r="F111" s="64">
        <f>+'COMUNAS - HOME DELIVERY 2025'!F111*'COMUNAS - HOME DELIVERY 2025'!$Q$7</f>
        <v>3790.5360000000001</v>
      </c>
      <c r="G111" s="65">
        <f>+'COMUNAS - HOME DELIVERY 2025'!G111*'COMUNAS - HOME DELIVERY 2025'!$Q$7</f>
        <v>4010.3520000000003</v>
      </c>
      <c r="H111" s="65">
        <f>+'COMUNAS - HOME DELIVERY 2025'!H111*'COMUNAS - HOME DELIVERY 2025'!$Q$7</f>
        <v>4639.8720000000003</v>
      </c>
      <c r="I111" s="65">
        <f>+'COMUNAS - HOME DELIVERY 2025'!I111*'COMUNAS - HOME DELIVERY 2025'!$Q$7</f>
        <v>5397.3600000000006</v>
      </c>
      <c r="J111" s="65">
        <f>+'COMUNAS - HOME DELIVERY 2025'!J111*'COMUNAS - HOME DELIVERY 2025'!$Q$7</f>
        <v>6671.88</v>
      </c>
      <c r="K111" s="65">
        <f>+'COMUNAS - HOME DELIVERY 2025'!K111*'COMUNAS - HOME DELIVERY 2025'!$Q$7</f>
        <v>8017.6080000000002</v>
      </c>
      <c r="L111" s="65">
        <f>+'COMUNAS - HOME DELIVERY 2025'!L111*'COMUNAS - HOME DELIVERY 2025'!$Q$7</f>
        <v>9010.3919999999998</v>
      </c>
      <c r="M111" s="66">
        <f>+'COMUNAS - HOME DELIVERY 2025'!M111*'COMUNAS - HOME DELIVERY 2025'!$Q$7</f>
        <v>459.24</v>
      </c>
      <c r="N111" s="67">
        <f>+'COMUNAS - HOME DELIVERY 2025'!N111*'COMUNAS - HOME DELIVERY 2025'!$Q$7</f>
        <v>385.96800000000002</v>
      </c>
      <c r="O111" s="60"/>
      <c r="P111" s="2"/>
      <c r="Q111" s="2"/>
      <c r="R111" s="2"/>
      <c r="S111" s="2"/>
      <c r="T111" s="2"/>
      <c r="U111" s="2"/>
      <c r="V111" s="2"/>
      <c r="W111" s="2"/>
      <c r="X111" s="2"/>
      <c r="Y111" s="38"/>
    </row>
    <row r="112" spans="2:25" ht="15.75" customHeight="1" x14ac:dyDescent="0.3">
      <c r="B112" s="2"/>
      <c r="C112" s="61" t="s">
        <v>224</v>
      </c>
      <c r="D112" s="62" t="s">
        <v>283</v>
      </c>
      <c r="E112" s="63" t="s">
        <v>284</v>
      </c>
      <c r="F112" s="64">
        <f>+'COMUNAS - HOME DELIVERY 2025'!F112*'COMUNAS - HOME DELIVERY 2025'!$Q$7</f>
        <v>3703.848</v>
      </c>
      <c r="G112" s="65">
        <f>+'COMUNAS - HOME DELIVERY 2025'!G112*'COMUNAS - HOME DELIVERY 2025'!$Q$7</f>
        <v>3961.848</v>
      </c>
      <c r="H112" s="65">
        <f>+'COMUNAS - HOME DELIVERY 2025'!H112*'COMUNAS - HOME DELIVERY 2025'!$Q$7</f>
        <v>4496.424</v>
      </c>
      <c r="I112" s="65">
        <f>+'COMUNAS - HOME DELIVERY 2025'!I112*'COMUNAS - HOME DELIVERY 2025'!$Q$7</f>
        <v>5325.12</v>
      </c>
      <c r="J112" s="65">
        <f>+'COMUNAS - HOME DELIVERY 2025'!J112*'COMUNAS - HOME DELIVERY 2025'!$Q$7</f>
        <v>6616.152</v>
      </c>
      <c r="K112" s="65">
        <f>+'COMUNAS - HOME DELIVERY 2025'!K112*'COMUNAS - HOME DELIVERY 2025'!$Q$7</f>
        <v>7476.84</v>
      </c>
      <c r="L112" s="65">
        <f>+'COMUNAS - HOME DELIVERY 2025'!L112*'COMUNAS - HOME DELIVERY 2025'!$Q$7</f>
        <v>8391.1920000000009</v>
      </c>
      <c r="M112" s="66">
        <f>+'COMUNAS - HOME DELIVERY 2025'!M112*'COMUNAS - HOME DELIVERY 2025'!$Q$7</f>
        <v>423.12</v>
      </c>
      <c r="N112" s="67">
        <f>+'COMUNAS - HOME DELIVERY 2025'!N112*'COMUNAS - HOME DELIVERY 2025'!$Q$7</f>
        <v>350.88</v>
      </c>
      <c r="O112" s="60"/>
      <c r="P112" s="2"/>
      <c r="Q112" s="2"/>
      <c r="R112" s="2"/>
      <c r="S112" s="2"/>
      <c r="T112" s="2"/>
      <c r="U112" s="2"/>
      <c r="V112" s="2"/>
      <c r="W112" s="2"/>
      <c r="X112" s="2"/>
      <c r="Y112" s="38"/>
    </row>
    <row r="113" spans="2:25" ht="15.75" customHeight="1" x14ac:dyDescent="0.3">
      <c r="B113" s="2"/>
      <c r="C113" s="61" t="s">
        <v>224</v>
      </c>
      <c r="D113" s="62" t="s">
        <v>285</v>
      </c>
      <c r="E113" s="63" t="s">
        <v>286</v>
      </c>
      <c r="F113" s="64">
        <f>+'COMUNAS - HOME DELIVERY 2025'!F113*'COMUNAS - HOME DELIVERY 2025'!$Q$7</f>
        <v>3703.848</v>
      </c>
      <c r="G113" s="65">
        <f>+'COMUNAS - HOME DELIVERY 2025'!G113*'COMUNAS - HOME DELIVERY 2025'!$Q$7</f>
        <v>3961.848</v>
      </c>
      <c r="H113" s="65">
        <f>+'COMUNAS - HOME DELIVERY 2025'!H113*'COMUNAS - HOME DELIVERY 2025'!$Q$7</f>
        <v>4496.424</v>
      </c>
      <c r="I113" s="65">
        <f>+'COMUNAS - HOME DELIVERY 2025'!I113*'COMUNAS - HOME DELIVERY 2025'!$Q$7</f>
        <v>5325.12</v>
      </c>
      <c r="J113" s="65">
        <f>+'COMUNAS - HOME DELIVERY 2025'!J113*'COMUNAS - HOME DELIVERY 2025'!$Q$7</f>
        <v>6616.152</v>
      </c>
      <c r="K113" s="65">
        <f>+'COMUNAS - HOME DELIVERY 2025'!K113*'COMUNAS - HOME DELIVERY 2025'!$Q$7</f>
        <v>7476.84</v>
      </c>
      <c r="L113" s="65">
        <f>+'COMUNAS - HOME DELIVERY 2025'!L113*'COMUNAS - HOME DELIVERY 2025'!$Q$7</f>
        <v>8391.1920000000009</v>
      </c>
      <c r="M113" s="66">
        <f>+'COMUNAS - HOME DELIVERY 2025'!M113*'COMUNAS - HOME DELIVERY 2025'!$Q$7</f>
        <v>423.12</v>
      </c>
      <c r="N113" s="67">
        <f>+'COMUNAS - HOME DELIVERY 2025'!N113*'COMUNAS - HOME DELIVERY 2025'!$Q$7</f>
        <v>350.88</v>
      </c>
      <c r="O113" s="60"/>
      <c r="P113" s="2"/>
      <c r="Q113" s="2"/>
      <c r="R113" s="2"/>
      <c r="S113" s="2"/>
      <c r="T113" s="2"/>
      <c r="U113" s="2"/>
      <c r="V113" s="2"/>
      <c r="W113" s="2"/>
      <c r="X113" s="2"/>
      <c r="Y113" s="38"/>
    </row>
    <row r="114" spans="2:25" ht="15.75" customHeight="1" x14ac:dyDescent="0.3">
      <c r="B114" s="2"/>
      <c r="C114" s="61" t="s">
        <v>224</v>
      </c>
      <c r="D114" s="62" t="s">
        <v>287</v>
      </c>
      <c r="E114" s="63" t="s">
        <v>288</v>
      </c>
      <c r="F114" s="64">
        <f>+'COMUNAS - HOME DELIVERY 2025'!F114*'COMUNAS - HOME DELIVERY 2025'!$Q$7</f>
        <v>3790.5360000000001</v>
      </c>
      <c r="G114" s="65">
        <f>+'COMUNAS - HOME DELIVERY 2025'!G114*'COMUNAS - HOME DELIVERY 2025'!$Q$7</f>
        <v>4010.3520000000003</v>
      </c>
      <c r="H114" s="65">
        <f>+'COMUNAS - HOME DELIVERY 2025'!H114*'COMUNAS - HOME DELIVERY 2025'!$Q$7</f>
        <v>4639.8720000000003</v>
      </c>
      <c r="I114" s="65">
        <f>+'COMUNAS - HOME DELIVERY 2025'!I114*'COMUNAS - HOME DELIVERY 2025'!$Q$7</f>
        <v>5397.3600000000006</v>
      </c>
      <c r="J114" s="65">
        <f>+'COMUNAS - HOME DELIVERY 2025'!J114*'COMUNAS - HOME DELIVERY 2025'!$Q$7</f>
        <v>6671.88</v>
      </c>
      <c r="K114" s="65">
        <f>+'COMUNAS - HOME DELIVERY 2025'!K114*'COMUNAS - HOME DELIVERY 2025'!$Q$7</f>
        <v>8017.6080000000002</v>
      </c>
      <c r="L114" s="65">
        <f>+'COMUNAS - HOME DELIVERY 2025'!L114*'COMUNAS - HOME DELIVERY 2025'!$Q$7</f>
        <v>9010.3919999999998</v>
      </c>
      <c r="M114" s="66">
        <f>+'COMUNAS - HOME DELIVERY 2025'!M114*'COMUNAS - HOME DELIVERY 2025'!$Q$7</f>
        <v>459.24</v>
      </c>
      <c r="N114" s="67">
        <f>+'COMUNAS - HOME DELIVERY 2025'!N114*'COMUNAS - HOME DELIVERY 2025'!$Q$7</f>
        <v>385.96800000000002</v>
      </c>
      <c r="O114" s="60"/>
      <c r="P114" s="2"/>
      <c r="Q114" s="2"/>
      <c r="R114" s="2"/>
      <c r="S114" s="2"/>
      <c r="T114" s="2"/>
      <c r="U114" s="2"/>
      <c r="V114" s="2"/>
      <c r="W114" s="2"/>
      <c r="X114" s="2"/>
      <c r="Y114" s="38"/>
    </row>
    <row r="115" spans="2:25" ht="15.75" customHeight="1" x14ac:dyDescent="0.3">
      <c r="B115" s="2"/>
      <c r="C115" s="61" t="s">
        <v>224</v>
      </c>
      <c r="D115" s="62" t="s">
        <v>289</v>
      </c>
      <c r="E115" s="63" t="s">
        <v>290</v>
      </c>
      <c r="F115" s="64">
        <f>+'COMUNAS - HOME DELIVERY 2025'!F115*'COMUNAS - HOME DELIVERY 2025'!$Q$7</f>
        <v>3790.5360000000001</v>
      </c>
      <c r="G115" s="65">
        <f>+'COMUNAS - HOME DELIVERY 2025'!G115*'COMUNAS - HOME DELIVERY 2025'!$Q$7</f>
        <v>4010.3520000000003</v>
      </c>
      <c r="H115" s="65">
        <f>+'COMUNAS - HOME DELIVERY 2025'!H115*'COMUNAS - HOME DELIVERY 2025'!$Q$7</f>
        <v>4639.8720000000003</v>
      </c>
      <c r="I115" s="65">
        <f>+'COMUNAS - HOME DELIVERY 2025'!I115*'COMUNAS - HOME DELIVERY 2025'!$Q$7</f>
        <v>5397.3600000000006</v>
      </c>
      <c r="J115" s="65">
        <f>+'COMUNAS - HOME DELIVERY 2025'!J115*'COMUNAS - HOME DELIVERY 2025'!$Q$7</f>
        <v>6671.88</v>
      </c>
      <c r="K115" s="65">
        <f>+'COMUNAS - HOME DELIVERY 2025'!K115*'COMUNAS - HOME DELIVERY 2025'!$Q$7</f>
        <v>8017.6080000000002</v>
      </c>
      <c r="L115" s="65">
        <f>+'COMUNAS - HOME DELIVERY 2025'!L115*'COMUNAS - HOME DELIVERY 2025'!$Q$7</f>
        <v>9010.3919999999998</v>
      </c>
      <c r="M115" s="66">
        <f>+'COMUNAS - HOME DELIVERY 2025'!M115*'COMUNAS - HOME DELIVERY 2025'!$Q$7</f>
        <v>459.24</v>
      </c>
      <c r="N115" s="67">
        <f>+'COMUNAS - HOME DELIVERY 2025'!N115*'COMUNAS - HOME DELIVERY 2025'!$Q$7</f>
        <v>385.96800000000002</v>
      </c>
      <c r="O115" s="60"/>
      <c r="P115" s="2"/>
      <c r="Q115" s="2"/>
      <c r="R115" s="2"/>
      <c r="S115" s="2"/>
      <c r="T115" s="2"/>
      <c r="U115" s="2"/>
      <c r="V115" s="2"/>
      <c r="W115" s="2"/>
      <c r="X115" s="2"/>
      <c r="Y115" s="38"/>
    </row>
    <row r="116" spans="2:25" ht="15.75" customHeight="1" x14ac:dyDescent="0.3">
      <c r="B116" s="2"/>
      <c r="C116" s="61" t="s">
        <v>224</v>
      </c>
      <c r="D116" s="62" t="s">
        <v>291</v>
      </c>
      <c r="E116" s="63" t="s">
        <v>292</v>
      </c>
      <c r="F116" s="64">
        <f>+'COMUNAS - HOME DELIVERY 2025'!F116*'COMUNAS - HOME DELIVERY 2025'!$Q$7</f>
        <v>3790.5360000000001</v>
      </c>
      <c r="G116" s="65">
        <f>+'COMUNAS - HOME DELIVERY 2025'!G116*'COMUNAS - HOME DELIVERY 2025'!$Q$7</f>
        <v>4010.3520000000003</v>
      </c>
      <c r="H116" s="65">
        <f>+'COMUNAS - HOME DELIVERY 2025'!H116*'COMUNAS - HOME DELIVERY 2025'!$Q$7</f>
        <v>4639.8720000000003</v>
      </c>
      <c r="I116" s="65">
        <f>+'COMUNAS - HOME DELIVERY 2025'!I116*'COMUNAS - HOME DELIVERY 2025'!$Q$7</f>
        <v>5397.3600000000006</v>
      </c>
      <c r="J116" s="65">
        <f>+'COMUNAS - HOME DELIVERY 2025'!J116*'COMUNAS - HOME DELIVERY 2025'!$Q$7</f>
        <v>6671.88</v>
      </c>
      <c r="K116" s="65">
        <f>+'COMUNAS - HOME DELIVERY 2025'!K116*'COMUNAS - HOME DELIVERY 2025'!$Q$7</f>
        <v>8017.6080000000002</v>
      </c>
      <c r="L116" s="65">
        <f>+'COMUNAS - HOME DELIVERY 2025'!L116*'COMUNAS - HOME DELIVERY 2025'!$Q$7</f>
        <v>9010.3919999999998</v>
      </c>
      <c r="M116" s="66">
        <f>+'COMUNAS - HOME DELIVERY 2025'!M116*'COMUNAS - HOME DELIVERY 2025'!$Q$7</f>
        <v>459.24</v>
      </c>
      <c r="N116" s="67">
        <f>+'COMUNAS - HOME DELIVERY 2025'!N116*'COMUNAS - HOME DELIVERY 2025'!$Q$7</f>
        <v>385.96800000000002</v>
      </c>
      <c r="O116" s="60"/>
      <c r="P116" s="2"/>
      <c r="Q116" s="2"/>
      <c r="R116" s="2"/>
      <c r="S116" s="2"/>
      <c r="T116" s="2"/>
      <c r="U116" s="2"/>
      <c r="V116" s="2"/>
      <c r="W116" s="2"/>
      <c r="X116" s="2"/>
      <c r="Y116" s="38"/>
    </row>
    <row r="117" spans="2:25" ht="15.75" customHeight="1" x14ac:dyDescent="0.3">
      <c r="B117" s="2"/>
      <c r="C117" s="61" t="s">
        <v>224</v>
      </c>
      <c r="D117" s="62" t="s">
        <v>293</v>
      </c>
      <c r="E117" s="63" t="s">
        <v>294</v>
      </c>
      <c r="F117" s="64">
        <f>+'COMUNAS - HOME DELIVERY 2025'!F117*'COMUNAS - HOME DELIVERY 2025'!$Q$7</f>
        <v>3703.848</v>
      </c>
      <c r="G117" s="65">
        <f>+'COMUNAS - HOME DELIVERY 2025'!G117*'COMUNAS - HOME DELIVERY 2025'!$Q$7</f>
        <v>3961.848</v>
      </c>
      <c r="H117" s="65">
        <f>+'COMUNAS - HOME DELIVERY 2025'!H117*'COMUNAS - HOME DELIVERY 2025'!$Q$7</f>
        <v>4496.424</v>
      </c>
      <c r="I117" s="65">
        <f>+'COMUNAS - HOME DELIVERY 2025'!I117*'COMUNAS - HOME DELIVERY 2025'!$Q$7</f>
        <v>5325.12</v>
      </c>
      <c r="J117" s="65">
        <f>+'COMUNAS - HOME DELIVERY 2025'!J117*'COMUNAS - HOME DELIVERY 2025'!$Q$7</f>
        <v>6616.152</v>
      </c>
      <c r="K117" s="65">
        <f>+'COMUNAS - HOME DELIVERY 2025'!K117*'COMUNAS - HOME DELIVERY 2025'!$Q$7</f>
        <v>7476.84</v>
      </c>
      <c r="L117" s="65">
        <f>+'COMUNAS - HOME DELIVERY 2025'!L117*'COMUNAS - HOME DELIVERY 2025'!$Q$7</f>
        <v>8391.1920000000009</v>
      </c>
      <c r="M117" s="66">
        <f>+'COMUNAS - HOME DELIVERY 2025'!M117*'COMUNAS - HOME DELIVERY 2025'!$Q$7</f>
        <v>423.12</v>
      </c>
      <c r="N117" s="67">
        <f>+'COMUNAS - HOME DELIVERY 2025'!N117*'COMUNAS - HOME DELIVERY 2025'!$Q$7</f>
        <v>350.88</v>
      </c>
      <c r="O117" s="60"/>
      <c r="P117" s="2"/>
      <c r="Q117" s="2"/>
      <c r="R117" s="2"/>
      <c r="S117" s="2"/>
      <c r="T117" s="2"/>
      <c r="U117" s="2"/>
      <c r="V117" s="2"/>
      <c r="W117" s="2"/>
      <c r="X117" s="2"/>
      <c r="Y117" s="38"/>
    </row>
    <row r="118" spans="2:25" ht="15.75" customHeight="1" x14ac:dyDescent="0.3">
      <c r="B118" s="2"/>
      <c r="C118" s="61" t="s">
        <v>224</v>
      </c>
      <c r="D118" s="62" t="s">
        <v>295</v>
      </c>
      <c r="E118" s="63" t="s">
        <v>296</v>
      </c>
      <c r="F118" s="64">
        <f>+'COMUNAS - HOME DELIVERY 2025'!F118*'COMUNAS - HOME DELIVERY 2025'!$Q$7</f>
        <v>3703.848</v>
      </c>
      <c r="G118" s="65">
        <f>+'COMUNAS - HOME DELIVERY 2025'!G118*'COMUNAS - HOME DELIVERY 2025'!$Q$7</f>
        <v>3961.848</v>
      </c>
      <c r="H118" s="65">
        <f>+'COMUNAS - HOME DELIVERY 2025'!H118*'COMUNAS - HOME DELIVERY 2025'!$Q$7</f>
        <v>4496.424</v>
      </c>
      <c r="I118" s="65">
        <f>+'COMUNAS - HOME DELIVERY 2025'!I118*'COMUNAS - HOME DELIVERY 2025'!$Q$7</f>
        <v>5325.12</v>
      </c>
      <c r="J118" s="65">
        <f>+'COMUNAS - HOME DELIVERY 2025'!J118*'COMUNAS - HOME DELIVERY 2025'!$Q$7</f>
        <v>6616.152</v>
      </c>
      <c r="K118" s="65">
        <f>+'COMUNAS - HOME DELIVERY 2025'!K118*'COMUNAS - HOME DELIVERY 2025'!$Q$7</f>
        <v>7476.84</v>
      </c>
      <c r="L118" s="65">
        <f>+'COMUNAS - HOME DELIVERY 2025'!L118*'COMUNAS - HOME DELIVERY 2025'!$Q$7</f>
        <v>8391.1920000000009</v>
      </c>
      <c r="M118" s="66">
        <f>+'COMUNAS - HOME DELIVERY 2025'!M118*'COMUNAS - HOME DELIVERY 2025'!$Q$7</f>
        <v>423.12</v>
      </c>
      <c r="N118" s="67">
        <f>+'COMUNAS - HOME DELIVERY 2025'!N118*'COMUNAS - HOME DELIVERY 2025'!$Q$7</f>
        <v>350.88</v>
      </c>
      <c r="O118" s="60"/>
      <c r="P118" s="2"/>
      <c r="Q118" s="2"/>
      <c r="R118" s="2"/>
      <c r="S118" s="2"/>
      <c r="T118" s="2"/>
      <c r="U118" s="2"/>
      <c r="V118" s="2"/>
      <c r="W118" s="2"/>
      <c r="X118" s="2"/>
      <c r="Y118" s="38"/>
    </row>
    <row r="119" spans="2:25" ht="15.75" customHeight="1" thickBot="1" x14ac:dyDescent="0.35">
      <c r="B119" s="2"/>
      <c r="C119" s="68" t="s">
        <v>224</v>
      </c>
      <c r="D119" s="69" t="s">
        <v>297</v>
      </c>
      <c r="E119" s="70" t="s">
        <v>298</v>
      </c>
      <c r="F119" s="71">
        <f>+'COMUNAS - HOME DELIVERY 2025'!F119*'COMUNAS - HOME DELIVERY 2025'!$Q$7</f>
        <v>3828.7200000000003</v>
      </c>
      <c r="G119" s="72">
        <f>+'COMUNAS - HOME DELIVERY 2025'!G119*'COMUNAS - HOME DELIVERY 2025'!$Q$7</f>
        <v>4050.6</v>
      </c>
      <c r="H119" s="72">
        <f>+'COMUNAS - HOME DELIVERY 2025'!H119*'COMUNAS - HOME DELIVERY 2025'!$Q$7</f>
        <v>4687.3440000000001</v>
      </c>
      <c r="I119" s="72">
        <f>+'COMUNAS - HOME DELIVERY 2025'!I119*'COMUNAS - HOME DELIVERY 2025'!$Q$7</f>
        <v>5451.0240000000003</v>
      </c>
      <c r="J119" s="72">
        <f>+'COMUNAS - HOME DELIVERY 2025'!J119*'COMUNAS - HOME DELIVERY 2025'!$Q$7</f>
        <v>6737.9279999999999</v>
      </c>
      <c r="K119" s="72">
        <f>+'COMUNAS - HOME DELIVERY 2025'!K119*'COMUNAS - HOME DELIVERY 2025'!$Q$7</f>
        <v>8098.1040000000003</v>
      </c>
      <c r="L119" s="72">
        <f>+'COMUNAS - HOME DELIVERY 2025'!L119*'COMUNAS - HOME DELIVERY 2025'!$Q$7</f>
        <v>9096.0480000000007</v>
      </c>
      <c r="M119" s="73">
        <f>+'COMUNAS - HOME DELIVERY 2025'!M119*'COMUNAS - HOME DELIVERY 2025'!$Q$7</f>
        <v>461.30400000000003</v>
      </c>
      <c r="N119" s="74">
        <f>+'COMUNAS - HOME DELIVERY 2025'!N119*'COMUNAS - HOME DELIVERY 2025'!$Q$7</f>
        <v>388.03200000000004</v>
      </c>
      <c r="O119" s="60"/>
      <c r="P119" s="2"/>
      <c r="Q119" s="2"/>
      <c r="R119" s="2"/>
      <c r="S119" s="2"/>
      <c r="T119" s="2"/>
      <c r="U119" s="2"/>
      <c r="V119" s="2"/>
      <c r="W119" s="2"/>
      <c r="X119" s="2"/>
      <c r="Y119" s="38"/>
    </row>
    <row r="120" spans="2:25" ht="15.75" customHeight="1" x14ac:dyDescent="0.3">
      <c r="B120" s="2"/>
      <c r="C120" s="53" t="s">
        <v>299</v>
      </c>
      <c r="D120" s="54" t="s">
        <v>300</v>
      </c>
      <c r="E120" s="55" t="s">
        <v>36</v>
      </c>
      <c r="F120" s="56">
        <f>+'COMUNAS - HOME DELIVERY 2025'!F120*'COMUNAS - HOME DELIVERY 2025'!$Q$7</f>
        <v>3790.5360000000001</v>
      </c>
      <c r="G120" s="57">
        <f>+'COMUNAS - HOME DELIVERY 2025'!G120*'COMUNAS - HOME DELIVERY 2025'!$Q$7</f>
        <v>4010.3520000000003</v>
      </c>
      <c r="H120" s="57">
        <f>+'COMUNAS - HOME DELIVERY 2025'!H120*'COMUNAS - HOME DELIVERY 2025'!$Q$7</f>
        <v>4639.8720000000003</v>
      </c>
      <c r="I120" s="57">
        <f>+'COMUNAS - HOME DELIVERY 2025'!I120*'COMUNAS - HOME DELIVERY 2025'!$Q$7</f>
        <v>5397.3600000000006</v>
      </c>
      <c r="J120" s="57">
        <f>+'COMUNAS - HOME DELIVERY 2025'!J120*'COMUNAS - HOME DELIVERY 2025'!$Q$7</f>
        <v>6671.88</v>
      </c>
      <c r="K120" s="57">
        <f>+'COMUNAS - HOME DELIVERY 2025'!K120*'COMUNAS - HOME DELIVERY 2025'!$Q$7</f>
        <v>8017.6080000000002</v>
      </c>
      <c r="L120" s="57">
        <f>+'COMUNAS - HOME DELIVERY 2025'!L120*'COMUNAS - HOME DELIVERY 2025'!$Q$7</f>
        <v>9010.3919999999998</v>
      </c>
      <c r="M120" s="58">
        <f>+'COMUNAS - HOME DELIVERY 2025'!M120*'COMUNAS - HOME DELIVERY 2025'!$Q$7</f>
        <v>459.24</v>
      </c>
      <c r="N120" s="59">
        <f>+'COMUNAS - HOME DELIVERY 2025'!N120*'COMUNAS - HOME DELIVERY 2025'!$Q$7</f>
        <v>385.96800000000002</v>
      </c>
      <c r="O120" s="60"/>
      <c r="P120" s="2"/>
      <c r="Q120" s="2"/>
      <c r="R120" s="2"/>
      <c r="S120" s="2"/>
      <c r="T120" s="2"/>
      <c r="U120" s="2"/>
      <c r="V120" s="2"/>
      <c r="W120" s="2"/>
      <c r="X120" s="2"/>
      <c r="Y120" s="38"/>
    </row>
    <row r="121" spans="2:25" ht="15.75" customHeight="1" x14ac:dyDescent="0.3">
      <c r="B121" s="2"/>
      <c r="C121" s="61" t="s">
        <v>299</v>
      </c>
      <c r="D121" s="62" t="s">
        <v>301</v>
      </c>
      <c r="E121" s="63" t="s">
        <v>302</v>
      </c>
      <c r="F121" s="64">
        <f>+'COMUNAS - HOME DELIVERY 2025'!F121*'COMUNAS - HOME DELIVERY 2025'!$Q$7</f>
        <v>3944.3040000000001</v>
      </c>
      <c r="G121" s="65">
        <f>+'COMUNAS - HOME DELIVERY 2025'!G121*'COMUNAS - HOME DELIVERY 2025'!$Q$7</f>
        <v>4219.848</v>
      </c>
      <c r="H121" s="65">
        <f>+'COMUNAS - HOME DELIVERY 2025'!H121*'COMUNAS - HOME DELIVERY 2025'!$Q$7</f>
        <v>4845.24</v>
      </c>
      <c r="I121" s="65">
        <f>+'COMUNAS - HOME DELIVERY 2025'!I121*'COMUNAS - HOME DELIVERY 2025'!$Q$7</f>
        <v>5564.5439999999999</v>
      </c>
      <c r="J121" s="65">
        <f>+'COMUNAS - HOME DELIVERY 2025'!J121*'COMUNAS - HOME DELIVERY 2025'!$Q$7</f>
        <v>6972.192</v>
      </c>
      <c r="K121" s="65">
        <f>+'COMUNAS - HOME DELIVERY 2025'!K121*'COMUNAS - HOME DELIVERY 2025'!$Q$7</f>
        <v>8450.0159999999996</v>
      </c>
      <c r="L121" s="65">
        <f>+'COMUNAS - HOME DELIVERY 2025'!L121*'COMUNAS - HOME DELIVERY 2025'!$Q$7</f>
        <v>9463.44</v>
      </c>
      <c r="M121" s="66">
        <f>+'COMUNAS - HOME DELIVERY 2025'!M121*'COMUNAS - HOME DELIVERY 2025'!$Q$7</f>
        <v>468.52800000000002</v>
      </c>
      <c r="N121" s="67">
        <f>+'COMUNAS - HOME DELIVERY 2025'!N121*'COMUNAS - HOME DELIVERY 2025'!$Q$7</f>
        <v>398.35200000000003</v>
      </c>
      <c r="O121" s="60"/>
      <c r="P121" s="2"/>
      <c r="Q121" s="2"/>
      <c r="R121" s="2"/>
      <c r="S121" s="2"/>
      <c r="T121" s="2"/>
      <c r="U121" s="2"/>
      <c r="V121" s="2"/>
      <c r="W121" s="2"/>
      <c r="X121" s="2"/>
      <c r="Y121" s="38"/>
    </row>
    <row r="122" spans="2:25" ht="15.75" customHeight="1" x14ac:dyDescent="0.3">
      <c r="B122" s="2"/>
      <c r="C122" s="61" t="s">
        <v>299</v>
      </c>
      <c r="D122" s="62" t="s">
        <v>303</v>
      </c>
      <c r="E122" s="63" t="s">
        <v>304</v>
      </c>
      <c r="F122" s="64">
        <f>+'COMUNAS - HOME DELIVERY 2025'!F122*'COMUNAS - HOME DELIVERY 2025'!$Q$7</f>
        <v>5685.8040000000001</v>
      </c>
      <c r="G122" s="65">
        <f>+'COMUNAS - HOME DELIVERY 2025'!G122*'COMUNAS - HOME DELIVERY 2025'!$Q$7</f>
        <v>6015.5280000000002</v>
      </c>
      <c r="H122" s="65">
        <f>+'COMUNAS - HOME DELIVERY 2025'!H122*'COMUNAS - HOME DELIVERY 2025'!$Q$7</f>
        <v>6959.808</v>
      </c>
      <c r="I122" s="65">
        <f>+'COMUNAS - HOME DELIVERY 2025'!I122*'COMUNAS - HOME DELIVERY 2025'!$Q$7</f>
        <v>8096.04</v>
      </c>
      <c r="J122" s="65">
        <f>+'COMUNAS - HOME DELIVERY 2025'!J122*'COMUNAS - HOME DELIVERY 2025'!$Q$7</f>
        <v>10007.82</v>
      </c>
      <c r="K122" s="65">
        <f>+'COMUNAS - HOME DELIVERY 2025'!K122*'COMUNAS - HOME DELIVERY 2025'!$Q$7</f>
        <v>12026.412</v>
      </c>
      <c r="L122" s="65">
        <f>+'COMUNAS - HOME DELIVERY 2025'!L122*'COMUNAS - HOME DELIVERY 2025'!$Q$7</f>
        <v>13515.588</v>
      </c>
      <c r="M122" s="66">
        <f>+'COMUNAS - HOME DELIVERY 2025'!M122*'COMUNAS - HOME DELIVERY 2025'!$Q$7</f>
        <v>688.86</v>
      </c>
      <c r="N122" s="67">
        <f>+'COMUNAS - HOME DELIVERY 2025'!N122*'COMUNAS - HOME DELIVERY 2025'!$Q$7</f>
        <v>578.952</v>
      </c>
      <c r="O122" s="60"/>
      <c r="P122" s="2"/>
      <c r="Q122" s="2"/>
      <c r="R122" s="2"/>
      <c r="S122" s="2"/>
      <c r="T122" s="2"/>
      <c r="U122" s="2"/>
      <c r="V122" s="2"/>
      <c r="W122" s="2"/>
      <c r="X122" s="2"/>
      <c r="Y122" s="38"/>
    </row>
    <row r="123" spans="2:25" ht="15.75" customHeight="1" x14ac:dyDescent="0.3">
      <c r="B123" s="2"/>
      <c r="C123" s="61" t="s">
        <v>299</v>
      </c>
      <c r="D123" s="62" t="s">
        <v>305</v>
      </c>
      <c r="E123" s="63" t="s">
        <v>306</v>
      </c>
      <c r="F123" s="64">
        <f>+'COMUNAS - HOME DELIVERY 2025'!F123*'COMUNAS - HOME DELIVERY 2025'!$Q$7</f>
        <v>3790.5360000000001</v>
      </c>
      <c r="G123" s="65">
        <f>+'COMUNAS - HOME DELIVERY 2025'!G123*'COMUNAS - HOME DELIVERY 2025'!$Q$7</f>
        <v>4010.3520000000003</v>
      </c>
      <c r="H123" s="65">
        <f>+'COMUNAS - HOME DELIVERY 2025'!H123*'COMUNAS - HOME DELIVERY 2025'!$Q$7</f>
        <v>4639.8720000000003</v>
      </c>
      <c r="I123" s="65">
        <f>+'COMUNAS - HOME DELIVERY 2025'!I123*'COMUNAS - HOME DELIVERY 2025'!$Q$7</f>
        <v>5397.3600000000006</v>
      </c>
      <c r="J123" s="65">
        <f>+'COMUNAS - HOME DELIVERY 2025'!J123*'COMUNAS - HOME DELIVERY 2025'!$Q$7</f>
        <v>6671.88</v>
      </c>
      <c r="K123" s="65">
        <f>+'COMUNAS - HOME DELIVERY 2025'!K123*'COMUNAS - HOME DELIVERY 2025'!$Q$7</f>
        <v>8017.6080000000002</v>
      </c>
      <c r="L123" s="65">
        <f>+'COMUNAS - HOME DELIVERY 2025'!L123*'COMUNAS - HOME DELIVERY 2025'!$Q$7</f>
        <v>9010.3919999999998</v>
      </c>
      <c r="M123" s="66">
        <f>+'COMUNAS - HOME DELIVERY 2025'!M123*'COMUNAS - HOME DELIVERY 2025'!$Q$7</f>
        <v>459.24</v>
      </c>
      <c r="N123" s="67">
        <f>+'COMUNAS - HOME DELIVERY 2025'!N123*'COMUNAS - HOME DELIVERY 2025'!$Q$7</f>
        <v>385.96800000000002</v>
      </c>
      <c r="O123" s="60"/>
      <c r="P123" s="2"/>
      <c r="Q123" s="2"/>
      <c r="R123" s="2"/>
      <c r="S123" s="2"/>
      <c r="T123" s="2"/>
      <c r="U123" s="2"/>
      <c r="V123" s="2"/>
      <c r="W123" s="2"/>
      <c r="X123" s="2"/>
      <c r="Y123" s="38"/>
    </row>
    <row r="124" spans="2:25" ht="15.75" customHeight="1" x14ac:dyDescent="0.3">
      <c r="B124" s="2"/>
      <c r="C124" s="61" t="s">
        <v>299</v>
      </c>
      <c r="D124" s="62" t="s">
        <v>307</v>
      </c>
      <c r="E124" s="63" t="s">
        <v>308</v>
      </c>
      <c r="F124" s="64">
        <f>+'COMUNAS - HOME DELIVERY 2025'!F124*'COMUNAS - HOME DELIVERY 2025'!$Q$7</f>
        <v>3790.5360000000001</v>
      </c>
      <c r="G124" s="65">
        <f>+'COMUNAS - HOME DELIVERY 2025'!G124*'COMUNAS - HOME DELIVERY 2025'!$Q$7</f>
        <v>4010.3520000000003</v>
      </c>
      <c r="H124" s="65">
        <f>+'COMUNAS - HOME DELIVERY 2025'!H124*'COMUNAS - HOME DELIVERY 2025'!$Q$7</f>
        <v>4639.8720000000003</v>
      </c>
      <c r="I124" s="65">
        <f>+'COMUNAS - HOME DELIVERY 2025'!I124*'COMUNAS - HOME DELIVERY 2025'!$Q$7</f>
        <v>5397.3600000000006</v>
      </c>
      <c r="J124" s="65">
        <f>+'COMUNAS - HOME DELIVERY 2025'!J124*'COMUNAS - HOME DELIVERY 2025'!$Q$7</f>
        <v>6671.88</v>
      </c>
      <c r="K124" s="65">
        <f>+'COMUNAS - HOME DELIVERY 2025'!K124*'COMUNAS - HOME DELIVERY 2025'!$Q$7</f>
        <v>8017.6080000000002</v>
      </c>
      <c r="L124" s="65">
        <f>+'COMUNAS - HOME DELIVERY 2025'!L124*'COMUNAS - HOME DELIVERY 2025'!$Q$7</f>
        <v>9010.3919999999998</v>
      </c>
      <c r="M124" s="66">
        <f>+'COMUNAS - HOME DELIVERY 2025'!M124*'COMUNAS - HOME DELIVERY 2025'!$Q$7</f>
        <v>459.24</v>
      </c>
      <c r="N124" s="67">
        <f>+'COMUNAS - HOME DELIVERY 2025'!N124*'COMUNAS - HOME DELIVERY 2025'!$Q$7</f>
        <v>385.96800000000002</v>
      </c>
      <c r="O124" s="60"/>
      <c r="P124" s="2"/>
      <c r="Q124" s="2"/>
      <c r="R124" s="2"/>
      <c r="S124" s="2"/>
      <c r="T124" s="2"/>
      <c r="U124" s="2"/>
      <c r="V124" s="2"/>
      <c r="W124" s="2"/>
      <c r="X124" s="2"/>
      <c r="Y124" s="38"/>
    </row>
    <row r="125" spans="2:25" ht="15.75" customHeight="1" x14ac:dyDescent="0.3">
      <c r="B125" s="2"/>
      <c r="C125" s="61" t="s">
        <v>299</v>
      </c>
      <c r="D125" s="62" t="s">
        <v>309</v>
      </c>
      <c r="E125" s="63" t="s">
        <v>310</v>
      </c>
      <c r="F125" s="64">
        <f>+'COMUNAS - HOME DELIVERY 2025'!F125*'COMUNAS - HOME DELIVERY 2025'!$Q$7</f>
        <v>3790.5360000000001</v>
      </c>
      <c r="G125" s="65">
        <f>+'COMUNAS - HOME DELIVERY 2025'!G125*'COMUNAS - HOME DELIVERY 2025'!$Q$7</f>
        <v>4010.3520000000003</v>
      </c>
      <c r="H125" s="65">
        <f>+'COMUNAS - HOME DELIVERY 2025'!H125*'COMUNAS - HOME DELIVERY 2025'!$Q$7</f>
        <v>4639.8720000000003</v>
      </c>
      <c r="I125" s="65">
        <f>+'COMUNAS - HOME DELIVERY 2025'!I125*'COMUNAS - HOME DELIVERY 2025'!$Q$7</f>
        <v>5397.3600000000006</v>
      </c>
      <c r="J125" s="65">
        <f>+'COMUNAS - HOME DELIVERY 2025'!J125*'COMUNAS - HOME DELIVERY 2025'!$Q$7</f>
        <v>6671.88</v>
      </c>
      <c r="K125" s="65">
        <f>+'COMUNAS - HOME DELIVERY 2025'!K125*'COMUNAS - HOME DELIVERY 2025'!$Q$7</f>
        <v>8017.6080000000002</v>
      </c>
      <c r="L125" s="65">
        <f>+'COMUNAS - HOME DELIVERY 2025'!L125*'COMUNAS - HOME DELIVERY 2025'!$Q$7</f>
        <v>9010.3919999999998</v>
      </c>
      <c r="M125" s="66">
        <f>+'COMUNAS - HOME DELIVERY 2025'!M125*'COMUNAS - HOME DELIVERY 2025'!$Q$7</f>
        <v>459.24</v>
      </c>
      <c r="N125" s="67">
        <f>+'COMUNAS - HOME DELIVERY 2025'!N125*'COMUNAS - HOME DELIVERY 2025'!$Q$7</f>
        <v>385.96800000000002</v>
      </c>
      <c r="O125" s="60"/>
      <c r="P125" s="2"/>
      <c r="Q125" s="2"/>
      <c r="R125" s="2"/>
      <c r="S125" s="2"/>
      <c r="T125" s="2"/>
      <c r="U125" s="2"/>
      <c r="V125" s="2"/>
      <c r="W125" s="2"/>
      <c r="X125" s="2"/>
      <c r="Y125" s="38"/>
    </row>
    <row r="126" spans="2:25" ht="15.75" customHeight="1" x14ac:dyDescent="0.3">
      <c r="B126" s="2"/>
      <c r="C126" s="61" t="s">
        <v>299</v>
      </c>
      <c r="D126" s="62" t="s">
        <v>311</v>
      </c>
      <c r="E126" s="63" t="s">
        <v>312</v>
      </c>
      <c r="F126" s="64">
        <f>+'COMUNAS - HOME DELIVERY 2025'!F126*'COMUNAS - HOME DELIVERY 2025'!$Q$7</f>
        <v>3790.5360000000001</v>
      </c>
      <c r="G126" s="65">
        <f>+'COMUNAS - HOME DELIVERY 2025'!G126*'COMUNAS - HOME DELIVERY 2025'!$Q$7</f>
        <v>4010.3520000000003</v>
      </c>
      <c r="H126" s="65">
        <f>+'COMUNAS - HOME DELIVERY 2025'!H126*'COMUNAS - HOME DELIVERY 2025'!$Q$7</f>
        <v>4639.8720000000003</v>
      </c>
      <c r="I126" s="65">
        <f>+'COMUNAS - HOME DELIVERY 2025'!I126*'COMUNAS - HOME DELIVERY 2025'!$Q$7</f>
        <v>5397.3600000000006</v>
      </c>
      <c r="J126" s="65">
        <f>+'COMUNAS - HOME DELIVERY 2025'!J126*'COMUNAS - HOME DELIVERY 2025'!$Q$7</f>
        <v>6671.88</v>
      </c>
      <c r="K126" s="65">
        <f>+'COMUNAS - HOME DELIVERY 2025'!K126*'COMUNAS - HOME DELIVERY 2025'!$Q$7</f>
        <v>8017.6080000000002</v>
      </c>
      <c r="L126" s="65">
        <f>+'COMUNAS - HOME DELIVERY 2025'!L126*'COMUNAS - HOME DELIVERY 2025'!$Q$7</f>
        <v>9010.3919999999998</v>
      </c>
      <c r="M126" s="66">
        <f>+'COMUNAS - HOME DELIVERY 2025'!M126*'COMUNAS - HOME DELIVERY 2025'!$Q$7</f>
        <v>459.24</v>
      </c>
      <c r="N126" s="67">
        <f>+'COMUNAS - HOME DELIVERY 2025'!N126*'COMUNAS - HOME DELIVERY 2025'!$Q$7</f>
        <v>385.96800000000002</v>
      </c>
      <c r="O126" s="60"/>
      <c r="P126" s="2"/>
      <c r="Q126" s="2"/>
      <c r="R126" s="2"/>
      <c r="S126" s="2"/>
      <c r="T126" s="2"/>
      <c r="U126" s="2"/>
      <c r="V126" s="2"/>
      <c r="W126" s="2"/>
      <c r="X126" s="2"/>
      <c r="Y126" s="38"/>
    </row>
    <row r="127" spans="2:25" ht="15.75" customHeight="1" x14ac:dyDescent="0.3">
      <c r="B127" s="2"/>
      <c r="C127" s="61" t="s">
        <v>299</v>
      </c>
      <c r="D127" s="62" t="s">
        <v>313</v>
      </c>
      <c r="E127" s="63" t="s">
        <v>314</v>
      </c>
      <c r="F127" s="64">
        <f>+'COMUNAS - HOME DELIVERY 2025'!F127*'COMUNAS - HOME DELIVERY 2025'!$Q$7</f>
        <v>3790.5360000000001</v>
      </c>
      <c r="G127" s="65">
        <f>+'COMUNAS - HOME DELIVERY 2025'!G127*'COMUNAS - HOME DELIVERY 2025'!$Q$7</f>
        <v>4010.3520000000003</v>
      </c>
      <c r="H127" s="65">
        <f>+'COMUNAS - HOME DELIVERY 2025'!H127*'COMUNAS - HOME DELIVERY 2025'!$Q$7</f>
        <v>4639.8720000000003</v>
      </c>
      <c r="I127" s="65">
        <f>+'COMUNAS - HOME DELIVERY 2025'!I127*'COMUNAS - HOME DELIVERY 2025'!$Q$7</f>
        <v>5397.3600000000006</v>
      </c>
      <c r="J127" s="65">
        <f>+'COMUNAS - HOME DELIVERY 2025'!J127*'COMUNAS - HOME DELIVERY 2025'!$Q$7</f>
        <v>6671.88</v>
      </c>
      <c r="K127" s="65">
        <f>+'COMUNAS - HOME DELIVERY 2025'!K127*'COMUNAS - HOME DELIVERY 2025'!$Q$7</f>
        <v>8017.6080000000002</v>
      </c>
      <c r="L127" s="65">
        <f>+'COMUNAS - HOME DELIVERY 2025'!L127*'COMUNAS - HOME DELIVERY 2025'!$Q$7</f>
        <v>9010.3919999999998</v>
      </c>
      <c r="M127" s="66">
        <f>+'COMUNAS - HOME DELIVERY 2025'!M127*'COMUNAS - HOME DELIVERY 2025'!$Q$7</f>
        <v>459.24</v>
      </c>
      <c r="N127" s="67">
        <f>+'COMUNAS - HOME DELIVERY 2025'!N127*'COMUNAS - HOME DELIVERY 2025'!$Q$7</f>
        <v>385.96800000000002</v>
      </c>
      <c r="O127" s="60"/>
      <c r="P127" s="2"/>
      <c r="Q127" s="2"/>
      <c r="R127" s="2"/>
      <c r="S127" s="2"/>
      <c r="T127" s="2"/>
      <c r="U127" s="2"/>
      <c r="V127" s="2"/>
      <c r="W127" s="2"/>
      <c r="X127" s="2"/>
      <c r="Y127" s="38"/>
    </row>
    <row r="128" spans="2:25" ht="15.75" customHeight="1" x14ac:dyDescent="0.3">
      <c r="B128" s="2"/>
      <c r="C128" s="61" t="s">
        <v>299</v>
      </c>
      <c r="D128" s="62" t="s">
        <v>315</v>
      </c>
      <c r="E128" s="63" t="s">
        <v>316</v>
      </c>
      <c r="F128" s="64">
        <f>+'COMUNAS - HOME DELIVERY 2025'!F128*'COMUNAS - HOME DELIVERY 2025'!$Q$7</f>
        <v>5555.7719999999999</v>
      </c>
      <c r="G128" s="65">
        <f>+'COMUNAS - HOME DELIVERY 2025'!G128*'COMUNAS - HOME DELIVERY 2025'!$Q$7</f>
        <v>5942.7719999999999</v>
      </c>
      <c r="H128" s="65">
        <f>+'COMUNAS - HOME DELIVERY 2025'!H128*'COMUNAS - HOME DELIVERY 2025'!$Q$7</f>
        <v>6744.6360000000004</v>
      </c>
      <c r="I128" s="65">
        <f>+'COMUNAS - HOME DELIVERY 2025'!I128*'COMUNAS - HOME DELIVERY 2025'!$Q$7</f>
        <v>7987.68</v>
      </c>
      <c r="J128" s="65">
        <f>+'COMUNAS - HOME DELIVERY 2025'!J128*'COMUNAS - HOME DELIVERY 2025'!$Q$7</f>
        <v>9924.228000000001</v>
      </c>
      <c r="K128" s="65">
        <f>+'COMUNAS - HOME DELIVERY 2025'!K128*'COMUNAS - HOME DELIVERY 2025'!$Q$7</f>
        <v>11215.26</v>
      </c>
      <c r="L128" s="65">
        <f>+'COMUNAS - HOME DELIVERY 2025'!L128*'COMUNAS - HOME DELIVERY 2025'!$Q$7</f>
        <v>12586.788</v>
      </c>
      <c r="M128" s="66">
        <f>+'COMUNAS - HOME DELIVERY 2025'!M128*'COMUNAS - HOME DELIVERY 2025'!$Q$7</f>
        <v>634.68000000000006</v>
      </c>
      <c r="N128" s="67">
        <f>+'COMUNAS - HOME DELIVERY 2025'!N128*'COMUNAS - HOME DELIVERY 2025'!$Q$7</f>
        <v>526.32000000000005</v>
      </c>
      <c r="O128" s="60"/>
      <c r="P128" s="2"/>
      <c r="Q128" s="2"/>
      <c r="R128" s="2"/>
      <c r="S128" s="2"/>
      <c r="T128" s="2"/>
      <c r="U128" s="2"/>
      <c r="V128" s="2"/>
      <c r="W128" s="2"/>
      <c r="X128" s="2"/>
      <c r="Y128" s="38"/>
    </row>
    <row r="129" spans="2:25" ht="15.75" customHeight="1" x14ac:dyDescent="0.3">
      <c r="B129" s="2"/>
      <c r="C129" s="61" t="s">
        <v>299</v>
      </c>
      <c r="D129" s="62" t="s">
        <v>317</v>
      </c>
      <c r="E129" s="63" t="s">
        <v>318</v>
      </c>
      <c r="F129" s="64">
        <f>+'COMUNAS - HOME DELIVERY 2025'!F129*'COMUNAS - HOME DELIVERY 2025'!$Q$7</f>
        <v>3790.5360000000001</v>
      </c>
      <c r="G129" s="65">
        <f>+'COMUNAS - HOME DELIVERY 2025'!G129*'COMUNAS - HOME DELIVERY 2025'!$Q$7</f>
        <v>4010.3520000000003</v>
      </c>
      <c r="H129" s="65">
        <f>+'COMUNAS - HOME DELIVERY 2025'!H129*'COMUNAS - HOME DELIVERY 2025'!$Q$7</f>
        <v>4639.8720000000003</v>
      </c>
      <c r="I129" s="65">
        <f>+'COMUNAS - HOME DELIVERY 2025'!I129*'COMUNAS - HOME DELIVERY 2025'!$Q$7</f>
        <v>5397.3600000000006</v>
      </c>
      <c r="J129" s="65">
        <f>+'COMUNAS - HOME DELIVERY 2025'!J129*'COMUNAS - HOME DELIVERY 2025'!$Q$7</f>
        <v>6671.88</v>
      </c>
      <c r="K129" s="65">
        <f>+'COMUNAS - HOME DELIVERY 2025'!K129*'COMUNAS - HOME DELIVERY 2025'!$Q$7</f>
        <v>8017.6080000000002</v>
      </c>
      <c r="L129" s="65">
        <f>+'COMUNAS - HOME DELIVERY 2025'!L129*'COMUNAS - HOME DELIVERY 2025'!$Q$7</f>
        <v>9010.3919999999998</v>
      </c>
      <c r="M129" s="66">
        <f>+'COMUNAS - HOME DELIVERY 2025'!M129*'COMUNAS - HOME DELIVERY 2025'!$Q$7</f>
        <v>459.24</v>
      </c>
      <c r="N129" s="67">
        <f>+'COMUNAS - HOME DELIVERY 2025'!N129*'COMUNAS - HOME DELIVERY 2025'!$Q$7</f>
        <v>385.96800000000002</v>
      </c>
      <c r="O129" s="60"/>
      <c r="P129" s="2"/>
      <c r="Q129" s="2"/>
      <c r="R129" s="2"/>
      <c r="S129" s="2"/>
      <c r="T129" s="2"/>
      <c r="U129" s="2"/>
      <c r="V129" s="2"/>
      <c r="W129" s="2"/>
      <c r="X129" s="2"/>
      <c r="Y129" s="38"/>
    </row>
    <row r="130" spans="2:25" ht="15.75" customHeight="1" x14ac:dyDescent="0.3">
      <c r="B130" s="2"/>
      <c r="C130" s="61" t="s">
        <v>299</v>
      </c>
      <c r="D130" s="62" t="s">
        <v>319</v>
      </c>
      <c r="E130" s="63" t="s">
        <v>320</v>
      </c>
      <c r="F130" s="64">
        <f>+'COMUNAS - HOME DELIVERY 2025'!F130*'COMUNAS - HOME DELIVERY 2025'!$Q$7</f>
        <v>5555.7719999999999</v>
      </c>
      <c r="G130" s="65">
        <f>+'COMUNAS - HOME DELIVERY 2025'!G130*'COMUNAS - HOME DELIVERY 2025'!$Q$7</f>
        <v>5942.7719999999999</v>
      </c>
      <c r="H130" s="65">
        <f>+'COMUNAS - HOME DELIVERY 2025'!H130*'COMUNAS - HOME DELIVERY 2025'!$Q$7</f>
        <v>6744.6360000000004</v>
      </c>
      <c r="I130" s="65">
        <f>+'COMUNAS - HOME DELIVERY 2025'!I130*'COMUNAS - HOME DELIVERY 2025'!$Q$7</f>
        <v>7987.68</v>
      </c>
      <c r="J130" s="65">
        <f>+'COMUNAS - HOME DELIVERY 2025'!J130*'COMUNAS - HOME DELIVERY 2025'!$Q$7</f>
        <v>9924.228000000001</v>
      </c>
      <c r="K130" s="65">
        <f>+'COMUNAS - HOME DELIVERY 2025'!K130*'COMUNAS - HOME DELIVERY 2025'!$Q$7</f>
        <v>11215.26</v>
      </c>
      <c r="L130" s="65">
        <f>+'COMUNAS - HOME DELIVERY 2025'!L130*'COMUNAS - HOME DELIVERY 2025'!$Q$7</f>
        <v>12586.788</v>
      </c>
      <c r="M130" s="66">
        <f>+'COMUNAS - HOME DELIVERY 2025'!M130*'COMUNAS - HOME DELIVERY 2025'!$Q$7</f>
        <v>634.68000000000006</v>
      </c>
      <c r="N130" s="67">
        <f>+'COMUNAS - HOME DELIVERY 2025'!N130*'COMUNAS - HOME DELIVERY 2025'!$Q$7</f>
        <v>526.32000000000005</v>
      </c>
      <c r="O130" s="60"/>
      <c r="P130" s="2"/>
      <c r="Q130" s="2"/>
      <c r="R130" s="2"/>
      <c r="S130" s="2"/>
      <c r="T130" s="2"/>
      <c r="U130" s="2"/>
      <c r="V130" s="2"/>
      <c r="W130" s="2"/>
      <c r="X130" s="2"/>
      <c r="Y130" s="38"/>
    </row>
    <row r="131" spans="2:25" ht="15.75" customHeight="1" x14ac:dyDescent="0.3">
      <c r="B131" s="2"/>
      <c r="C131" s="61" t="s">
        <v>299</v>
      </c>
      <c r="D131" s="62" t="s">
        <v>321</v>
      </c>
      <c r="E131" s="63" t="s">
        <v>322</v>
      </c>
      <c r="F131" s="64">
        <f>+'COMUNAS - HOME DELIVERY 2025'!F131*'COMUNAS - HOME DELIVERY 2025'!$Q$7</f>
        <v>5685.8040000000001</v>
      </c>
      <c r="G131" s="65">
        <f>+'COMUNAS - HOME DELIVERY 2025'!G131*'COMUNAS - HOME DELIVERY 2025'!$Q$7</f>
        <v>6015.5280000000002</v>
      </c>
      <c r="H131" s="65">
        <f>+'COMUNAS - HOME DELIVERY 2025'!H131*'COMUNAS - HOME DELIVERY 2025'!$Q$7</f>
        <v>6959.808</v>
      </c>
      <c r="I131" s="65">
        <f>+'COMUNAS - HOME DELIVERY 2025'!I131*'COMUNAS - HOME DELIVERY 2025'!$Q$7</f>
        <v>8096.04</v>
      </c>
      <c r="J131" s="65">
        <f>+'COMUNAS - HOME DELIVERY 2025'!J131*'COMUNAS - HOME DELIVERY 2025'!$Q$7</f>
        <v>10007.82</v>
      </c>
      <c r="K131" s="65">
        <f>+'COMUNAS - HOME DELIVERY 2025'!K131*'COMUNAS - HOME DELIVERY 2025'!$Q$7</f>
        <v>12026.412</v>
      </c>
      <c r="L131" s="65">
        <f>+'COMUNAS - HOME DELIVERY 2025'!L131*'COMUNAS - HOME DELIVERY 2025'!$Q$7</f>
        <v>13515.588</v>
      </c>
      <c r="M131" s="66">
        <f>+'COMUNAS - HOME DELIVERY 2025'!M131*'COMUNAS - HOME DELIVERY 2025'!$Q$7</f>
        <v>688.86</v>
      </c>
      <c r="N131" s="67">
        <f>+'COMUNAS - HOME DELIVERY 2025'!N131*'COMUNAS - HOME DELIVERY 2025'!$Q$7</f>
        <v>578.952</v>
      </c>
      <c r="O131" s="60"/>
      <c r="P131" s="2"/>
      <c r="Q131" s="2"/>
      <c r="R131" s="2"/>
      <c r="S131" s="2"/>
      <c r="T131" s="2"/>
      <c r="U131" s="2"/>
      <c r="V131" s="2"/>
      <c r="W131" s="2"/>
      <c r="X131" s="2"/>
      <c r="Y131" s="38"/>
    </row>
    <row r="132" spans="2:25" ht="15.75" customHeight="1" x14ac:dyDescent="0.3">
      <c r="B132" s="2"/>
      <c r="C132" s="61" t="s">
        <v>299</v>
      </c>
      <c r="D132" s="62" t="s">
        <v>323</v>
      </c>
      <c r="E132" s="63" t="s">
        <v>324</v>
      </c>
      <c r="F132" s="64">
        <f>+'COMUNAS - HOME DELIVERY 2025'!F132*'COMUNAS - HOME DELIVERY 2025'!$Q$7</f>
        <v>3790.5360000000001</v>
      </c>
      <c r="G132" s="65">
        <f>+'COMUNAS - HOME DELIVERY 2025'!G132*'COMUNAS - HOME DELIVERY 2025'!$Q$7</f>
        <v>4010.3520000000003</v>
      </c>
      <c r="H132" s="65">
        <f>+'COMUNAS - HOME DELIVERY 2025'!H132*'COMUNAS - HOME DELIVERY 2025'!$Q$7</f>
        <v>4639.8720000000003</v>
      </c>
      <c r="I132" s="65">
        <f>+'COMUNAS - HOME DELIVERY 2025'!I132*'COMUNAS - HOME DELIVERY 2025'!$Q$7</f>
        <v>5397.3600000000006</v>
      </c>
      <c r="J132" s="65">
        <f>+'COMUNAS - HOME DELIVERY 2025'!J132*'COMUNAS - HOME DELIVERY 2025'!$Q$7</f>
        <v>6671.88</v>
      </c>
      <c r="K132" s="65">
        <f>+'COMUNAS - HOME DELIVERY 2025'!K132*'COMUNAS - HOME DELIVERY 2025'!$Q$7</f>
        <v>8017.6080000000002</v>
      </c>
      <c r="L132" s="65">
        <f>+'COMUNAS - HOME DELIVERY 2025'!L132*'COMUNAS - HOME DELIVERY 2025'!$Q$7</f>
        <v>9010.3919999999998</v>
      </c>
      <c r="M132" s="66">
        <f>+'COMUNAS - HOME DELIVERY 2025'!M132*'COMUNAS - HOME DELIVERY 2025'!$Q$7</f>
        <v>459.24</v>
      </c>
      <c r="N132" s="67">
        <f>+'COMUNAS - HOME DELIVERY 2025'!N132*'COMUNAS - HOME DELIVERY 2025'!$Q$7</f>
        <v>385.96800000000002</v>
      </c>
      <c r="O132" s="60"/>
      <c r="P132" s="2"/>
      <c r="Q132" s="2"/>
      <c r="R132" s="2"/>
      <c r="S132" s="2"/>
      <c r="T132" s="2"/>
      <c r="U132" s="2"/>
      <c r="V132" s="2"/>
      <c r="W132" s="2"/>
      <c r="X132" s="2"/>
      <c r="Y132" s="38"/>
    </row>
    <row r="133" spans="2:25" ht="15.75" customHeight="1" x14ac:dyDescent="0.3">
      <c r="B133" s="2"/>
      <c r="C133" s="61" t="s">
        <v>299</v>
      </c>
      <c r="D133" s="62" t="s">
        <v>325</v>
      </c>
      <c r="E133" s="63" t="s">
        <v>326</v>
      </c>
      <c r="F133" s="64">
        <f>+'COMUNAS - HOME DELIVERY 2025'!F133*'COMUNAS - HOME DELIVERY 2025'!$Q$7</f>
        <v>3790.5360000000001</v>
      </c>
      <c r="G133" s="65">
        <f>+'COMUNAS - HOME DELIVERY 2025'!G133*'COMUNAS - HOME DELIVERY 2025'!$Q$7</f>
        <v>4010.3520000000003</v>
      </c>
      <c r="H133" s="65">
        <f>+'COMUNAS - HOME DELIVERY 2025'!H133*'COMUNAS - HOME DELIVERY 2025'!$Q$7</f>
        <v>4639.8720000000003</v>
      </c>
      <c r="I133" s="65">
        <f>+'COMUNAS - HOME DELIVERY 2025'!I133*'COMUNAS - HOME DELIVERY 2025'!$Q$7</f>
        <v>5397.3600000000006</v>
      </c>
      <c r="J133" s="65">
        <f>+'COMUNAS - HOME DELIVERY 2025'!J133*'COMUNAS - HOME DELIVERY 2025'!$Q$7</f>
        <v>6671.88</v>
      </c>
      <c r="K133" s="65">
        <f>+'COMUNAS - HOME DELIVERY 2025'!K133*'COMUNAS - HOME DELIVERY 2025'!$Q$7</f>
        <v>8017.6080000000002</v>
      </c>
      <c r="L133" s="65">
        <f>+'COMUNAS - HOME DELIVERY 2025'!L133*'COMUNAS - HOME DELIVERY 2025'!$Q$7</f>
        <v>9010.3919999999998</v>
      </c>
      <c r="M133" s="66">
        <f>+'COMUNAS - HOME DELIVERY 2025'!M133*'COMUNAS - HOME DELIVERY 2025'!$Q$7</f>
        <v>459.24</v>
      </c>
      <c r="N133" s="67">
        <f>+'COMUNAS - HOME DELIVERY 2025'!N133*'COMUNAS - HOME DELIVERY 2025'!$Q$7</f>
        <v>385.96800000000002</v>
      </c>
      <c r="O133" s="60"/>
      <c r="P133" s="2"/>
      <c r="Q133" s="2"/>
      <c r="R133" s="2"/>
      <c r="S133" s="2"/>
      <c r="T133" s="2"/>
      <c r="U133" s="2"/>
      <c r="V133" s="2"/>
      <c r="W133" s="2"/>
      <c r="X133" s="2"/>
      <c r="Y133" s="38"/>
    </row>
    <row r="134" spans="2:25" ht="15.75" customHeight="1" x14ac:dyDescent="0.3">
      <c r="B134" s="2"/>
      <c r="C134" s="61" t="s">
        <v>299</v>
      </c>
      <c r="D134" s="62" t="s">
        <v>327</v>
      </c>
      <c r="E134" s="63" t="s">
        <v>328</v>
      </c>
      <c r="F134" s="64">
        <f>+'COMUNAS - HOME DELIVERY 2025'!F134*'COMUNAS - HOME DELIVERY 2025'!$Q$7</f>
        <v>3790.5360000000001</v>
      </c>
      <c r="G134" s="65">
        <f>+'COMUNAS - HOME DELIVERY 2025'!G134*'COMUNAS - HOME DELIVERY 2025'!$Q$7</f>
        <v>4010.3520000000003</v>
      </c>
      <c r="H134" s="65">
        <f>+'COMUNAS - HOME DELIVERY 2025'!H134*'COMUNAS - HOME DELIVERY 2025'!$Q$7</f>
        <v>4639.8720000000003</v>
      </c>
      <c r="I134" s="65">
        <f>+'COMUNAS - HOME DELIVERY 2025'!I134*'COMUNAS - HOME DELIVERY 2025'!$Q$7</f>
        <v>5397.3600000000006</v>
      </c>
      <c r="J134" s="65">
        <f>+'COMUNAS - HOME DELIVERY 2025'!J134*'COMUNAS - HOME DELIVERY 2025'!$Q$7</f>
        <v>6671.88</v>
      </c>
      <c r="K134" s="65">
        <f>+'COMUNAS - HOME DELIVERY 2025'!K134*'COMUNAS - HOME DELIVERY 2025'!$Q$7</f>
        <v>8017.6080000000002</v>
      </c>
      <c r="L134" s="65">
        <f>+'COMUNAS - HOME DELIVERY 2025'!L134*'COMUNAS - HOME DELIVERY 2025'!$Q$7</f>
        <v>9010.3919999999998</v>
      </c>
      <c r="M134" s="66">
        <f>+'COMUNAS - HOME DELIVERY 2025'!M134*'COMUNAS - HOME DELIVERY 2025'!$Q$7</f>
        <v>459.24</v>
      </c>
      <c r="N134" s="67">
        <f>+'COMUNAS - HOME DELIVERY 2025'!N134*'COMUNAS - HOME DELIVERY 2025'!$Q$7</f>
        <v>385.96800000000002</v>
      </c>
      <c r="O134" s="60"/>
      <c r="P134" s="2"/>
      <c r="Q134" s="2"/>
      <c r="R134" s="2"/>
      <c r="S134" s="2"/>
      <c r="T134" s="2"/>
      <c r="U134" s="2"/>
      <c r="V134" s="2"/>
      <c r="W134" s="2"/>
      <c r="X134" s="2"/>
      <c r="Y134" s="38"/>
    </row>
    <row r="135" spans="2:25" ht="15.75" customHeight="1" x14ac:dyDescent="0.3">
      <c r="B135" s="2"/>
      <c r="C135" s="61" t="s">
        <v>299</v>
      </c>
      <c r="D135" s="62" t="s">
        <v>329</v>
      </c>
      <c r="E135" s="63" t="s">
        <v>330</v>
      </c>
      <c r="F135" s="64">
        <f>+'COMUNAS - HOME DELIVERY 2025'!F135*'COMUNAS - HOME DELIVERY 2025'!$Q$7</f>
        <v>3790.5360000000001</v>
      </c>
      <c r="G135" s="65">
        <f>+'COMUNAS - HOME DELIVERY 2025'!G135*'COMUNAS - HOME DELIVERY 2025'!$Q$7</f>
        <v>4010.3520000000003</v>
      </c>
      <c r="H135" s="65">
        <f>+'COMUNAS - HOME DELIVERY 2025'!H135*'COMUNAS - HOME DELIVERY 2025'!$Q$7</f>
        <v>4639.8720000000003</v>
      </c>
      <c r="I135" s="65">
        <f>+'COMUNAS - HOME DELIVERY 2025'!I135*'COMUNAS - HOME DELIVERY 2025'!$Q$7</f>
        <v>5397.3600000000006</v>
      </c>
      <c r="J135" s="65">
        <f>+'COMUNAS - HOME DELIVERY 2025'!J135*'COMUNAS - HOME DELIVERY 2025'!$Q$7</f>
        <v>6671.88</v>
      </c>
      <c r="K135" s="65">
        <f>+'COMUNAS - HOME DELIVERY 2025'!K135*'COMUNAS - HOME DELIVERY 2025'!$Q$7</f>
        <v>8017.6080000000002</v>
      </c>
      <c r="L135" s="65">
        <f>+'COMUNAS - HOME DELIVERY 2025'!L135*'COMUNAS - HOME DELIVERY 2025'!$Q$7</f>
        <v>9010.3919999999998</v>
      </c>
      <c r="M135" s="66">
        <f>+'COMUNAS - HOME DELIVERY 2025'!M135*'COMUNAS - HOME DELIVERY 2025'!$Q$7</f>
        <v>459.24</v>
      </c>
      <c r="N135" s="67">
        <f>+'COMUNAS - HOME DELIVERY 2025'!N135*'COMUNAS - HOME DELIVERY 2025'!$Q$7</f>
        <v>385.96800000000002</v>
      </c>
      <c r="O135" s="60"/>
      <c r="P135" s="2"/>
      <c r="Q135" s="2"/>
      <c r="R135" s="2"/>
      <c r="S135" s="2"/>
      <c r="T135" s="2"/>
      <c r="U135" s="2"/>
      <c r="V135" s="2"/>
      <c r="W135" s="2"/>
      <c r="X135" s="2"/>
      <c r="Y135" s="38"/>
    </row>
    <row r="136" spans="2:25" ht="15.75" customHeight="1" x14ac:dyDescent="0.3">
      <c r="B136" s="2"/>
      <c r="C136" s="61" t="s">
        <v>299</v>
      </c>
      <c r="D136" s="62" t="s">
        <v>331</v>
      </c>
      <c r="E136" s="63" t="s">
        <v>332</v>
      </c>
      <c r="F136" s="64">
        <f>+'COMUNAS - HOME DELIVERY 2025'!F136*'COMUNAS - HOME DELIVERY 2025'!$Q$7</f>
        <v>5555.7719999999999</v>
      </c>
      <c r="G136" s="65">
        <f>+'COMUNAS - HOME DELIVERY 2025'!G136*'COMUNAS - HOME DELIVERY 2025'!$Q$7</f>
        <v>5942.7719999999999</v>
      </c>
      <c r="H136" s="65">
        <f>+'COMUNAS - HOME DELIVERY 2025'!H136*'COMUNAS - HOME DELIVERY 2025'!$Q$7</f>
        <v>6744.6360000000004</v>
      </c>
      <c r="I136" s="65">
        <f>+'COMUNAS - HOME DELIVERY 2025'!I136*'COMUNAS - HOME DELIVERY 2025'!$Q$7</f>
        <v>7987.68</v>
      </c>
      <c r="J136" s="65">
        <f>+'COMUNAS - HOME DELIVERY 2025'!J136*'COMUNAS - HOME DELIVERY 2025'!$Q$7</f>
        <v>9924.228000000001</v>
      </c>
      <c r="K136" s="65">
        <f>+'COMUNAS - HOME DELIVERY 2025'!K136*'COMUNAS - HOME DELIVERY 2025'!$Q$7</f>
        <v>11215.26</v>
      </c>
      <c r="L136" s="65">
        <f>+'COMUNAS - HOME DELIVERY 2025'!L136*'COMUNAS - HOME DELIVERY 2025'!$Q$7</f>
        <v>12586.788</v>
      </c>
      <c r="M136" s="66">
        <f>+'COMUNAS - HOME DELIVERY 2025'!M136*'COMUNAS - HOME DELIVERY 2025'!$Q$7</f>
        <v>634.68000000000006</v>
      </c>
      <c r="N136" s="67">
        <f>+'COMUNAS - HOME DELIVERY 2025'!N136*'COMUNAS - HOME DELIVERY 2025'!$Q$7</f>
        <v>526.32000000000005</v>
      </c>
      <c r="O136" s="60"/>
      <c r="P136" s="2"/>
      <c r="Q136" s="2"/>
      <c r="R136" s="2"/>
      <c r="S136" s="2"/>
      <c r="T136" s="2"/>
      <c r="U136" s="2"/>
      <c r="V136" s="2"/>
      <c r="W136" s="2"/>
      <c r="X136" s="2"/>
      <c r="Y136" s="38"/>
    </row>
    <row r="137" spans="2:25" ht="15.75" customHeight="1" x14ac:dyDescent="0.3">
      <c r="B137" s="2"/>
      <c r="C137" s="61" t="s">
        <v>299</v>
      </c>
      <c r="D137" s="62" t="s">
        <v>333</v>
      </c>
      <c r="E137" s="63" t="s">
        <v>334</v>
      </c>
      <c r="F137" s="64">
        <f>+'COMUNAS - HOME DELIVERY 2025'!F137*'COMUNAS - HOME DELIVERY 2025'!$Q$7</f>
        <v>3790.5360000000001</v>
      </c>
      <c r="G137" s="65">
        <f>+'COMUNAS - HOME DELIVERY 2025'!G137*'COMUNAS - HOME DELIVERY 2025'!$Q$7</f>
        <v>4010.3520000000003</v>
      </c>
      <c r="H137" s="65">
        <f>+'COMUNAS - HOME DELIVERY 2025'!H137*'COMUNAS - HOME DELIVERY 2025'!$Q$7</f>
        <v>4639.8720000000003</v>
      </c>
      <c r="I137" s="65">
        <f>+'COMUNAS - HOME DELIVERY 2025'!I137*'COMUNAS - HOME DELIVERY 2025'!$Q$7</f>
        <v>5397.3600000000006</v>
      </c>
      <c r="J137" s="65">
        <f>+'COMUNAS - HOME DELIVERY 2025'!J137*'COMUNAS - HOME DELIVERY 2025'!$Q$7</f>
        <v>6671.88</v>
      </c>
      <c r="K137" s="65">
        <f>+'COMUNAS - HOME DELIVERY 2025'!K137*'COMUNAS - HOME DELIVERY 2025'!$Q$7</f>
        <v>8017.6080000000002</v>
      </c>
      <c r="L137" s="65">
        <f>+'COMUNAS - HOME DELIVERY 2025'!L137*'COMUNAS - HOME DELIVERY 2025'!$Q$7</f>
        <v>9010.3919999999998</v>
      </c>
      <c r="M137" s="66">
        <f>+'COMUNAS - HOME DELIVERY 2025'!M137*'COMUNAS - HOME DELIVERY 2025'!$Q$7</f>
        <v>459.24</v>
      </c>
      <c r="N137" s="67">
        <f>+'COMUNAS - HOME DELIVERY 2025'!N137*'COMUNAS - HOME DELIVERY 2025'!$Q$7</f>
        <v>385.96800000000002</v>
      </c>
      <c r="O137" s="60"/>
      <c r="P137" s="2"/>
      <c r="Q137" s="2"/>
      <c r="R137" s="2"/>
      <c r="S137" s="2"/>
      <c r="T137" s="2"/>
      <c r="U137" s="2"/>
      <c r="V137" s="2"/>
      <c r="W137" s="2"/>
      <c r="X137" s="2"/>
      <c r="Y137" s="38"/>
    </row>
    <row r="138" spans="2:25" ht="15.75" customHeight="1" x14ac:dyDescent="0.3">
      <c r="B138" s="2"/>
      <c r="C138" s="61" t="s">
        <v>299</v>
      </c>
      <c r="D138" s="62" t="s">
        <v>335</v>
      </c>
      <c r="E138" s="63" t="s">
        <v>336</v>
      </c>
      <c r="F138" s="64">
        <f>+'COMUNAS - HOME DELIVERY 2025'!F138*'COMUNAS - HOME DELIVERY 2025'!$Q$7</f>
        <v>3790.5360000000001</v>
      </c>
      <c r="G138" s="65">
        <f>+'COMUNAS - HOME DELIVERY 2025'!G138*'COMUNAS - HOME DELIVERY 2025'!$Q$7</f>
        <v>4010.3520000000003</v>
      </c>
      <c r="H138" s="65">
        <f>+'COMUNAS - HOME DELIVERY 2025'!H138*'COMUNAS - HOME DELIVERY 2025'!$Q$7</f>
        <v>4639.8720000000003</v>
      </c>
      <c r="I138" s="65">
        <f>+'COMUNAS - HOME DELIVERY 2025'!I138*'COMUNAS - HOME DELIVERY 2025'!$Q$7</f>
        <v>5397.3600000000006</v>
      </c>
      <c r="J138" s="65">
        <f>+'COMUNAS - HOME DELIVERY 2025'!J138*'COMUNAS - HOME DELIVERY 2025'!$Q$7</f>
        <v>6671.88</v>
      </c>
      <c r="K138" s="65">
        <f>+'COMUNAS - HOME DELIVERY 2025'!K138*'COMUNAS - HOME DELIVERY 2025'!$Q$7</f>
        <v>8017.6080000000002</v>
      </c>
      <c r="L138" s="65">
        <f>+'COMUNAS - HOME DELIVERY 2025'!L138*'COMUNAS - HOME DELIVERY 2025'!$Q$7</f>
        <v>9010.3919999999998</v>
      </c>
      <c r="M138" s="66">
        <f>+'COMUNAS - HOME DELIVERY 2025'!M138*'COMUNAS - HOME DELIVERY 2025'!$Q$7</f>
        <v>459.24</v>
      </c>
      <c r="N138" s="67">
        <f>+'COMUNAS - HOME DELIVERY 2025'!N138*'COMUNAS - HOME DELIVERY 2025'!$Q$7</f>
        <v>385.96800000000002</v>
      </c>
      <c r="O138" s="60"/>
      <c r="P138" s="2"/>
      <c r="Q138" s="2"/>
      <c r="R138" s="2"/>
      <c r="S138" s="2"/>
      <c r="T138" s="2"/>
      <c r="U138" s="2"/>
      <c r="V138" s="2"/>
      <c r="W138" s="2"/>
      <c r="X138" s="2"/>
      <c r="Y138" s="38"/>
    </row>
    <row r="139" spans="2:25" ht="15.75" customHeight="1" x14ac:dyDescent="0.3">
      <c r="B139" s="2"/>
      <c r="C139" s="61" t="s">
        <v>299</v>
      </c>
      <c r="D139" s="62" t="s">
        <v>337</v>
      </c>
      <c r="E139" s="63" t="s">
        <v>338</v>
      </c>
      <c r="F139" s="64">
        <f>+'COMUNAS - HOME DELIVERY 2025'!F139*'COMUNAS - HOME DELIVERY 2025'!$Q$7</f>
        <v>5685.8040000000001</v>
      </c>
      <c r="G139" s="65">
        <f>+'COMUNAS - HOME DELIVERY 2025'!G139*'COMUNAS - HOME DELIVERY 2025'!$Q$7</f>
        <v>6015.5280000000002</v>
      </c>
      <c r="H139" s="65">
        <f>+'COMUNAS - HOME DELIVERY 2025'!H139*'COMUNAS - HOME DELIVERY 2025'!$Q$7</f>
        <v>6959.808</v>
      </c>
      <c r="I139" s="65">
        <f>+'COMUNAS - HOME DELIVERY 2025'!I139*'COMUNAS - HOME DELIVERY 2025'!$Q$7</f>
        <v>8096.04</v>
      </c>
      <c r="J139" s="65">
        <f>+'COMUNAS - HOME DELIVERY 2025'!J139*'COMUNAS - HOME DELIVERY 2025'!$Q$7</f>
        <v>10007.82</v>
      </c>
      <c r="K139" s="65">
        <f>+'COMUNAS - HOME DELIVERY 2025'!K139*'COMUNAS - HOME DELIVERY 2025'!$Q$7</f>
        <v>12026.412</v>
      </c>
      <c r="L139" s="65">
        <f>+'COMUNAS - HOME DELIVERY 2025'!L139*'COMUNAS - HOME DELIVERY 2025'!$Q$7</f>
        <v>13515.588</v>
      </c>
      <c r="M139" s="66">
        <f>+'COMUNAS - HOME DELIVERY 2025'!M139*'COMUNAS - HOME DELIVERY 2025'!$Q$7</f>
        <v>688.86</v>
      </c>
      <c r="N139" s="67">
        <f>+'COMUNAS - HOME DELIVERY 2025'!N139*'COMUNAS - HOME DELIVERY 2025'!$Q$7</f>
        <v>578.952</v>
      </c>
      <c r="O139" s="60"/>
      <c r="P139" s="2"/>
      <c r="Q139" s="2"/>
      <c r="R139" s="2"/>
      <c r="S139" s="2"/>
      <c r="T139" s="2"/>
      <c r="U139" s="2"/>
      <c r="V139" s="2"/>
      <c r="W139" s="2"/>
      <c r="X139" s="2"/>
      <c r="Y139" s="38"/>
    </row>
    <row r="140" spans="2:25" ht="15.75" customHeight="1" x14ac:dyDescent="0.3">
      <c r="B140" s="2"/>
      <c r="C140" s="61" t="s">
        <v>299</v>
      </c>
      <c r="D140" s="62" t="s">
        <v>339</v>
      </c>
      <c r="E140" s="63" t="s">
        <v>340</v>
      </c>
      <c r="F140" s="64">
        <f>+'COMUNAS - HOME DELIVERY 2025'!F140*'COMUNAS - HOME DELIVERY 2025'!$Q$7</f>
        <v>3790.5360000000001</v>
      </c>
      <c r="G140" s="65">
        <f>+'COMUNAS - HOME DELIVERY 2025'!G140*'COMUNAS - HOME DELIVERY 2025'!$Q$7</f>
        <v>4010.3520000000003</v>
      </c>
      <c r="H140" s="65">
        <f>+'COMUNAS - HOME DELIVERY 2025'!H140*'COMUNAS - HOME DELIVERY 2025'!$Q$7</f>
        <v>4639.8720000000003</v>
      </c>
      <c r="I140" s="65">
        <f>+'COMUNAS - HOME DELIVERY 2025'!I140*'COMUNAS - HOME DELIVERY 2025'!$Q$7</f>
        <v>5397.3600000000006</v>
      </c>
      <c r="J140" s="65">
        <f>+'COMUNAS - HOME DELIVERY 2025'!J140*'COMUNAS - HOME DELIVERY 2025'!$Q$7</f>
        <v>6671.88</v>
      </c>
      <c r="K140" s="65">
        <f>+'COMUNAS - HOME DELIVERY 2025'!K140*'COMUNAS - HOME DELIVERY 2025'!$Q$7</f>
        <v>8017.6080000000002</v>
      </c>
      <c r="L140" s="65">
        <f>+'COMUNAS - HOME DELIVERY 2025'!L140*'COMUNAS - HOME DELIVERY 2025'!$Q$7</f>
        <v>9010.3919999999998</v>
      </c>
      <c r="M140" s="66">
        <f>+'COMUNAS - HOME DELIVERY 2025'!M140*'COMUNAS - HOME DELIVERY 2025'!$Q$7</f>
        <v>459.24</v>
      </c>
      <c r="N140" s="67">
        <f>+'COMUNAS - HOME DELIVERY 2025'!N140*'COMUNAS - HOME DELIVERY 2025'!$Q$7</f>
        <v>385.96800000000002</v>
      </c>
      <c r="O140" s="60"/>
      <c r="P140" s="2"/>
      <c r="Q140" s="2"/>
      <c r="R140" s="2"/>
      <c r="S140" s="2"/>
      <c r="T140" s="2"/>
      <c r="U140" s="2"/>
      <c r="V140" s="2"/>
      <c r="W140" s="2"/>
      <c r="X140" s="2"/>
      <c r="Y140" s="38"/>
    </row>
    <row r="141" spans="2:25" ht="15.75" customHeight="1" x14ac:dyDescent="0.3">
      <c r="B141" s="2"/>
      <c r="C141" s="61" t="s">
        <v>299</v>
      </c>
      <c r="D141" s="62" t="s">
        <v>341</v>
      </c>
      <c r="E141" s="63" t="s">
        <v>342</v>
      </c>
      <c r="F141" s="64">
        <f>+'COMUNAS - HOME DELIVERY 2025'!F141*'COMUNAS - HOME DELIVERY 2025'!$Q$7</f>
        <v>3790.5360000000001</v>
      </c>
      <c r="G141" s="65">
        <f>+'COMUNAS - HOME DELIVERY 2025'!G141*'COMUNAS - HOME DELIVERY 2025'!$Q$7</f>
        <v>4010.3520000000003</v>
      </c>
      <c r="H141" s="65">
        <f>+'COMUNAS - HOME DELIVERY 2025'!H141*'COMUNAS - HOME DELIVERY 2025'!$Q$7</f>
        <v>4639.8720000000003</v>
      </c>
      <c r="I141" s="65">
        <f>+'COMUNAS - HOME DELIVERY 2025'!I141*'COMUNAS - HOME DELIVERY 2025'!$Q$7</f>
        <v>5397.3600000000006</v>
      </c>
      <c r="J141" s="65">
        <f>+'COMUNAS - HOME DELIVERY 2025'!J141*'COMUNAS - HOME DELIVERY 2025'!$Q$7</f>
        <v>6671.88</v>
      </c>
      <c r="K141" s="65">
        <f>+'COMUNAS - HOME DELIVERY 2025'!K141*'COMUNAS - HOME DELIVERY 2025'!$Q$7</f>
        <v>8017.6080000000002</v>
      </c>
      <c r="L141" s="65">
        <f>+'COMUNAS - HOME DELIVERY 2025'!L141*'COMUNAS - HOME DELIVERY 2025'!$Q$7</f>
        <v>9010.3919999999998</v>
      </c>
      <c r="M141" s="66">
        <f>+'COMUNAS - HOME DELIVERY 2025'!M141*'COMUNAS - HOME DELIVERY 2025'!$Q$7</f>
        <v>459.24</v>
      </c>
      <c r="N141" s="67">
        <f>+'COMUNAS - HOME DELIVERY 2025'!N141*'COMUNAS - HOME DELIVERY 2025'!$Q$7</f>
        <v>385.96800000000002</v>
      </c>
      <c r="O141" s="60"/>
      <c r="P141" s="2"/>
      <c r="Q141" s="2"/>
      <c r="R141" s="2"/>
      <c r="S141" s="2"/>
      <c r="T141" s="2"/>
      <c r="U141" s="2"/>
      <c r="V141" s="2"/>
      <c r="W141" s="2"/>
      <c r="X141" s="2"/>
      <c r="Y141" s="38"/>
    </row>
    <row r="142" spans="2:25" ht="15.75" customHeight="1" x14ac:dyDescent="0.3">
      <c r="B142" s="2"/>
      <c r="C142" s="61" t="s">
        <v>299</v>
      </c>
      <c r="D142" s="62" t="s">
        <v>343</v>
      </c>
      <c r="E142" s="63" t="s">
        <v>344</v>
      </c>
      <c r="F142" s="64">
        <f>+'COMUNAS - HOME DELIVERY 2025'!F142*'COMUNAS - HOME DELIVERY 2025'!$Q$7</f>
        <v>5685.8040000000001</v>
      </c>
      <c r="G142" s="65">
        <f>+'COMUNAS - HOME DELIVERY 2025'!G142*'COMUNAS - HOME DELIVERY 2025'!$Q$7</f>
        <v>6015.5280000000002</v>
      </c>
      <c r="H142" s="65">
        <f>+'COMUNAS - HOME DELIVERY 2025'!H142*'COMUNAS - HOME DELIVERY 2025'!$Q$7</f>
        <v>6959.808</v>
      </c>
      <c r="I142" s="65">
        <f>+'COMUNAS - HOME DELIVERY 2025'!I142*'COMUNAS - HOME DELIVERY 2025'!$Q$7</f>
        <v>8096.04</v>
      </c>
      <c r="J142" s="65">
        <f>+'COMUNAS - HOME DELIVERY 2025'!J142*'COMUNAS - HOME DELIVERY 2025'!$Q$7</f>
        <v>10007.82</v>
      </c>
      <c r="K142" s="65">
        <f>+'COMUNAS - HOME DELIVERY 2025'!K142*'COMUNAS - HOME DELIVERY 2025'!$Q$7</f>
        <v>12026.412</v>
      </c>
      <c r="L142" s="65">
        <f>+'COMUNAS - HOME DELIVERY 2025'!L142*'COMUNAS - HOME DELIVERY 2025'!$Q$7</f>
        <v>13515.588</v>
      </c>
      <c r="M142" s="66">
        <f>+'COMUNAS - HOME DELIVERY 2025'!M142*'COMUNAS - HOME DELIVERY 2025'!$Q$7</f>
        <v>688.86</v>
      </c>
      <c r="N142" s="67">
        <f>+'COMUNAS - HOME DELIVERY 2025'!N142*'COMUNAS - HOME DELIVERY 2025'!$Q$7</f>
        <v>578.952</v>
      </c>
      <c r="O142" s="60"/>
      <c r="P142" s="2"/>
      <c r="Q142" s="2"/>
      <c r="R142" s="2"/>
      <c r="S142" s="2"/>
      <c r="T142" s="2"/>
      <c r="U142" s="2"/>
      <c r="V142" s="2"/>
      <c r="W142" s="2"/>
      <c r="X142" s="2"/>
      <c r="Y142" s="38"/>
    </row>
    <row r="143" spans="2:25" ht="15.75" customHeight="1" x14ac:dyDescent="0.3">
      <c r="B143" s="2"/>
      <c r="C143" s="61" t="s">
        <v>299</v>
      </c>
      <c r="D143" s="62" t="s">
        <v>345</v>
      </c>
      <c r="E143" s="63" t="s">
        <v>346</v>
      </c>
      <c r="F143" s="64">
        <f>+'COMUNAS - HOME DELIVERY 2025'!F143*'COMUNAS - HOME DELIVERY 2025'!$Q$7</f>
        <v>3790.5360000000001</v>
      </c>
      <c r="G143" s="65">
        <f>+'COMUNAS - HOME DELIVERY 2025'!G143*'COMUNAS - HOME DELIVERY 2025'!$Q$7</f>
        <v>4010.3520000000003</v>
      </c>
      <c r="H143" s="65">
        <f>+'COMUNAS - HOME DELIVERY 2025'!H143*'COMUNAS - HOME DELIVERY 2025'!$Q$7</f>
        <v>4639.8720000000003</v>
      </c>
      <c r="I143" s="65">
        <f>+'COMUNAS - HOME DELIVERY 2025'!I143*'COMUNAS - HOME DELIVERY 2025'!$Q$7</f>
        <v>5397.3600000000006</v>
      </c>
      <c r="J143" s="65">
        <f>+'COMUNAS - HOME DELIVERY 2025'!J143*'COMUNAS - HOME DELIVERY 2025'!$Q$7</f>
        <v>6671.88</v>
      </c>
      <c r="K143" s="65">
        <f>+'COMUNAS - HOME DELIVERY 2025'!K143*'COMUNAS - HOME DELIVERY 2025'!$Q$7</f>
        <v>8017.6080000000002</v>
      </c>
      <c r="L143" s="65">
        <f>+'COMUNAS - HOME DELIVERY 2025'!L143*'COMUNAS - HOME DELIVERY 2025'!$Q$7</f>
        <v>9010.3919999999998</v>
      </c>
      <c r="M143" s="66">
        <f>+'COMUNAS - HOME DELIVERY 2025'!M143*'COMUNAS - HOME DELIVERY 2025'!$Q$7</f>
        <v>459.24</v>
      </c>
      <c r="N143" s="67">
        <f>+'COMUNAS - HOME DELIVERY 2025'!N143*'COMUNAS - HOME DELIVERY 2025'!$Q$7</f>
        <v>385.96800000000002</v>
      </c>
      <c r="O143" s="60"/>
      <c r="P143" s="2"/>
      <c r="Q143" s="2"/>
      <c r="R143" s="2"/>
      <c r="S143" s="2"/>
      <c r="T143" s="2"/>
      <c r="U143" s="2"/>
      <c r="V143" s="2"/>
      <c r="W143" s="2"/>
      <c r="X143" s="2"/>
      <c r="Y143" s="38"/>
    </row>
    <row r="144" spans="2:25" ht="15.75" customHeight="1" x14ac:dyDescent="0.3">
      <c r="B144" s="2"/>
      <c r="C144" s="61" t="s">
        <v>299</v>
      </c>
      <c r="D144" s="62" t="s">
        <v>347</v>
      </c>
      <c r="E144" s="63" t="s">
        <v>348</v>
      </c>
      <c r="F144" s="64">
        <f>+'COMUNAS - HOME DELIVERY 2025'!F144*'COMUNAS - HOME DELIVERY 2025'!$Q$7</f>
        <v>3790.5360000000001</v>
      </c>
      <c r="G144" s="65">
        <f>+'COMUNAS - HOME DELIVERY 2025'!G144*'COMUNAS - HOME DELIVERY 2025'!$Q$7</f>
        <v>4010.3520000000003</v>
      </c>
      <c r="H144" s="65">
        <f>+'COMUNAS - HOME DELIVERY 2025'!H144*'COMUNAS - HOME DELIVERY 2025'!$Q$7</f>
        <v>4639.8720000000003</v>
      </c>
      <c r="I144" s="65">
        <f>+'COMUNAS - HOME DELIVERY 2025'!I144*'COMUNAS - HOME DELIVERY 2025'!$Q$7</f>
        <v>5397.3600000000006</v>
      </c>
      <c r="J144" s="65">
        <f>+'COMUNAS - HOME DELIVERY 2025'!J144*'COMUNAS - HOME DELIVERY 2025'!$Q$7</f>
        <v>6671.88</v>
      </c>
      <c r="K144" s="65">
        <f>+'COMUNAS - HOME DELIVERY 2025'!K144*'COMUNAS - HOME DELIVERY 2025'!$Q$7</f>
        <v>8017.6080000000002</v>
      </c>
      <c r="L144" s="65">
        <f>+'COMUNAS - HOME DELIVERY 2025'!L144*'COMUNAS - HOME DELIVERY 2025'!$Q$7</f>
        <v>9010.3919999999998</v>
      </c>
      <c r="M144" s="66">
        <f>+'COMUNAS - HOME DELIVERY 2025'!M144*'COMUNAS - HOME DELIVERY 2025'!$Q$7</f>
        <v>459.24</v>
      </c>
      <c r="N144" s="67">
        <f>+'COMUNAS - HOME DELIVERY 2025'!N144*'COMUNAS - HOME DELIVERY 2025'!$Q$7</f>
        <v>385.96800000000002</v>
      </c>
      <c r="O144" s="60"/>
      <c r="P144" s="2"/>
      <c r="Q144" s="2"/>
      <c r="R144" s="2"/>
      <c r="S144" s="2"/>
      <c r="T144" s="2"/>
      <c r="U144" s="2"/>
      <c r="V144" s="2"/>
      <c r="W144" s="2"/>
      <c r="X144" s="2"/>
      <c r="Y144" s="38"/>
    </row>
    <row r="145" spans="2:25" ht="15.75" customHeight="1" x14ac:dyDescent="0.3">
      <c r="B145" s="2"/>
      <c r="C145" s="61" t="s">
        <v>299</v>
      </c>
      <c r="D145" s="62" t="s">
        <v>349</v>
      </c>
      <c r="E145" s="63" t="s">
        <v>350</v>
      </c>
      <c r="F145" s="64">
        <f>+'COMUNAS - HOME DELIVERY 2025'!F145*'COMUNAS - HOME DELIVERY 2025'!$Q$7</f>
        <v>5685.8040000000001</v>
      </c>
      <c r="G145" s="65">
        <f>+'COMUNAS - HOME DELIVERY 2025'!G145*'COMUNAS - HOME DELIVERY 2025'!$Q$7</f>
        <v>6015.5280000000002</v>
      </c>
      <c r="H145" s="65">
        <f>+'COMUNAS - HOME DELIVERY 2025'!H145*'COMUNAS - HOME DELIVERY 2025'!$Q$7</f>
        <v>6959.808</v>
      </c>
      <c r="I145" s="65">
        <f>+'COMUNAS - HOME DELIVERY 2025'!I145*'COMUNAS - HOME DELIVERY 2025'!$Q$7</f>
        <v>8096.04</v>
      </c>
      <c r="J145" s="65">
        <f>+'COMUNAS - HOME DELIVERY 2025'!J145*'COMUNAS - HOME DELIVERY 2025'!$Q$7</f>
        <v>10007.82</v>
      </c>
      <c r="K145" s="65">
        <f>+'COMUNAS - HOME DELIVERY 2025'!K145*'COMUNAS - HOME DELIVERY 2025'!$Q$7</f>
        <v>12026.412</v>
      </c>
      <c r="L145" s="65">
        <f>+'COMUNAS - HOME DELIVERY 2025'!L145*'COMUNAS - HOME DELIVERY 2025'!$Q$7</f>
        <v>13515.588</v>
      </c>
      <c r="M145" s="66">
        <f>+'COMUNAS - HOME DELIVERY 2025'!M145*'COMUNAS - HOME DELIVERY 2025'!$Q$7</f>
        <v>688.86</v>
      </c>
      <c r="N145" s="67">
        <f>+'COMUNAS - HOME DELIVERY 2025'!N145*'COMUNAS - HOME DELIVERY 2025'!$Q$7</f>
        <v>578.952</v>
      </c>
      <c r="O145" s="60"/>
      <c r="P145" s="2"/>
      <c r="Q145" s="2"/>
      <c r="R145" s="2"/>
      <c r="S145" s="2"/>
      <c r="T145" s="2"/>
      <c r="U145" s="2"/>
      <c r="V145" s="2"/>
      <c r="W145" s="2"/>
      <c r="X145" s="2"/>
      <c r="Y145" s="38"/>
    </row>
    <row r="146" spans="2:25" ht="15.75" customHeight="1" x14ac:dyDescent="0.3">
      <c r="B146" s="2"/>
      <c r="C146" s="61" t="s">
        <v>299</v>
      </c>
      <c r="D146" s="62" t="s">
        <v>351</v>
      </c>
      <c r="E146" s="63" t="s">
        <v>352</v>
      </c>
      <c r="F146" s="64">
        <f>+'COMUNAS - HOME DELIVERY 2025'!F146*'COMUNAS - HOME DELIVERY 2025'!$Q$7</f>
        <v>3790.5360000000001</v>
      </c>
      <c r="G146" s="65">
        <f>+'COMUNAS - HOME DELIVERY 2025'!G146*'COMUNAS - HOME DELIVERY 2025'!$Q$7</f>
        <v>4010.3520000000003</v>
      </c>
      <c r="H146" s="65">
        <f>+'COMUNAS - HOME DELIVERY 2025'!H146*'COMUNAS - HOME DELIVERY 2025'!$Q$7</f>
        <v>4639.8720000000003</v>
      </c>
      <c r="I146" s="65">
        <f>+'COMUNAS - HOME DELIVERY 2025'!I146*'COMUNAS - HOME DELIVERY 2025'!$Q$7</f>
        <v>5397.3600000000006</v>
      </c>
      <c r="J146" s="65">
        <f>+'COMUNAS - HOME DELIVERY 2025'!J146*'COMUNAS - HOME DELIVERY 2025'!$Q$7</f>
        <v>6671.88</v>
      </c>
      <c r="K146" s="65">
        <f>+'COMUNAS - HOME DELIVERY 2025'!K146*'COMUNAS - HOME DELIVERY 2025'!$Q$7</f>
        <v>8017.6080000000002</v>
      </c>
      <c r="L146" s="65">
        <f>+'COMUNAS - HOME DELIVERY 2025'!L146*'COMUNAS - HOME DELIVERY 2025'!$Q$7</f>
        <v>9010.3919999999998</v>
      </c>
      <c r="M146" s="66">
        <f>+'COMUNAS - HOME DELIVERY 2025'!M146*'COMUNAS - HOME DELIVERY 2025'!$Q$7</f>
        <v>459.24</v>
      </c>
      <c r="N146" s="67">
        <f>+'COMUNAS - HOME DELIVERY 2025'!N146*'COMUNAS - HOME DELIVERY 2025'!$Q$7</f>
        <v>385.96800000000002</v>
      </c>
      <c r="O146" s="60"/>
      <c r="P146" s="2"/>
      <c r="Q146" s="2"/>
      <c r="R146" s="2"/>
      <c r="S146" s="2"/>
      <c r="T146" s="2"/>
      <c r="U146" s="2"/>
      <c r="V146" s="2"/>
      <c r="W146" s="2"/>
      <c r="X146" s="2"/>
      <c r="Y146" s="38"/>
    </row>
    <row r="147" spans="2:25" ht="15.75" customHeight="1" x14ac:dyDescent="0.3">
      <c r="B147" s="2"/>
      <c r="C147" s="61" t="s">
        <v>299</v>
      </c>
      <c r="D147" s="62" t="s">
        <v>353</v>
      </c>
      <c r="E147" s="63" t="s">
        <v>354</v>
      </c>
      <c r="F147" s="64">
        <f>+'COMUNAS - HOME DELIVERY 2025'!F147*'COMUNAS - HOME DELIVERY 2025'!$Q$7</f>
        <v>3790.5360000000001</v>
      </c>
      <c r="G147" s="65">
        <f>+'COMUNAS - HOME DELIVERY 2025'!G147*'COMUNAS - HOME DELIVERY 2025'!$Q$7</f>
        <v>4010.3520000000003</v>
      </c>
      <c r="H147" s="65">
        <f>+'COMUNAS - HOME DELIVERY 2025'!H147*'COMUNAS - HOME DELIVERY 2025'!$Q$7</f>
        <v>4639.8720000000003</v>
      </c>
      <c r="I147" s="65">
        <f>+'COMUNAS - HOME DELIVERY 2025'!I147*'COMUNAS - HOME DELIVERY 2025'!$Q$7</f>
        <v>5397.3600000000006</v>
      </c>
      <c r="J147" s="65">
        <f>+'COMUNAS - HOME DELIVERY 2025'!J147*'COMUNAS - HOME DELIVERY 2025'!$Q$7</f>
        <v>6671.88</v>
      </c>
      <c r="K147" s="65">
        <f>+'COMUNAS - HOME DELIVERY 2025'!K147*'COMUNAS - HOME DELIVERY 2025'!$Q$7</f>
        <v>8017.6080000000002</v>
      </c>
      <c r="L147" s="65">
        <f>+'COMUNAS - HOME DELIVERY 2025'!L147*'COMUNAS - HOME DELIVERY 2025'!$Q$7</f>
        <v>9010.3919999999998</v>
      </c>
      <c r="M147" s="66">
        <f>+'COMUNAS - HOME DELIVERY 2025'!M147*'COMUNAS - HOME DELIVERY 2025'!$Q$7</f>
        <v>459.24</v>
      </c>
      <c r="N147" s="67">
        <f>+'COMUNAS - HOME DELIVERY 2025'!N147*'COMUNAS - HOME DELIVERY 2025'!$Q$7</f>
        <v>385.96800000000002</v>
      </c>
      <c r="O147" s="60"/>
      <c r="P147" s="2"/>
      <c r="Q147" s="2"/>
      <c r="R147" s="2"/>
      <c r="S147" s="2"/>
      <c r="T147" s="2"/>
      <c r="U147" s="2"/>
      <c r="V147" s="2"/>
      <c r="W147" s="2"/>
      <c r="X147" s="2"/>
      <c r="Y147" s="38"/>
    </row>
    <row r="148" spans="2:25" ht="15.75" customHeight="1" x14ac:dyDescent="0.3">
      <c r="B148" s="2"/>
      <c r="C148" s="61" t="s">
        <v>299</v>
      </c>
      <c r="D148" s="62" t="s">
        <v>355</v>
      </c>
      <c r="E148" s="63" t="s">
        <v>356</v>
      </c>
      <c r="F148" s="64">
        <f>+'COMUNAS - HOME DELIVERY 2025'!F148*'COMUNAS - HOME DELIVERY 2025'!$Q$7</f>
        <v>3790.5360000000001</v>
      </c>
      <c r="G148" s="65">
        <f>+'COMUNAS - HOME DELIVERY 2025'!G148*'COMUNAS - HOME DELIVERY 2025'!$Q$7</f>
        <v>4010.3520000000003</v>
      </c>
      <c r="H148" s="65">
        <f>+'COMUNAS - HOME DELIVERY 2025'!H148*'COMUNAS - HOME DELIVERY 2025'!$Q$7</f>
        <v>4639.8720000000003</v>
      </c>
      <c r="I148" s="65">
        <f>+'COMUNAS - HOME DELIVERY 2025'!I148*'COMUNAS - HOME DELIVERY 2025'!$Q$7</f>
        <v>5397.3600000000006</v>
      </c>
      <c r="J148" s="65">
        <f>+'COMUNAS - HOME DELIVERY 2025'!J148*'COMUNAS - HOME DELIVERY 2025'!$Q$7</f>
        <v>6671.88</v>
      </c>
      <c r="K148" s="65">
        <f>+'COMUNAS - HOME DELIVERY 2025'!K148*'COMUNAS - HOME DELIVERY 2025'!$Q$7</f>
        <v>8017.6080000000002</v>
      </c>
      <c r="L148" s="65">
        <f>+'COMUNAS - HOME DELIVERY 2025'!L148*'COMUNAS - HOME DELIVERY 2025'!$Q$7</f>
        <v>9010.3919999999998</v>
      </c>
      <c r="M148" s="66">
        <f>+'COMUNAS - HOME DELIVERY 2025'!M148*'COMUNAS - HOME DELIVERY 2025'!$Q$7</f>
        <v>459.24</v>
      </c>
      <c r="N148" s="67">
        <f>+'COMUNAS - HOME DELIVERY 2025'!N148*'COMUNAS - HOME DELIVERY 2025'!$Q$7</f>
        <v>385.96800000000002</v>
      </c>
      <c r="O148" s="60"/>
      <c r="P148" s="2"/>
      <c r="Q148" s="2"/>
      <c r="R148" s="2"/>
      <c r="S148" s="2"/>
      <c r="T148" s="2"/>
      <c r="U148" s="2"/>
      <c r="V148" s="2"/>
      <c r="W148" s="2"/>
      <c r="X148" s="2"/>
      <c r="Y148" s="38"/>
    </row>
    <row r="149" spans="2:25" ht="15.75" customHeight="1" x14ac:dyDescent="0.3">
      <c r="B149" s="2"/>
      <c r="C149" s="61" t="s">
        <v>299</v>
      </c>
      <c r="D149" s="62" t="s">
        <v>357</v>
      </c>
      <c r="E149" s="63" t="s">
        <v>358</v>
      </c>
      <c r="F149" s="64">
        <f>+'COMUNAS - HOME DELIVERY 2025'!F149*'COMUNAS - HOME DELIVERY 2025'!$Q$7</f>
        <v>3790.5360000000001</v>
      </c>
      <c r="G149" s="65">
        <f>+'COMUNAS - HOME DELIVERY 2025'!G149*'COMUNAS - HOME DELIVERY 2025'!$Q$7</f>
        <v>4010.3520000000003</v>
      </c>
      <c r="H149" s="65">
        <f>+'COMUNAS - HOME DELIVERY 2025'!H149*'COMUNAS - HOME DELIVERY 2025'!$Q$7</f>
        <v>4639.8720000000003</v>
      </c>
      <c r="I149" s="65">
        <f>+'COMUNAS - HOME DELIVERY 2025'!I149*'COMUNAS - HOME DELIVERY 2025'!$Q$7</f>
        <v>5397.3600000000006</v>
      </c>
      <c r="J149" s="65">
        <f>+'COMUNAS - HOME DELIVERY 2025'!J149*'COMUNAS - HOME DELIVERY 2025'!$Q$7</f>
        <v>6671.88</v>
      </c>
      <c r="K149" s="65">
        <f>+'COMUNAS - HOME DELIVERY 2025'!K149*'COMUNAS - HOME DELIVERY 2025'!$Q$7</f>
        <v>8017.6080000000002</v>
      </c>
      <c r="L149" s="65">
        <f>+'COMUNAS - HOME DELIVERY 2025'!L149*'COMUNAS - HOME DELIVERY 2025'!$Q$7</f>
        <v>9010.3919999999998</v>
      </c>
      <c r="M149" s="66">
        <f>+'COMUNAS - HOME DELIVERY 2025'!M149*'COMUNAS - HOME DELIVERY 2025'!$Q$7</f>
        <v>459.24</v>
      </c>
      <c r="N149" s="67">
        <f>+'COMUNAS - HOME DELIVERY 2025'!N149*'COMUNAS - HOME DELIVERY 2025'!$Q$7</f>
        <v>385.96800000000002</v>
      </c>
      <c r="O149" s="60"/>
      <c r="P149" s="2"/>
      <c r="Q149" s="2"/>
      <c r="R149" s="2"/>
      <c r="S149" s="2"/>
      <c r="T149" s="2"/>
      <c r="U149" s="2"/>
      <c r="V149" s="2"/>
      <c r="W149" s="2"/>
      <c r="X149" s="2"/>
      <c r="Y149" s="38"/>
    </row>
    <row r="150" spans="2:25" ht="15.75" customHeight="1" x14ac:dyDescent="0.3">
      <c r="B150" s="2"/>
      <c r="C150" s="61" t="s">
        <v>299</v>
      </c>
      <c r="D150" s="62" t="s">
        <v>359</v>
      </c>
      <c r="E150" s="63" t="s">
        <v>360</v>
      </c>
      <c r="F150" s="64">
        <f>+'COMUNAS - HOME DELIVERY 2025'!F150*'COMUNAS - HOME DELIVERY 2025'!$Q$7</f>
        <v>3790.5360000000001</v>
      </c>
      <c r="G150" s="65">
        <f>+'COMUNAS - HOME DELIVERY 2025'!G150*'COMUNAS - HOME DELIVERY 2025'!$Q$7</f>
        <v>4010.3520000000003</v>
      </c>
      <c r="H150" s="65">
        <f>+'COMUNAS - HOME DELIVERY 2025'!H150*'COMUNAS - HOME DELIVERY 2025'!$Q$7</f>
        <v>4639.8720000000003</v>
      </c>
      <c r="I150" s="65">
        <f>+'COMUNAS - HOME DELIVERY 2025'!I150*'COMUNAS - HOME DELIVERY 2025'!$Q$7</f>
        <v>5397.3600000000006</v>
      </c>
      <c r="J150" s="65">
        <f>+'COMUNAS - HOME DELIVERY 2025'!J150*'COMUNAS - HOME DELIVERY 2025'!$Q$7</f>
        <v>6671.88</v>
      </c>
      <c r="K150" s="65">
        <f>+'COMUNAS - HOME DELIVERY 2025'!K150*'COMUNAS - HOME DELIVERY 2025'!$Q$7</f>
        <v>8017.6080000000002</v>
      </c>
      <c r="L150" s="65">
        <f>+'COMUNAS - HOME DELIVERY 2025'!L150*'COMUNAS - HOME DELIVERY 2025'!$Q$7</f>
        <v>9010.3919999999998</v>
      </c>
      <c r="M150" s="66">
        <f>+'COMUNAS - HOME DELIVERY 2025'!M150*'COMUNAS - HOME DELIVERY 2025'!$Q$7</f>
        <v>459.24</v>
      </c>
      <c r="N150" s="67">
        <f>+'COMUNAS - HOME DELIVERY 2025'!N150*'COMUNAS - HOME DELIVERY 2025'!$Q$7</f>
        <v>385.96800000000002</v>
      </c>
      <c r="O150" s="60"/>
      <c r="P150" s="2"/>
      <c r="Q150" s="2"/>
      <c r="R150" s="2"/>
      <c r="S150" s="2"/>
      <c r="T150" s="2"/>
      <c r="U150" s="2"/>
      <c r="V150" s="2"/>
      <c r="W150" s="2"/>
      <c r="X150" s="2"/>
      <c r="Y150" s="38"/>
    </row>
    <row r="151" spans="2:25" ht="15.75" customHeight="1" x14ac:dyDescent="0.3">
      <c r="B151" s="2"/>
      <c r="C151" s="61" t="s">
        <v>299</v>
      </c>
      <c r="D151" s="62" t="s">
        <v>361</v>
      </c>
      <c r="E151" s="63" t="s">
        <v>362</v>
      </c>
      <c r="F151" s="64">
        <f>+'COMUNAS - HOME DELIVERY 2025'!F151*'COMUNAS - HOME DELIVERY 2025'!$Q$7</f>
        <v>5685.8040000000001</v>
      </c>
      <c r="G151" s="65">
        <f>+'COMUNAS - HOME DELIVERY 2025'!G151*'COMUNAS - HOME DELIVERY 2025'!$Q$7</f>
        <v>6015.5280000000002</v>
      </c>
      <c r="H151" s="65">
        <f>+'COMUNAS - HOME DELIVERY 2025'!H151*'COMUNAS - HOME DELIVERY 2025'!$Q$7</f>
        <v>6959.808</v>
      </c>
      <c r="I151" s="65">
        <f>+'COMUNAS - HOME DELIVERY 2025'!I151*'COMUNAS - HOME DELIVERY 2025'!$Q$7</f>
        <v>8096.04</v>
      </c>
      <c r="J151" s="65">
        <f>+'COMUNAS - HOME DELIVERY 2025'!J151*'COMUNAS - HOME DELIVERY 2025'!$Q$7</f>
        <v>10007.82</v>
      </c>
      <c r="K151" s="65">
        <f>+'COMUNAS - HOME DELIVERY 2025'!K151*'COMUNAS - HOME DELIVERY 2025'!$Q$7</f>
        <v>12026.412</v>
      </c>
      <c r="L151" s="65">
        <f>+'COMUNAS - HOME DELIVERY 2025'!L151*'COMUNAS - HOME DELIVERY 2025'!$Q$7</f>
        <v>13515.588</v>
      </c>
      <c r="M151" s="66">
        <f>+'COMUNAS - HOME DELIVERY 2025'!M151*'COMUNAS - HOME DELIVERY 2025'!$Q$7</f>
        <v>688.86</v>
      </c>
      <c r="N151" s="67">
        <f>+'COMUNAS - HOME DELIVERY 2025'!N151*'COMUNAS - HOME DELIVERY 2025'!$Q$7</f>
        <v>578.952</v>
      </c>
      <c r="O151" s="60"/>
      <c r="P151" s="2"/>
      <c r="Q151" s="2"/>
      <c r="R151" s="2"/>
      <c r="S151" s="2"/>
      <c r="T151" s="2"/>
      <c r="U151" s="2"/>
      <c r="V151" s="2"/>
      <c r="W151" s="2"/>
      <c r="X151" s="2"/>
      <c r="Y151" s="38"/>
    </row>
    <row r="152" spans="2:25" ht="15.75" customHeight="1" thickBot="1" x14ac:dyDescent="0.35">
      <c r="B152" s="2"/>
      <c r="C152" s="68" t="s">
        <v>299</v>
      </c>
      <c r="D152" s="69" t="s">
        <v>363</v>
      </c>
      <c r="E152" s="70" t="s">
        <v>364</v>
      </c>
      <c r="F152" s="71">
        <f>+'COMUNAS - HOME DELIVERY 2025'!F152*'COMUNAS - HOME DELIVERY 2025'!$Q$7</f>
        <v>3790.5360000000001</v>
      </c>
      <c r="G152" s="72">
        <f>+'COMUNAS - HOME DELIVERY 2025'!G152*'COMUNAS - HOME DELIVERY 2025'!$Q$7</f>
        <v>4010.3520000000003</v>
      </c>
      <c r="H152" s="72">
        <f>+'COMUNAS - HOME DELIVERY 2025'!H152*'COMUNAS - HOME DELIVERY 2025'!$Q$7</f>
        <v>4639.8720000000003</v>
      </c>
      <c r="I152" s="72">
        <f>+'COMUNAS - HOME DELIVERY 2025'!I152*'COMUNAS - HOME DELIVERY 2025'!$Q$7</f>
        <v>5397.3600000000006</v>
      </c>
      <c r="J152" s="72">
        <f>+'COMUNAS - HOME DELIVERY 2025'!J152*'COMUNAS - HOME DELIVERY 2025'!$Q$7</f>
        <v>6671.88</v>
      </c>
      <c r="K152" s="72">
        <f>+'COMUNAS - HOME DELIVERY 2025'!K152*'COMUNAS - HOME DELIVERY 2025'!$Q$7</f>
        <v>8017.6080000000002</v>
      </c>
      <c r="L152" s="72">
        <f>+'COMUNAS - HOME DELIVERY 2025'!L152*'COMUNAS - HOME DELIVERY 2025'!$Q$7</f>
        <v>9010.3919999999998</v>
      </c>
      <c r="M152" s="73">
        <f>+'COMUNAS - HOME DELIVERY 2025'!M152*'COMUNAS - HOME DELIVERY 2025'!$Q$7</f>
        <v>459.24</v>
      </c>
      <c r="N152" s="74">
        <f>+'COMUNAS - HOME DELIVERY 2025'!N152*'COMUNAS - HOME DELIVERY 2025'!$Q$7</f>
        <v>385.96800000000002</v>
      </c>
      <c r="O152" s="60"/>
      <c r="P152" s="2"/>
      <c r="Q152" s="2"/>
      <c r="R152" s="2"/>
      <c r="S152" s="2"/>
      <c r="T152" s="2"/>
      <c r="U152" s="2"/>
      <c r="V152" s="2"/>
      <c r="W152" s="2"/>
      <c r="X152" s="2"/>
      <c r="Y152" s="38"/>
    </row>
    <row r="153" spans="2:25" ht="15.75" customHeight="1" x14ac:dyDescent="0.3">
      <c r="B153" s="2"/>
      <c r="C153" s="53" t="s">
        <v>365</v>
      </c>
      <c r="D153" s="54" t="s">
        <v>366</v>
      </c>
      <c r="E153" s="55" t="s">
        <v>38</v>
      </c>
      <c r="F153" s="56">
        <f>+'COMUNAS - HOME DELIVERY 2025'!F153*'COMUNAS - HOME DELIVERY 2025'!$Q$7</f>
        <v>3944.3040000000001</v>
      </c>
      <c r="G153" s="57">
        <f>+'COMUNAS - HOME DELIVERY 2025'!G153*'COMUNAS - HOME DELIVERY 2025'!$Q$7</f>
        <v>4219.848</v>
      </c>
      <c r="H153" s="57">
        <f>+'COMUNAS - HOME DELIVERY 2025'!H153*'COMUNAS - HOME DELIVERY 2025'!$Q$7</f>
        <v>4845.24</v>
      </c>
      <c r="I153" s="57">
        <f>+'COMUNAS - HOME DELIVERY 2025'!I153*'COMUNAS - HOME DELIVERY 2025'!$Q$7</f>
        <v>5564.5439999999999</v>
      </c>
      <c r="J153" s="57">
        <f>+'COMUNAS - HOME DELIVERY 2025'!J153*'COMUNAS - HOME DELIVERY 2025'!$Q$7</f>
        <v>6972.192</v>
      </c>
      <c r="K153" s="57">
        <f>+'COMUNAS - HOME DELIVERY 2025'!K153*'COMUNAS - HOME DELIVERY 2025'!$Q$7</f>
        <v>8450.0159999999996</v>
      </c>
      <c r="L153" s="57">
        <f>+'COMUNAS - HOME DELIVERY 2025'!L153*'COMUNAS - HOME DELIVERY 2025'!$Q$7</f>
        <v>9463.44</v>
      </c>
      <c r="M153" s="58">
        <f>+'COMUNAS - HOME DELIVERY 2025'!M153*'COMUNAS - HOME DELIVERY 2025'!$Q$7</f>
        <v>468.52800000000002</v>
      </c>
      <c r="N153" s="59">
        <f>+'COMUNAS - HOME DELIVERY 2025'!N153*'COMUNAS - HOME DELIVERY 2025'!$Q$7</f>
        <v>398.35200000000003</v>
      </c>
      <c r="O153" s="60"/>
      <c r="P153" s="2"/>
      <c r="Q153" s="2"/>
      <c r="R153" s="2"/>
      <c r="S153" s="2"/>
      <c r="T153" s="2"/>
      <c r="U153" s="2"/>
      <c r="V153" s="2"/>
      <c r="W153" s="2"/>
      <c r="X153" s="2"/>
      <c r="Y153" s="38"/>
    </row>
    <row r="154" spans="2:25" ht="15.75" customHeight="1" x14ac:dyDescent="0.3">
      <c r="B154" s="2"/>
      <c r="C154" s="61" t="s">
        <v>365</v>
      </c>
      <c r="D154" s="62" t="s">
        <v>367</v>
      </c>
      <c r="E154" s="63" t="s">
        <v>40</v>
      </c>
      <c r="F154" s="64">
        <f>+'COMUNAS - HOME DELIVERY 2025'!F154*'COMUNAS - HOME DELIVERY 2025'!$Q$7</f>
        <v>3944.3040000000001</v>
      </c>
      <c r="G154" s="65">
        <f>+'COMUNAS - HOME DELIVERY 2025'!G154*'COMUNAS - HOME DELIVERY 2025'!$Q$7</f>
        <v>4219.848</v>
      </c>
      <c r="H154" s="65">
        <f>+'COMUNAS - HOME DELIVERY 2025'!H154*'COMUNAS - HOME DELIVERY 2025'!$Q$7</f>
        <v>4845.24</v>
      </c>
      <c r="I154" s="65">
        <f>+'COMUNAS - HOME DELIVERY 2025'!I154*'COMUNAS - HOME DELIVERY 2025'!$Q$7</f>
        <v>5564.5439999999999</v>
      </c>
      <c r="J154" s="65">
        <f>+'COMUNAS - HOME DELIVERY 2025'!J154*'COMUNAS - HOME DELIVERY 2025'!$Q$7</f>
        <v>6972.192</v>
      </c>
      <c r="K154" s="65">
        <f>+'COMUNAS - HOME DELIVERY 2025'!K154*'COMUNAS - HOME DELIVERY 2025'!$Q$7</f>
        <v>8450.0159999999996</v>
      </c>
      <c r="L154" s="65">
        <f>+'COMUNAS - HOME DELIVERY 2025'!L154*'COMUNAS - HOME DELIVERY 2025'!$Q$7</f>
        <v>9463.44</v>
      </c>
      <c r="M154" s="66">
        <f>+'COMUNAS - HOME DELIVERY 2025'!M154*'COMUNAS - HOME DELIVERY 2025'!$Q$7</f>
        <v>468.52800000000002</v>
      </c>
      <c r="N154" s="67">
        <f>+'COMUNAS - HOME DELIVERY 2025'!N154*'COMUNAS - HOME DELIVERY 2025'!$Q$7</f>
        <v>398.35200000000003</v>
      </c>
      <c r="O154" s="60"/>
      <c r="P154" s="2"/>
      <c r="Q154" s="2"/>
      <c r="R154" s="2"/>
      <c r="S154" s="2"/>
      <c r="T154" s="2"/>
      <c r="U154" s="2"/>
      <c r="V154" s="2"/>
      <c r="W154" s="2"/>
      <c r="X154" s="2"/>
      <c r="Y154" s="38"/>
    </row>
    <row r="155" spans="2:25" ht="15.75" customHeight="1" x14ac:dyDescent="0.3">
      <c r="B155" s="2"/>
      <c r="C155" s="61" t="s">
        <v>365</v>
      </c>
      <c r="D155" s="62" t="s">
        <v>368</v>
      </c>
      <c r="E155" s="63" t="s">
        <v>369</v>
      </c>
      <c r="F155" s="64">
        <f>+'COMUNAS - HOME DELIVERY 2025'!F155*'COMUNAS - HOME DELIVERY 2025'!$Q$7</f>
        <v>5916.4560000000001</v>
      </c>
      <c r="G155" s="65">
        <f>+'COMUNAS - HOME DELIVERY 2025'!G155*'COMUNAS - HOME DELIVERY 2025'!$Q$7</f>
        <v>6329.7719999999999</v>
      </c>
      <c r="H155" s="65">
        <f>+'COMUNAS - HOME DELIVERY 2025'!H155*'COMUNAS - HOME DELIVERY 2025'!$Q$7</f>
        <v>7267.8600000000006</v>
      </c>
      <c r="I155" s="65">
        <f>+'COMUNAS - HOME DELIVERY 2025'!I155*'COMUNAS - HOME DELIVERY 2025'!$Q$7</f>
        <v>8346.8160000000007</v>
      </c>
      <c r="J155" s="65">
        <f>+'COMUNAS - HOME DELIVERY 2025'!J155*'COMUNAS - HOME DELIVERY 2025'!$Q$7</f>
        <v>10458.288</v>
      </c>
      <c r="K155" s="65">
        <f>+'COMUNAS - HOME DELIVERY 2025'!K155*'COMUNAS - HOME DELIVERY 2025'!$Q$7</f>
        <v>12675.024000000001</v>
      </c>
      <c r="L155" s="65">
        <f>+'COMUNAS - HOME DELIVERY 2025'!L155*'COMUNAS - HOME DELIVERY 2025'!$Q$7</f>
        <v>14195.16</v>
      </c>
      <c r="M155" s="66">
        <f>+'COMUNAS - HOME DELIVERY 2025'!M155*'COMUNAS - HOME DELIVERY 2025'!$Q$7</f>
        <v>702.79200000000003</v>
      </c>
      <c r="N155" s="67">
        <f>+'COMUNAS - HOME DELIVERY 2025'!N155*'COMUNAS - HOME DELIVERY 2025'!$Q$7</f>
        <v>597.52800000000002</v>
      </c>
      <c r="O155" s="60"/>
      <c r="P155" s="2"/>
      <c r="Q155" s="2"/>
      <c r="R155" s="2"/>
      <c r="S155" s="2"/>
      <c r="T155" s="2"/>
      <c r="U155" s="2"/>
      <c r="V155" s="2"/>
      <c r="W155" s="2"/>
      <c r="X155" s="2"/>
      <c r="Y155" s="38"/>
    </row>
    <row r="156" spans="2:25" ht="15.75" customHeight="1" x14ac:dyDescent="0.3">
      <c r="B156" s="2"/>
      <c r="C156" s="61" t="s">
        <v>365</v>
      </c>
      <c r="D156" s="62" t="s">
        <v>370</v>
      </c>
      <c r="E156" s="63" t="s">
        <v>371</v>
      </c>
      <c r="F156" s="64">
        <f>+'COMUNAS - HOME DELIVERY 2025'!F156*'COMUNAS - HOME DELIVERY 2025'!$Q$7</f>
        <v>5916.4560000000001</v>
      </c>
      <c r="G156" s="65">
        <f>+'COMUNAS - HOME DELIVERY 2025'!G156*'COMUNAS - HOME DELIVERY 2025'!$Q$7</f>
        <v>6329.7719999999999</v>
      </c>
      <c r="H156" s="65">
        <f>+'COMUNAS - HOME DELIVERY 2025'!H156*'COMUNAS - HOME DELIVERY 2025'!$Q$7</f>
        <v>7267.8600000000006</v>
      </c>
      <c r="I156" s="65">
        <f>+'COMUNAS - HOME DELIVERY 2025'!I156*'COMUNAS - HOME DELIVERY 2025'!$Q$7</f>
        <v>8346.8160000000007</v>
      </c>
      <c r="J156" s="65">
        <f>+'COMUNAS - HOME DELIVERY 2025'!J156*'COMUNAS - HOME DELIVERY 2025'!$Q$7</f>
        <v>10458.288</v>
      </c>
      <c r="K156" s="65">
        <f>+'COMUNAS - HOME DELIVERY 2025'!K156*'COMUNAS - HOME DELIVERY 2025'!$Q$7</f>
        <v>12675.024000000001</v>
      </c>
      <c r="L156" s="65">
        <f>+'COMUNAS - HOME DELIVERY 2025'!L156*'COMUNAS - HOME DELIVERY 2025'!$Q$7</f>
        <v>14195.16</v>
      </c>
      <c r="M156" s="66">
        <f>+'COMUNAS - HOME DELIVERY 2025'!M156*'COMUNAS - HOME DELIVERY 2025'!$Q$7</f>
        <v>702.79200000000003</v>
      </c>
      <c r="N156" s="67">
        <f>+'COMUNAS - HOME DELIVERY 2025'!N156*'COMUNAS - HOME DELIVERY 2025'!$Q$7</f>
        <v>597.52800000000002</v>
      </c>
      <c r="O156" s="60"/>
      <c r="P156" s="2"/>
      <c r="Q156" s="2"/>
      <c r="R156" s="2"/>
      <c r="S156" s="2"/>
      <c r="T156" s="2"/>
      <c r="U156" s="2"/>
      <c r="V156" s="2"/>
      <c r="W156" s="2"/>
      <c r="X156" s="2"/>
      <c r="Y156" s="38"/>
    </row>
    <row r="157" spans="2:25" ht="15.75" customHeight="1" x14ac:dyDescent="0.3">
      <c r="B157" s="2"/>
      <c r="C157" s="61" t="s">
        <v>365</v>
      </c>
      <c r="D157" s="62" t="s">
        <v>372</v>
      </c>
      <c r="E157" s="63" t="s">
        <v>373</v>
      </c>
      <c r="F157" s="64">
        <f>+'COMUNAS - HOME DELIVERY 2025'!F157*'COMUNAS - HOME DELIVERY 2025'!$Q$7</f>
        <v>3944.3040000000001</v>
      </c>
      <c r="G157" s="65">
        <f>+'COMUNAS - HOME DELIVERY 2025'!G157*'COMUNAS - HOME DELIVERY 2025'!$Q$7</f>
        <v>4219.848</v>
      </c>
      <c r="H157" s="65">
        <f>+'COMUNAS - HOME DELIVERY 2025'!H157*'COMUNAS - HOME DELIVERY 2025'!$Q$7</f>
        <v>4845.24</v>
      </c>
      <c r="I157" s="65">
        <f>+'COMUNAS - HOME DELIVERY 2025'!I157*'COMUNAS - HOME DELIVERY 2025'!$Q$7</f>
        <v>5564.5439999999999</v>
      </c>
      <c r="J157" s="65">
        <f>+'COMUNAS - HOME DELIVERY 2025'!J157*'COMUNAS - HOME DELIVERY 2025'!$Q$7</f>
        <v>6972.192</v>
      </c>
      <c r="K157" s="65">
        <f>+'COMUNAS - HOME DELIVERY 2025'!K157*'COMUNAS - HOME DELIVERY 2025'!$Q$7</f>
        <v>8450.0159999999996</v>
      </c>
      <c r="L157" s="65">
        <f>+'COMUNAS - HOME DELIVERY 2025'!L157*'COMUNAS - HOME DELIVERY 2025'!$Q$7</f>
        <v>9463.44</v>
      </c>
      <c r="M157" s="66">
        <f>+'COMUNAS - HOME DELIVERY 2025'!M157*'COMUNAS - HOME DELIVERY 2025'!$Q$7</f>
        <v>468.52800000000002</v>
      </c>
      <c r="N157" s="67">
        <f>+'COMUNAS - HOME DELIVERY 2025'!N157*'COMUNAS - HOME DELIVERY 2025'!$Q$7</f>
        <v>398.35200000000003</v>
      </c>
      <c r="O157" s="60"/>
      <c r="P157" s="2"/>
      <c r="Q157" s="2"/>
      <c r="R157" s="2"/>
      <c r="S157" s="2"/>
      <c r="T157" s="2"/>
      <c r="U157" s="2"/>
      <c r="V157" s="2"/>
      <c r="W157" s="2"/>
      <c r="X157" s="2"/>
      <c r="Y157" s="38"/>
    </row>
    <row r="158" spans="2:25" ht="15.75" customHeight="1" x14ac:dyDescent="0.3">
      <c r="B158" s="2"/>
      <c r="C158" s="61" t="s">
        <v>365</v>
      </c>
      <c r="D158" s="62" t="s">
        <v>374</v>
      </c>
      <c r="E158" s="63" t="s">
        <v>375</v>
      </c>
      <c r="F158" s="64">
        <f>+'COMUNAS - HOME DELIVERY 2025'!F158*'COMUNAS - HOME DELIVERY 2025'!$Q$7</f>
        <v>3944.3040000000001</v>
      </c>
      <c r="G158" s="65">
        <f>+'COMUNAS - HOME DELIVERY 2025'!G158*'COMUNAS - HOME DELIVERY 2025'!$Q$7</f>
        <v>4219.848</v>
      </c>
      <c r="H158" s="65">
        <f>+'COMUNAS - HOME DELIVERY 2025'!H158*'COMUNAS - HOME DELIVERY 2025'!$Q$7</f>
        <v>4845.24</v>
      </c>
      <c r="I158" s="65">
        <f>+'COMUNAS - HOME DELIVERY 2025'!I158*'COMUNAS - HOME DELIVERY 2025'!$Q$7</f>
        <v>5564.5439999999999</v>
      </c>
      <c r="J158" s="65">
        <f>+'COMUNAS - HOME DELIVERY 2025'!J158*'COMUNAS - HOME DELIVERY 2025'!$Q$7</f>
        <v>6972.192</v>
      </c>
      <c r="K158" s="65">
        <f>+'COMUNAS - HOME DELIVERY 2025'!K158*'COMUNAS - HOME DELIVERY 2025'!$Q$7</f>
        <v>8450.0159999999996</v>
      </c>
      <c r="L158" s="65">
        <f>+'COMUNAS - HOME DELIVERY 2025'!L158*'COMUNAS - HOME DELIVERY 2025'!$Q$7</f>
        <v>9463.44</v>
      </c>
      <c r="M158" s="66">
        <f>+'COMUNAS - HOME DELIVERY 2025'!M158*'COMUNAS - HOME DELIVERY 2025'!$Q$7</f>
        <v>468.52800000000002</v>
      </c>
      <c r="N158" s="67">
        <f>+'COMUNAS - HOME DELIVERY 2025'!N158*'COMUNAS - HOME DELIVERY 2025'!$Q$7</f>
        <v>398.35200000000003</v>
      </c>
      <c r="O158" s="60"/>
      <c r="P158" s="2"/>
      <c r="Q158" s="2"/>
      <c r="R158" s="2"/>
      <c r="S158" s="2"/>
      <c r="T158" s="2"/>
      <c r="U158" s="2"/>
      <c r="V158" s="2"/>
      <c r="W158" s="2"/>
      <c r="X158" s="2"/>
      <c r="Y158" s="38"/>
    </row>
    <row r="159" spans="2:25" ht="15.75" customHeight="1" x14ac:dyDescent="0.3">
      <c r="B159" s="2"/>
      <c r="C159" s="61" t="s">
        <v>365</v>
      </c>
      <c r="D159" s="62" t="s">
        <v>376</v>
      </c>
      <c r="E159" s="63" t="s">
        <v>377</v>
      </c>
      <c r="F159" s="64">
        <f>+'COMUNAS - HOME DELIVERY 2025'!F159*'COMUNAS - HOME DELIVERY 2025'!$Q$7</f>
        <v>5916.4560000000001</v>
      </c>
      <c r="G159" s="65">
        <f>+'COMUNAS - HOME DELIVERY 2025'!G159*'COMUNAS - HOME DELIVERY 2025'!$Q$7</f>
        <v>6329.7719999999999</v>
      </c>
      <c r="H159" s="65">
        <f>+'COMUNAS - HOME DELIVERY 2025'!H159*'COMUNAS - HOME DELIVERY 2025'!$Q$7</f>
        <v>7267.8600000000006</v>
      </c>
      <c r="I159" s="65">
        <f>+'COMUNAS - HOME DELIVERY 2025'!I159*'COMUNAS - HOME DELIVERY 2025'!$Q$7</f>
        <v>8346.8160000000007</v>
      </c>
      <c r="J159" s="65">
        <f>+'COMUNAS - HOME DELIVERY 2025'!J159*'COMUNAS - HOME DELIVERY 2025'!$Q$7</f>
        <v>10458.288</v>
      </c>
      <c r="K159" s="65">
        <f>+'COMUNAS - HOME DELIVERY 2025'!K159*'COMUNAS - HOME DELIVERY 2025'!$Q$7</f>
        <v>12675.024000000001</v>
      </c>
      <c r="L159" s="65">
        <f>+'COMUNAS - HOME DELIVERY 2025'!L159*'COMUNAS - HOME DELIVERY 2025'!$Q$7</f>
        <v>14195.16</v>
      </c>
      <c r="M159" s="66">
        <f>+'COMUNAS - HOME DELIVERY 2025'!M159*'COMUNAS - HOME DELIVERY 2025'!$Q$7</f>
        <v>702.79200000000003</v>
      </c>
      <c r="N159" s="67">
        <f>+'COMUNAS - HOME DELIVERY 2025'!N159*'COMUNAS - HOME DELIVERY 2025'!$Q$7</f>
        <v>597.52800000000002</v>
      </c>
      <c r="O159" s="60"/>
      <c r="P159" s="2"/>
      <c r="Q159" s="2"/>
      <c r="R159" s="2"/>
      <c r="S159" s="2"/>
      <c r="T159" s="2"/>
      <c r="U159" s="2"/>
      <c r="V159" s="2"/>
      <c r="W159" s="2"/>
      <c r="X159" s="2"/>
      <c r="Y159" s="38"/>
    </row>
    <row r="160" spans="2:25" ht="15.75" customHeight="1" x14ac:dyDescent="0.3">
      <c r="B160" s="2"/>
      <c r="C160" s="61" t="s">
        <v>365</v>
      </c>
      <c r="D160" s="62" t="s">
        <v>378</v>
      </c>
      <c r="E160" s="63" t="s">
        <v>379</v>
      </c>
      <c r="F160" s="64">
        <f>+'COMUNAS - HOME DELIVERY 2025'!F160*'COMUNAS - HOME DELIVERY 2025'!$Q$7</f>
        <v>5916.4560000000001</v>
      </c>
      <c r="G160" s="65">
        <f>+'COMUNAS - HOME DELIVERY 2025'!G160*'COMUNAS - HOME DELIVERY 2025'!$Q$7</f>
        <v>6329.7719999999999</v>
      </c>
      <c r="H160" s="65">
        <f>+'COMUNAS - HOME DELIVERY 2025'!H160*'COMUNAS - HOME DELIVERY 2025'!$Q$7</f>
        <v>7267.8600000000006</v>
      </c>
      <c r="I160" s="65">
        <f>+'COMUNAS - HOME DELIVERY 2025'!I160*'COMUNAS - HOME DELIVERY 2025'!$Q$7</f>
        <v>8346.8160000000007</v>
      </c>
      <c r="J160" s="65">
        <f>+'COMUNAS - HOME DELIVERY 2025'!J160*'COMUNAS - HOME DELIVERY 2025'!$Q$7</f>
        <v>10458.288</v>
      </c>
      <c r="K160" s="65">
        <f>+'COMUNAS - HOME DELIVERY 2025'!K160*'COMUNAS - HOME DELIVERY 2025'!$Q$7</f>
        <v>12675.024000000001</v>
      </c>
      <c r="L160" s="65">
        <f>+'COMUNAS - HOME DELIVERY 2025'!L160*'COMUNAS - HOME DELIVERY 2025'!$Q$7</f>
        <v>14195.16</v>
      </c>
      <c r="M160" s="66">
        <f>+'COMUNAS - HOME DELIVERY 2025'!M160*'COMUNAS - HOME DELIVERY 2025'!$Q$7</f>
        <v>702.79200000000003</v>
      </c>
      <c r="N160" s="67">
        <f>+'COMUNAS - HOME DELIVERY 2025'!N160*'COMUNAS - HOME DELIVERY 2025'!$Q$7</f>
        <v>597.52800000000002</v>
      </c>
      <c r="O160" s="60"/>
      <c r="P160" s="2"/>
      <c r="Q160" s="2"/>
      <c r="R160" s="2"/>
      <c r="S160" s="2"/>
      <c r="T160" s="2"/>
      <c r="U160" s="2"/>
      <c r="V160" s="2"/>
      <c r="W160" s="2"/>
      <c r="X160" s="2"/>
      <c r="Y160" s="38"/>
    </row>
    <row r="161" spans="2:25" ht="15.75" customHeight="1" x14ac:dyDescent="0.3">
      <c r="B161" s="2"/>
      <c r="C161" s="61" t="s">
        <v>365</v>
      </c>
      <c r="D161" s="62" t="s">
        <v>380</v>
      </c>
      <c r="E161" s="63" t="s">
        <v>381</v>
      </c>
      <c r="F161" s="64">
        <f>+'COMUNAS - HOME DELIVERY 2025'!F161*'COMUNAS - HOME DELIVERY 2025'!$Q$7</f>
        <v>5916.4560000000001</v>
      </c>
      <c r="G161" s="65">
        <f>+'COMUNAS - HOME DELIVERY 2025'!G161*'COMUNAS - HOME DELIVERY 2025'!$Q$7</f>
        <v>6329.7719999999999</v>
      </c>
      <c r="H161" s="65">
        <f>+'COMUNAS - HOME DELIVERY 2025'!H161*'COMUNAS - HOME DELIVERY 2025'!$Q$7</f>
        <v>7267.8600000000006</v>
      </c>
      <c r="I161" s="65">
        <f>+'COMUNAS - HOME DELIVERY 2025'!I161*'COMUNAS - HOME DELIVERY 2025'!$Q$7</f>
        <v>8346.8160000000007</v>
      </c>
      <c r="J161" s="65">
        <f>+'COMUNAS - HOME DELIVERY 2025'!J161*'COMUNAS - HOME DELIVERY 2025'!$Q$7</f>
        <v>10458.288</v>
      </c>
      <c r="K161" s="65">
        <f>+'COMUNAS - HOME DELIVERY 2025'!K161*'COMUNAS - HOME DELIVERY 2025'!$Q$7</f>
        <v>12675.024000000001</v>
      </c>
      <c r="L161" s="65">
        <f>+'COMUNAS - HOME DELIVERY 2025'!L161*'COMUNAS - HOME DELIVERY 2025'!$Q$7</f>
        <v>14195.16</v>
      </c>
      <c r="M161" s="66">
        <f>+'COMUNAS - HOME DELIVERY 2025'!M161*'COMUNAS - HOME DELIVERY 2025'!$Q$7</f>
        <v>702.79200000000003</v>
      </c>
      <c r="N161" s="67">
        <f>+'COMUNAS - HOME DELIVERY 2025'!N161*'COMUNAS - HOME DELIVERY 2025'!$Q$7</f>
        <v>597.52800000000002</v>
      </c>
      <c r="O161" s="60"/>
      <c r="P161" s="2"/>
      <c r="Q161" s="2"/>
      <c r="R161" s="2"/>
      <c r="S161" s="2"/>
      <c r="T161" s="2"/>
      <c r="U161" s="2"/>
      <c r="V161" s="2"/>
      <c r="W161" s="2"/>
      <c r="X161" s="2"/>
      <c r="Y161" s="38"/>
    </row>
    <row r="162" spans="2:25" ht="15.75" customHeight="1" x14ac:dyDescent="0.3">
      <c r="B162" s="2"/>
      <c r="C162" s="61" t="s">
        <v>365</v>
      </c>
      <c r="D162" s="62" t="s">
        <v>382</v>
      </c>
      <c r="E162" s="63" t="s">
        <v>383</v>
      </c>
      <c r="F162" s="64">
        <f>+'COMUNAS - HOME DELIVERY 2025'!F162*'COMUNAS - HOME DELIVERY 2025'!$Q$7</f>
        <v>5916.4560000000001</v>
      </c>
      <c r="G162" s="65">
        <f>+'COMUNAS - HOME DELIVERY 2025'!G162*'COMUNAS - HOME DELIVERY 2025'!$Q$7</f>
        <v>6329.7719999999999</v>
      </c>
      <c r="H162" s="65">
        <f>+'COMUNAS - HOME DELIVERY 2025'!H162*'COMUNAS - HOME DELIVERY 2025'!$Q$7</f>
        <v>7267.8600000000006</v>
      </c>
      <c r="I162" s="65">
        <f>+'COMUNAS - HOME DELIVERY 2025'!I162*'COMUNAS - HOME DELIVERY 2025'!$Q$7</f>
        <v>8346.8160000000007</v>
      </c>
      <c r="J162" s="65">
        <f>+'COMUNAS - HOME DELIVERY 2025'!J162*'COMUNAS - HOME DELIVERY 2025'!$Q$7</f>
        <v>10458.288</v>
      </c>
      <c r="K162" s="65">
        <f>+'COMUNAS - HOME DELIVERY 2025'!K162*'COMUNAS - HOME DELIVERY 2025'!$Q$7</f>
        <v>12675.024000000001</v>
      </c>
      <c r="L162" s="65">
        <f>+'COMUNAS - HOME DELIVERY 2025'!L162*'COMUNAS - HOME DELIVERY 2025'!$Q$7</f>
        <v>14195.16</v>
      </c>
      <c r="M162" s="66">
        <f>+'COMUNAS - HOME DELIVERY 2025'!M162*'COMUNAS - HOME DELIVERY 2025'!$Q$7</f>
        <v>702.79200000000003</v>
      </c>
      <c r="N162" s="67">
        <f>+'COMUNAS - HOME DELIVERY 2025'!N162*'COMUNAS - HOME DELIVERY 2025'!$Q$7</f>
        <v>597.52800000000002</v>
      </c>
      <c r="O162" s="60"/>
      <c r="P162" s="2"/>
      <c r="Q162" s="2"/>
      <c r="R162" s="2"/>
      <c r="S162" s="2"/>
      <c r="T162" s="2"/>
      <c r="U162" s="2"/>
      <c r="V162" s="2"/>
      <c r="W162" s="2"/>
      <c r="X162" s="2"/>
      <c r="Y162" s="38"/>
    </row>
    <row r="163" spans="2:25" ht="15.75" customHeight="1" x14ac:dyDescent="0.3">
      <c r="B163" s="2"/>
      <c r="C163" s="61" t="s">
        <v>365</v>
      </c>
      <c r="D163" s="62" t="s">
        <v>384</v>
      </c>
      <c r="E163" s="63" t="s">
        <v>385</v>
      </c>
      <c r="F163" s="64">
        <f>+'COMUNAS - HOME DELIVERY 2025'!F163*'COMUNAS - HOME DELIVERY 2025'!$Q$7</f>
        <v>3944.3040000000001</v>
      </c>
      <c r="G163" s="65">
        <f>+'COMUNAS - HOME DELIVERY 2025'!G163*'COMUNAS - HOME DELIVERY 2025'!$Q$7</f>
        <v>4219.848</v>
      </c>
      <c r="H163" s="65">
        <f>+'COMUNAS - HOME DELIVERY 2025'!H163*'COMUNAS - HOME DELIVERY 2025'!$Q$7</f>
        <v>4845.24</v>
      </c>
      <c r="I163" s="65">
        <f>+'COMUNAS - HOME DELIVERY 2025'!I163*'COMUNAS - HOME DELIVERY 2025'!$Q$7</f>
        <v>5564.5439999999999</v>
      </c>
      <c r="J163" s="65">
        <f>+'COMUNAS - HOME DELIVERY 2025'!J163*'COMUNAS - HOME DELIVERY 2025'!$Q$7</f>
        <v>6972.192</v>
      </c>
      <c r="K163" s="65">
        <f>+'COMUNAS - HOME DELIVERY 2025'!K163*'COMUNAS - HOME DELIVERY 2025'!$Q$7</f>
        <v>8450.0159999999996</v>
      </c>
      <c r="L163" s="65">
        <f>+'COMUNAS - HOME DELIVERY 2025'!L163*'COMUNAS - HOME DELIVERY 2025'!$Q$7</f>
        <v>9463.44</v>
      </c>
      <c r="M163" s="66">
        <f>+'COMUNAS - HOME DELIVERY 2025'!M163*'COMUNAS - HOME DELIVERY 2025'!$Q$7</f>
        <v>468.52800000000002</v>
      </c>
      <c r="N163" s="67">
        <f>+'COMUNAS - HOME DELIVERY 2025'!N163*'COMUNAS - HOME DELIVERY 2025'!$Q$7</f>
        <v>398.35200000000003</v>
      </c>
      <c r="O163" s="60"/>
      <c r="P163" s="2"/>
      <c r="Q163" s="2"/>
      <c r="R163" s="2"/>
      <c r="S163" s="2"/>
      <c r="T163" s="2"/>
      <c r="U163" s="2"/>
      <c r="V163" s="2"/>
      <c r="W163" s="2"/>
      <c r="X163" s="2"/>
      <c r="Y163" s="38"/>
    </row>
    <row r="164" spans="2:25" ht="15.75" customHeight="1" x14ac:dyDescent="0.3">
      <c r="B164" s="2"/>
      <c r="C164" s="61" t="s">
        <v>365</v>
      </c>
      <c r="D164" s="62" t="s">
        <v>386</v>
      </c>
      <c r="E164" s="63" t="s">
        <v>387</v>
      </c>
      <c r="F164" s="64">
        <f>+'COMUNAS - HOME DELIVERY 2025'!F164*'COMUNAS - HOME DELIVERY 2025'!$Q$7</f>
        <v>3944.3040000000001</v>
      </c>
      <c r="G164" s="65">
        <f>+'COMUNAS - HOME DELIVERY 2025'!G164*'COMUNAS - HOME DELIVERY 2025'!$Q$7</f>
        <v>4219.848</v>
      </c>
      <c r="H164" s="65">
        <f>+'COMUNAS - HOME DELIVERY 2025'!H164*'COMUNAS - HOME DELIVERY 2025'!$Q$7</f>
        <v>4845.24</v>
      </c>
      <c r="I164" s="65">
        <f>+'COMUNAS - HOME DELIVERY 2025'!I164*'COMUNAS - HOME DELIVERY 2025'!$Q$7</f>
        <v>5564.5439999999999</v>
      </c>
      <c r="J164" s="65">
        <f>+'COMUNAS - HOME DELIVERY 2025'!J164*'COMUNAS - HOME DELIVERY 2025'!$Q$7</f>
        <v>6972.192</v>
      </c>
      <c r="K164" s="65">
        <f>+'COMUNAS - HOME DELIVERY 2025'!K164*'COMUNAS - HOME DELIVERY 2025'!$Q$7</f>
        <v>8450.0159999999996</v>
      </c>
      <c r="L164" s="65">
        <f>+'COMUNAS - HOME DELIVERY 2025'!L164*'COMUNAS - HOME DELIVERY 2025'!$Q$7</f>
        <v>9463.44</v>
      </c>
      <c r="M164" s="66">
        <f>+'COMUNAS - HOME DELIVERY 2025'!M164*'COMUNAS - HOME DELIVERY 2025'!$Q$7</f>
        <v>468.52800000000002</v>
      </c>
      <c r="N164" s="67">
        <f>+'COMUNAS - HOME DELIVERY 2025'!N164*'COMUNAS - HOME DELIVERY 2025'!$Q$7</f>
        <v>398.35200000000003</v>
      </c>
      <c r="O164" s="60"/>
      <c r="P164" s="2"/>
      <c r="Q164" s="2"/>
      <c r="R164" s="2"/>
      <c r="S164" s="2"/>
      <c r="T164" s="2"/>
      <c r="U164" s="2"/>
      <c r="V164" s="2"/>
      <c r="W164" s="2"/>
      <c r="X164" s="2"/>
      <c r="Y164" s="38"/>
    </row>
    <row r="165" spans="2:25" ht="15.75" customHeight="1" x14ac:dyDescent="0.3">
      <c r="B165" s="2"/>
      <c r="C165" s="61" t="s">
        <v>365</v>
      </c>
      <c r="D165" s="62" t="s">
        <v>388</v>
      </c>
      <c r="E165" s="63" t="s">
        <v>389</v>
      </c>
      <c r="F165" s="64">
        <f>+'COMUNAS - HOME DELIVERY 2025'!F165*'COMUNAS - HOME DELIVERY 2025'!$Q$7</f>
        <v>3944.3040000000001</v>
      </c>
      <c r="G165" s="65">
        <f>+'COMUNAS - HOME DELIVERY 2025'!G165*'COMUNAS - HOME DELIVERY 2025'!$Q$7</f>
        <v>4219.848</v>
      </c>
      <c r="H165" s="65">
        <f>+'COMUNAS - HOME DELIVERY 2025'!H165*'COMUNAS - HOME DELIVERY 2025'!$Q$7</f>
        <v>4845.24</v>
      </c>
      <c r="I165" s="65">
        <f>+'COMUNAS - HOME DELIVERY 2025'!I165*'COMUNAS - HOME DELIVERY 2025'!$Q$7</f>
        <v>5564.5439999999999</v>
      </c>
      <c r="J165" s="65">
        <f>+'COMUNAS - HOME DELIVERY 2025'!J165*'COMUNAS - HOME DELIVERY 2025'!$Q$7</f>
        <v>6972.192</v>
      </c>
      <c r="K165" s="65">
        <f>+'COMUNAS - HOME DELIVERY 2025'!K165*'COMUNAS - HOME DELIVERY 2025'!$Q$7</f>
        <v>8450.0159999999996</v>
      </c>
      <c r="L165" s="65">
        <f>+'COMUNAS - HOME DELIVERY 2025'!L165*'COMUNAS - HOME DELIVERY 2025'!$Q$7</f>
        <v>9463.44</v>
      </c>
      <c r="M165" s="66">
        <f>+'COMUNAS - HOME DELIVERY 2025'!M165*'COMUNAS - HOME DELIVERY 2025'!$Q$7</f>
        <v>468.52800000000002</v>
      </c>
      <c r="N165" s="67">
        <f>+'COMUNAS - HOME DELIVERY 2025'!N165*'COMUNAS - HOME DELIVERY 2025'!$Q$7</f>
        <v>398.35200000000003</v>
      </c>
      <c r="O165" s="60"/>
      <c r="P165" s="2"/>
      <c r="Q165" s="2"/>
      <c r="R165" s="2"/>
      <c r="S165" s="2"/>
      <c r="T165" s="2"/>
      <c r="U165" s="2"/>
      <c r="V165" s="2"/>
      <c r="W165" s="2"/>
      <c r="X165" s="2"/>
      <c r="Y165" s="38"/>
    </row>
    <row r="166" spans="2:25" ht="15.75" customHeight="1" x14ac:dyDescent="0.3">
      <c r="B166" s="2"/>
      <c r="C166" s="61" t="s">
        <v>365</v>
      </c>
      <c r="D166" s="62" t="s">
        <v>390</v>
      </c>
      <c r="E166" s="63" t="s">
        <v>391</v>
      </c>
      <c r="F166" s="64">
        <f>+'COMUNAS - HOME DELIVERY 2025'!F166*'COMUNAS - HOME DELIVERY 2025'!$Q$7</f>
        <v>3944.3040000000001</v>
      </c>
      <c r="G166" s="65">
        <f>+'COMUNAS - HOME DELIVERY 2025'!G166*'COMUNAS - HOME DELIVERY 2025'!$Q$7</f>
        <v>4219.848</v>
      </c>
      <c r="H166" s="65">
        <f>+'COMUNAS - HOME DELIVERY 2025'!H166*'COMUNAS - HOME DELIVERY 2025'!$Q$7</f>
        <v>4845.24</v>
      </c>
      <c r="I166" s="65">
        <f>+'COMUNAS - HOME DELIVERY 2025'!I166*'COMUNAS - HOME DELIVERY 2025'!$Q$7</f>
        <v>5564.5439999999999</v>
      </c>
      <c r="J166" s="65">
        <f>+'COMUNAS - HOME DELIVERY 2025'!J166*'COMUNAS - HOME DELIVERY 2025'!$Q$7</f>
        <v>6972.192</v>
      </c>
      <c r="K166" s="65">
        <f>+'COMUNAS - HOME DELIVERY 2025'!K166*'COMUNAS - HOME DELIVERY 2025'!$Q$7</f>
        <v>8450.0159999999996</v>
      </c>
      <c r="L166" s="65">
        <f>+'COMUNAS - HOME DELIVERY 2025'!L166*'COMUNAS - HOME DELIVERY 2025'!$Q$7</f>
        <v>9463.44</v>
      </c>
      <c r="M166" s="66">
        <f>+'COMUNAS - HOME DELIVERY 2025'!M166*'COMUNAS - HOME DELIVERY 2025'!$Q$7</f>
        <v>468.52800000000002</v>
      </c>
      <c r="N166" s="67">
        <f>+'COMUNAS - HOME DELIVERY 2025'!N166*'COMUNAS - HOME DELIVERY 2025'!$Q$7</f>
        <v>398.35200000000003</v>
      </c>
      <c r="O166" s="60"/>
      <c r="P166" s="2"/>
      <c r="Q166" s="2"/>
      <c r="R166" s="2"/>
      <c r="S166" s="2"/>
      <c r="T166" s="2"/>
      <c r="U166" s="2"/>
      <c r="V166" s="2"/>
      <c r="W166" s="2"/>
      <c r="X166" s="2"/>
      <c r="Y166" s="38"/>
    </row>
    <row r="167" spans="2:25" ht="15.75" customHeight="1" x14ac:dyDescent="0.3">
      <c r="B167" s="2"/>
      <c r="C167" s="61" t="s">
        <v>365</v>
      </c>
      <c r="D167" s="62" t="s">
        <v>392</v>
      </c>
      <c r="E167" s="63" t="s">
        <v>393</v>
      </c>
      <c r="F167" s="64">
        <f>+'COMUNAS - HOME DELIVERY 2025'!F167*'COMUNAS - HOME DELIVERY 2025'!$Q$7</f>
        <v>5916.4560000000001</v>
      </c>
      <c r="G167" s="65">
        <f>+'COMUNAS - HOME DELIVERY 2025'!G167*'COMUNAS - HOME DELIVERY 2025'!$Q$7</f>
        <v>6329.7719999999999</v>
      </c>
      <c r="H167" s="65">
        <f>+'COMUNAS - HOME DELIVERY 2025'!H167*'COMUNAS - HOME DELIVERY 2025'!$Q$7</f>
        <v>7267.8600000000006</v>
      </c>
      <c r="I167" s="65">
        <f>+'COMUNAS - HOME DELIVERY 2025'!I167*'COMUNAS - HOME DELIVERY 2025'!$Q$7</f>
        <v>8346.8160000000007</v>
      </c>
      <c r="J167" s="65">
        <f>+'COMUNAS - HOME DELIVERY 2025'!J167*'COMUNAS - HOME DELIVERY 2025'!$Q$7</f>
        <v>10458.288</v>
      </c>
      <c r="K167" s="65">
        <f>+'COMUNAS - HOME DELIVERY 2025'!K167*'COMUNAS - HOME DELIVERY 2025'!$Q$7</f>
        <v>12675.024000000001</v>
      </c>
      <c r="L167" s="65">
        <f>+'COMUNAS - HOME DELIVERY 2025'!L167*'COMUNAS - HOME DELIVERY 2025'!$Q$7</f>
        <v>14195.16</v>
      </c>
      <c r="M167" s="66">
        <f>+'COMUNAS - HOME DELIVERY 2025'!M167*'COMUNAS - HOME DELIVERY 2025'!$Q$7</f>
        <v>702.79200000000003</v>
      </c>
      <c r="N167" s="67">
        <f>+'COMUNAS - HOME DELIVERY 2025'!N167*'COMUNAS - HOME DELIVERY 2025'!$Q$7</f>
        <v>597.52800000000002</v>
      </c>
      <c r="O167" s="60"/>
      <c r="P167" s="2"/>
      <c r="Q167" s="2"/>
      <c r="R167" s="2"/>
      <c r="S167" s="2"/>
      <c r="T167" s="2"/>
      <c r="U167" s="2"/>
      <c r="V167" s="2"/>
      <c r="W167" s="2"/>
      <c r="X167" s="2"/>
      <c r="Y167" s="38"/>
    </row>
    <row r="168" spans="2:25" ht="15.75" customHeight="1" x14ac:dyDescent="0.3">
      <c r="B168" s="2"/>
      <c r="C168" s="61" t="s">
        <v>365</v>
      </c>
      <c r="D168" s="62" t="s">
        <v>394</v>
      </c>
      <c r="E168" s="63" t="s">
        <v>395</v>
      </c>
      <c r="F168" s="64">
        <f>+'COMUNAS - HOME DELIVERY 2025'!F168*'COMUNAS - HOME DELIVERY 2025'!$Q$7</f>
        <v>3944.3040000000001</v>
      </c>
      <c r="G168" s="65">
        <f>+'COMUNAS - HOME DELIVERY 2025'!G168*'COMUNAS - HOME DELIVERY 2025'!$Q$7</f>
        <v>4219.848</v>
      </c>
      <c r="H168" s="65">
        <f>+'COMUNAS - HOME DELIVERY 2025'!H168*'COMUNAS - HOME DELIVERY 2025'!$Q$7</f>
        <v>4845.24</v>
      </c>
      <c r="I168" s="65">
        <f>+'COMUNAS - HOME DELIVERY 2025'!I168*'COMUNAS - HOME DELIVERY 2025'!$Q$7</f>
        <v>5564.5439999999999</v>
      </c>
      <c r="J168" s="65">
        <f>+'COMUNAS - HOME DELIVERY 2025'!J168*'COMUNAS - HOME DELIVERY 2025'!$Q$7</f>
        <v>6972.192</v>
      </c>
      <c r="K168" s="65">
        <f>+'COMUNAS - HOME DELIVERY 2025'!K168*'COMUNAS - HOME DELIVERY 2025'!$Q$7</f>
        <v>8450.0159999999996</v>
      </c>
      <c r="L168" s="65">
        <f>+'COMUNAS - HOME DELIVERY 2025'!L168*'COMUNAS - HOME DELIVERY 2025'!$Q$7</f>
        <v>9463.44</v>
      </c>
      <c r="M168" s="66">
        <f>+'COMUNAS - HOME DELIVERY 2025'!M168*'COMUNAS - HOME DELIVERY 2025'!$Q$7</f>
        <v>468.52800000000002</v>
      </c>
      <c r="N168" s="67">
        <f>+'COMUNAS - HOME DELIVERY 2025'!N168*'COMUNAS - HOME DELIVERY 2025'!$Q$7</f>
        <v>398.35200000000003</v>
      </c>
      <c r="O168" s="60"/>
      <c r="P168" s="2"/>
      <c r="Q168" s="2"/>
      <c r="R168" s="2"/>
      <c r="S168" s="2"/>
      <c r="T168" s="2"/>
      <c r="U168" s="2"/>
      <c r="V168" s="2"/>
      <c r="W168" s="2"/>
      <c r="X168" s="2"/>
      <c r="Y168" s="38"/>
    </row>
    <row r="169" spans="2:25" ht="15.75" customHeight="1" x14ac:dyDescent="0.3">
      <c r="B169" s="2"/>
      <c r="C169" s="61" t="s">
        <v>365</v>
      </c>
      <c r="D169" s="62" t="s">
        <v>396</v>
      </c>
      <c r="E169" s="63" t="s">
        <v>397</v>
      </c>
      <c r="F169" s="64">
        <f>+'COMUNAS - HOME DELIVERY 2025'!F169*'COMUNAS - HOME DELIVERY 2025'!$Q$7</f>
        <v>5916.4560000000001</v>
      </c>
      <c r="G169" s="65">
        <f>+'COMUNAS - HOME DELIVERY 2025'!G169*'COMUNAS - HOME DELIVERY 2025'!$Q$7</f>
        <v>6329.7719999999999</v>
      </c>
      <c r="H169" s="65">
        <f>+'COMUNAS - HOME DELIVERY 2025'!H169*'COMUNAS - HOME DELIVERY 2025'!$Q$7</f>
        <v>7267.8600000000006</v>
      </c>
      <c r="I169" s="65">
        <f>+'COMUNAS - HOME DELIVERY 2025'!I169*'COMUNAS - HOME DELIVERY 2025'!$Q$7</f>
        <v>8346.8160000000007</v>
      </c>
      <c r="J169" s="65">
        <f>+'COMUNAS - HOME DELIVERY 2025'!J169*'COMUNAS - HOME DELIVERY 2025'!$Q$7</f>
        <v>10458.288</v>
      </c>
      <c r="K169" s="65">
        <f>+'COMUNAS - HOME DELIVERY 2025'!K169*'COMUNAS - HOME DELIVERY 2025'!$Q$7</f>
        <v>12675.024000000001</v>
      </c>
      <c r="L169" s="65">
        <f>+'COMUNAS - HOME DELIVERY 2025'!L169*'COMUNAS - HOME DELIVERY 2025'!$Q$7</f>
        <v>14195.16</v>
      </c>
      <c r="M169" s="66">
        <f>+'COMUNAS - HOME DELIVERY 2025'!M169*'COMUNAS - HOME DELIVERY 2025'!$Q$7</f>
        <v>702.79200000000003</v>
      </c>
      <c r="N169" s="67">
        <f>+'COMUNAS - HOME DELIVERY 2025'!N169*'COMUNAS - HOME DELIVERY 2025'!$Q$7</f>
        <v>597.52800000000002</v>
      </c>
      <c r="O169" s="60"/>
      <c r="P169" s="2"/>
      <c r="Q169" s="2"/>
      <c r="R169" s="2"/>
      <c r="S169" s="2"/>
      <c r="T169" s="2"/>
      <c r="U169" s="2"/>
      <c r="V169" s="2"/>
      <c r="W169" s="2"/>
      <c r="X169" s="2"/>
      <c r="Y169" s="38"/>
    </row>
    <row r="170" spans="2:25" ht="15.75" customHeight="1" x14ac:dyDescent="0.3">
      <c r="B170" s="2"/>
      <c r="C170" s="61" t="s">
        <v>365</v>
      </c>
      <c r="D170" s="62" t="s">
        <v>398</v>
      </c>
      <c r="E170" s="63" t="s">
        <v>399</v>
      </c>
      <c r="F170" s="64">
        <f>+'COMUNAS - HOME DELIVERY 2025'!F170*'COMUNAS - HOME DELIVERY 2025'!$Q$7</f>
        <v>3944.3040000000001</v>
      </c>
      <c r="G170" s="65">
        <f>+'COMUNAS - HOME DELIVERY 2025'!G170*'COMUNAS - HOME DELIVERY 2025'!$Q$7</f>
        <v>4219.848</v>
      </c>
      <c r="H170" s="65">
        <f>+'COMUNAS - HOME DELIVERY 2025'!H170*'COMUNAS - HOME DELIVERY 2025'!$Q$7</f>
        <v>4845.24</v>
      </c>
      <c r="I170" s="65">
        <f>+'COMUNAS - HOME DELIVERY 2025'!I170*'COMUNAS - HOME DELIVERY 2025'!$Q$7</f>
        <v>5564.5439999999999</v>
      </c>
      <c r="J170" s="65">
        <f>+'COMUNAS - HOME DELIVERY 2025'!J170*'COMUNAS - HOME DELIVERY 2025'!$Q$7</f>
        <v>6972.192</v>
      </c>
      <c r="K170" s="65">
        <f>+'COMUNAS - HOME DELIVERY 2025'!K170*'COMUNAS - HOME DELIVERY 2025'!$Q$7</f>
        <v>8450.0159999999996</v>
      </c>
      <c r="L170" s="65">
        <f>+'COMUNAS - HOME DELIVERY 2025'!L170*'COMUNAS - HOME DELIVERY 2025'!$Q$7</f>
        <v>9463.44</v>
      </c>
      <c r="M170" s="66">
        <f>+'COMUNAS - HOME DELIVERY 2025'!M170*'COMUNAS - HOME DELIVERY 2025'!$Q$7</f>
        <v>468.52800000000002</v>
      </c>
      <c r="N170" s="67">
        <f>+'COMUNAS - HOME DELIVERY 2025'!N170*'COMUNAS - HOME DELIVERY 2025'!$Q$7</f>
        <v>398.35200000000003</v>
      </c>
      <c r="O170" s="60"/>
      <c r="P170" s="2"/>
      <c r="Q170" s="2"/>
      <c r="R170" s="2"/>
      <c r="S170" s="2"/>
      <c r="T170" s="2"/>
      <c r="U170" s="2"/>
      <c r="V170" s="2"/>
      <c r="W170" s="2"/>
      <c r="X170" s="2"/>
      <c r="Y170" s="38"/>
    </row>
    <row r="171" spans="2:25" ht="15.75" customHeight="1" x14ac:dyDescent="0.3">
      <c r="B171" s="2"/>
      <c r="C171" s="61" t="s">
        <v>365</v>
      </c>
      <c r="D171" s="62" t="s">
        <v>400</v>
      </c>
      <c r="E171" s="63" t="s">
        <v>401</v>
      </c>
      <c r="F171" s="64">
        <f>+'COMUNAS - HOME DELIVERY 2025'!F171*'COMUNAS - HOME DELIVERY 2025'!$Q$7</f>
        <v>3944.3040000000001</v>
      </c>
      <c r="G171" s="65">
        <f>+'COMUNAS - HOME DELIVERY 2025'!G171*'COMUNAS - HOME DELIVERY 2025'!$Q$7</f>
        <v>4219.848</v>
      </c>
      <c r="H171" s="65">
        <f>+'COMUNAS - HOME DELIVERY 2025'!H171*'COMUNAS - HOME DELIVERY 2025'!$Q$7</f>
        <v>4845.24</v>
      </c>
      <c r="I171" s="65">
        <f>+'COMUNAS - HOME DELIVERY 2025'!I171*'COMUNAS - HOME DELIVERY 2025'!$Q$7</f>
        <v>5564.5439999999999</v>
      </c>
      <c r="J171" s="65">
        <f>+'COMUNAS - HOME DELIVERY 2025'!J171*'COMUNAS - HOME DELIVERY 2025'!$Q$7</f>
        <v>6972.192</v>
      </c>
      <c r="K171" s="65">
        <f>+'COMUNAS - HOME DELIVERY 2025'!K171*'COMUNAS - HOME DELIVERY 2025'!$Q$7</f>
        <v>8450.0159999999996</v>
      </c>
      <c r="L171" s="65">
        <f>+'COMUNAS - HOME DELIVERY 2025'!L171*'COMUNAS - HOME DELIVERY 2025'!$Q$7</f>
        <v>9463.44</v>
      </c>
      <c r="M171" s="66">
        <f>+'COMUNAS - HOME DELIVERY 2025'!M171*'COMUNAS - HOME DELIVERY 2025'!$Q$7</f>
        <v>468.52800000000002</v>
      </c>
      <c r="N171" s="67">
        <f>+'COMUNAS - HOME DELIVERY 2025'!N171*'COMUNAS - HOME DELIVERY 2025'!$Q$7</f>
        <v>398.35200000000003</v>
      </c>
      <c r="O171" s="60"/>
      <c r="P171" s="2"/>
      <c r="Q171" s="2"/>
      <c r="R171" s="2"/>
      <c r="S171" s="2"/>
      <c r="T171" s="2"/>
      <c r="U171" s="2"/>
      <c r="V171" s="2"/>
      <c r="W171" s="2"/>
      <c r="X171" s="2"/>
      <c r="Y171" s="38"/>
    </row>
    <row r="172" spans="2:25" ht="15.75" customHeight="1" x14ac:dyDescent="0.3">
      <c r="B172" s="2"/>
      <c r="C172" s="61" t="s">
        <v>365</v>
      </c>
      <c r="D172" s="62" t="s">
        <v>402</v>
      </c>
      <c r="E172" s="63" t="s">
        <v>403</v>
      </c>
      <c r="F172" s="64">
        <f>+'COMUNAS - HOME DELIVERY 2025'!F172*'COMUNAS - HOME DELIVERY 2025'!$Q$7</f>
        <v>3944.3040000000001</v>
      </c>
      <c r="G172" s="65">
        <f>+'COMUNAS - HOME DELIVERY 2025'!G172*'COMUNAS - HOME DELIVERY 2025'!$Q$7</f>
        <v>4219.848</v>
      </c>
      <c r="H172" s="65">
        <f>+'COMUNAS - HOME DELIVERY 2025'!H172*'COMUNAS - HOME DELIVERY 2025'!$Q$7</f>
        <v>4845.24</v>
      </c>
      <c r="I172" s="65">
        <f>+'COMUNAS - HOME DELIVERY 2025'!I172*'COMUNAS - HOME DELIVERY 2025'!$Q$7</f>
        <v>5564.5439999999999</v>
      </c>
      <c r="J172" s="65">
        <f>+'COMUNAS - HOME DELIVERY 2025'!J172*'COMUNAS - HOME DELIVERY 2025'!$Q$7</f>
        <v>6972.192</v>
      </c>
      <c r="K172" s="65">
        <f>+'COMUNAS - HOME DELIVERY 2025'!K172*'COMUNAS - HOME DELIVERY 2025'!$Q$7</f>
        <v>8450.0159999999996</v>
      </c>
      <c r="L172" s="65">
        <f>+'COMUNAS - HOME DELIVERY 2025'!L172*'COMUNAS - HOME DELIVERY 2025'!$Q$7</f>
        <v>9463.44</v>
      </c>
      <c r="M172" s="66">
        <f>+'COMUNAS - HOME DELIVERY 2025'!M172*'COMUNAS - HOME DELIVERY 2025'!$Q$7</f>
        <v>468.52800000000002</v>
      </c>
      <c r="N172" s="67">
        <f>+'COMUNAS - HOME DELIVERY 2025'!N172*'COMUNAS - HOME DELIVERY 2025'!$Q$7</f>
        <v>398.35200000000003</v>
      </c>
      <c r="O172" s="60"/>
      <c r="P172" s="2"/>
      <c r="Q172" s="2"/>
      <c r="R172" s="2"/>
      <c r="S172" s="2"/>
      <c r="T172" s="2"/>
      <c r="U172" s="2"/>
      <c r="V172" s="2"/>
      <c r="W172" s="2"/>
      <c r="X172" s="2"/>
      <c r="Y172" s="38"/>
    </row>
    <row r="173" spans="2:25" ht="15.75" customHeight="1" x14ac:dyDescent="0.3">
      <c r="B173" s="2"/>
      <c r="C173" s="61" t="s">
        <v>365</v>
      </c>
      <c r="D173" s="62" t="s">
        <v>404</v>
      </c>
      <c r="E173" s="63" t="s">
        <v>405</v>
      </c>
      <c r="F173" s="64">
        <f>+'COMUNAS - HOME DELIVERY 2025'!F173*'COMUNAS - HOME DELIVERY 2025'!$Q$7</f>
        <v>5916.4560000000001</v>
      </c>
      <c r="G173" s="65">
        <f>+'COMUNAS - HOME DELIVERY 2025'!G173*'COMUNAS - HOME DELIVERY 2025'!$Q$7</f>
        <v>6329.7719999999999</v>
      </c>
      <c r="H173" s="65">
        <f>+'COMUNAS - HOME DELIVERY 2025'!H173*'COMUNAS - HOME DELIVERY 2025'!$Q$7</f>
        <v>7267.8600000000006</v>
      </c>
      <c r="I173" s="65">
        <f>+'COMUNAS - HOME DELIVERY 2025'!I173*'COMUNAS - HOME DELIVERY 2025'!$Q$7</f>
        <v>8346.8160000000007</v>
      </c>
      <c r="J173" s="65">
        <f>+'COMUNAS - HOME DELIVERY 2025'!J173*'COMUNAS - HOME DELIVERY 2025'!$Q$7</f>
        <v>10458.288</v>
      </c>
      <c r="K173" s="65">
        <f>+'COMUNAS - HOME DELIVERY 2025'!K173*'COMUNAS - HOME DELIVERY 2025'!$Q$7</f>
        <v>12675.024000000001</v>
      </c>
      <c r="L173" s="65">
        <f>+'COMUNAS - HOME DELIVERY 2025'!L173*'COMUNAS - HOME DELIVERY 2025'!$Q$7</f>
        <v>14195.16</v>
      </c>
      <c r="M173" s="66">
        <f>+'COMUNAS - HOME DELIVERY 2025'!M173*'COMUNAS - HOME DELIVERY 2025'!$Q$7</f>
        <v>702.79200000000003</v>
      </c>
      <c r="N173" s="67">
        <f>+'COMUNAS - HOME DELIVERY 2025'!N173*'COMUNAS - HOME DELIVERY 2025'!$Q$7</f>
        <v>597.52800000000002</v>
      </c>
      <c r="O173" s="60"/>
      <c r="P173" s="2"/>
      <c r="Q173" s="2"/>
      <c r="R173" s="2"/>
      <c r="S173" s="2"/>
      <c r="T173" s="2"/>
      <c r="U173" s="2"/>
      <c r="V173" s="2"/>
      <c r="W173" s="2"/>
      <c r="X173" s="2"/>
      <c r="Y173" s="38"/>
    </row>
    <row r="174" spans="2:25" ht="15.75" customHeight="1" x14ac:dyDescent="0.3">
      <c r="B174" s="2"/>
      <c r="C174" s="61" t="s">
        <v>365</v>
      </c>
      <c r="D174" s="62" t="s">
        <v>406</v>
      </c>
      <c r="E174" s="63" t="s">
        <v>407</v>
      </c>
      <c r="F174" s="64">
        <f>+'COMUNAS - HOME DELIVERY 2025'!F174*'COMUNAS - HOME DELIVERY 2025'!$Q$7</f>
        <v>3944.3040000000001</v>
      </c>
      <c r="G174" s="65">
        <f>+'COMUNAS - HOME DELIVERY 2025'!G174*'COMUNAS - HOME DELIVERY 2025'!$Q$7</f>
        <v>4219.848</v>
      </c>
      <c r="H174" s="65">
        <f>+'COMUNAS - HOME DELIVERY 2025'!H174*'COMUNAS - HOME DELIVERY 2025'!$Q$7</f>
        <v>4845.24</v>
      </c>
      <c r="I174" s="65">
        <f>+'COMUNAS - HOME DELIVERY 2025'!I174*'COMUNAS - HOME DELIVERY 2025'!$Q$7</f>
        <v>5564.5439999999999</v>
      </c>
      <c r="J174" s="65">
        <f>+'COMUNAS - HOME DELIVERY 2025'!J174*'COMUNAS - HOME DELIVERY 2025'!$Q$7</f>
        <v>6972.192</v>
      </c>
      <c r="K174" s="65">
        <f>+'COMUNAS - HOME DELIVERY 2025'!K174*'COMUNAS - HOME DELIVERY 2025'!$Q$7</f>
        <v>8450.0159999999996</v>
      </c>
      <c r="L174" s="65">
        <f>+'COMUNAS - HOME DELIVERY 2025'!L174*'COMUNAS - HOME DELIVERY 2025'!$Q$7</f>
        <v>9463.44</v>
      </c>
      <c r="M174" s="66">
        <f>+'COMUNAS - HOME DELIVERY 2025'!M174*'COMUNAS - HOME DELIVERY 2025'!$Q$7</f>
        <v>468.52800000000002</v>
      </c>
      <c r="N174" s="67">
        <f>+'COMUNAS - HOME DELIVERY 2025'!N174*'COMUNAS - HOME DELIVERY 2025'!$Q$7</f>
        <v>398.35200000000003</v>
      </c>
      <c r="O174" s="60"/>
      <c r="P174" s="2"/>
      <c r="Q174" s="2"/>
      <c r="R174" s="2"/>
      <c r="S174" s="2"/>
      <c r="T174" s="2"/>
      <c r="U174" s="2"/>
      <c r="V174" s="2"/>
      <c r="W174" s="2"/>
      <c r="X174" s="2"/>
      <c r="Y174" s="38"/>
    </row>
    <row r="175" spans="2:25" ht="15.75" customHeight="1" x14ac:dyDescent="0.3">
      <c r="B175" s="2"/>
      <c r="C175" s="61" t="s">
        <v>365</v>
      </c>
      <c r="D175" s="62" t="s">
        <v>408</v>
      </c>
      <c r="E175" s="63" t="s">
        <v>409</v>
      </c>
      <c r="F175" s="64">
        <f>+'COMUNAS - HOME DELIVERY 2025'!F175*'COMUNAS - HOME DELIVERY 2025'!$Q$7</f>
        <v>3944.3040000000001</v>
      </c>
      <c r="G175" s="65">
        <f>+'COMUNAS - HOME DELIVERY 2025'!G175*'COMUNAS - HOME DELIVERY 2025'!$Q$7</f>
        <v>4219.848</v>
      </c>
      <c r="H175" s="65">
        <f>+'COMUNAS - HOME DELIVERY 2025'!H175*'COMUNAS - HOME DELIVERY 2025'!$Q$7</f>
        <v>4845.24</v>
      </c>
      <c r="I175" s="65">
        <f>+'COMUNAS - HOME DELIVERY 2025'!I175*'COMUNAS - HOME DELIVERY 2025'!$Q$7</f>
        <v>5564.5439999999999</v>
      </c>
      <c r="J175" s="65">
        <f>+'COMUNAS - HOME DELIVERY 2025'!J175*'COMUNAS - HOME DELIVERY 2025'!$Q$7</f>
        <v>6972.192</v>
      </c>
      <c r="K175" s="65">
        <f>+'COMUNAS - HOME DELIVERY 2025'!K175*'COMUNAS - HOME DELIVERY 2025'!$Q$7</f>
        <v>8450.0159999999996</v>
      </c>
      <c r="L175" s="65">
        <f>+'COMUNAS - HOME DELIVERY 2025'!L175*'COMUNAS - HOME DELIVERY 2025'!$Q$7</f>
        <v>9463.44</v>
      </c>
      <c r="M175" s="66">
        <f>+'COMUNAS - HOME DELIVERY 2025'!M175*'COMUNAS - HOME DELIVERY 2025'!$Q$7</f>
        <v>468.52800000000002</v>
      </c>
      <c r="N175" s="67">
        <f>+'COMUNAS - HOME DELIVERY 2025'!N175*'COMUNAS - HOME DELIVERY 2025'!$Q$7</f>
        <v>398.35200000000003</v>
      </c>
      <c r="O175" s="60"/>
      <c r="P175" s="2"/>
      <c r="Q175" s="2"/>
      <c r="R175" s="2"/>
      <c r="S175" s="2"/>
      <c r="T175" s="2"/>
      <c r="U175" s="2"/>
      <c r="V175" s="2"/>
      <c r="W175" s="2"/>
      <c r="X175" s="2"/>
      <c r="Y175" s="38"/>
    </row>
    <row r="176" spans="2:25" ht="15.75" customHeight="1" x14ac:dyDescent="0.3">
      <c r="B176" s="2"/>
      <c r="C176" s="61" t="s">
        <v>365</v>
      </c>
      <c r="D176" s="62" t="s">
        <v>410</v>
      </c>
      <c r="E176" s="63" t="s">
        <v>411</v>
      </c>
      <c r="F176" s="64">
        <f>+'COMUNAS - HOME DELIVERY 2025'!F176*'COMUNAS - HOME DELIVERY 2025'!$Q$7</f>
        <v>3944.3040000000001</v>
      </c>
      <c r="G176" s="65">
        <f>+'COMUNAS - HOME DELIVERY 2025'!G176*'COMUNAS - HOME DELIVERY 2025'!$Q$7</f>
        <v>4219.848</v>
      </c>
      <c r="H176" s="65">
        <f>+'COMUNAS - HOME DELIVERY 2025'!H176*'COMUNAS - HOME DELIVERY 2025'!$Q$7</f>
        <v>4845.24</v>
      </c>
      <c r="I176" s="65">
        <f>+'COMUNAS - HOME DELIVERY 2025'!I176*'COMUNAS - HOME DELIVERY 2025'!$Q$7</f>
        <v>5564.5439999999999</v>
      </c>
      <c r="J176" s="65">
        <f>+'COMUNAS - HOME DELIVERY 2025'!J176*'COMUNAS - HOME DELIVERY 2025'!$Q$7</f>
        <v>6972.192</v>
      </c>
      <c r="K176" s="65">
        <f>+'COMUNAS - HOME DELIVERY 2025'!K176*'COMUNAS - HOME DELIVERY 2025'!$Q$7</f>
        <v>8450.0159999999996</v>
      </c>
      <c r="L176" s="65">
        <f>+'COMUNAS - HOME DELIVERY 2025'!L176*'COMUNAS - HOME DELIVERY 2025'!$Q$7</f>
        <v>9463.44</v>
      </c>
      <c r="M176" s="66">
        <f>+'COMUNAS - HOME DELIVERY 2025'!M176*'COMUNAS - HOME DELIVERY 2025'!$Q$7</f>
        <v>468.52800000000002</v>
      </c>
      <c r="N176" s="67">
        <f>+'COMUNAS - HOME DELIVERY 2025'!N176*'COMUNAS - HOME DELIVERY 2025'!$Q$7</f>
        <v>398.35200000000003</v>
      </c>
      <c r="O176" s="60"/>
      <c r="P176" s="2"/>
      <c r="Q176" s="2"/>
      <c r="R176" s="2"/>
      <c r="S176" s="2"/>
      <c r="T176" s="2"/>
      <c r="U176" s="2"/>
      <c r="V176" s="2"/>
      <c r="W176" s="2"/>
      <c r="X176" s="2"/>
      <c r="Y176" s="38"/>
    </row>
    <row r="177" spans="2:25" ht="15.75" customHeight="1" x14ac:dyDescent="0.3">
      <c r="B177" s="2"/>
      <c r="C177" s="61" t="s">
        <v>365</v>
      </c>
      <c r="D177" s="62" t="s">
        <v>412</v>
      </c>
      <c r="E177" s="63" t="s">
        <v>413</v>
      </c>
      <c r="F177" s="64">
        <f>+'COMUNAS - HOME DELIVERY 2025'!F177*'COMUNAS - HOME DELIVERY 2025'!$Q$7</f>
        <v>3944.3040000000001</v>
      </c>
      <c r="G177" s="65">
        <f>+'COMUNAS - HOME DELIVERY 2025'!G177*'COMUNAS - HOME DELIVERY 2025'!$Q$7</f>
        <v>4219.848</v>
      </c>
      <c r="H177" s="65">
        <f>+'COMUNAS - HOME DELIVERY 2025'!H177*'COMUNAS - HOME DELIVERY 2025'!$Q$7</f>
        <v>4845.24</v>
      </c>
      <c r="I177" s="65">
        <f>+'COMUNAS - HOME DELIVERY 2025'!I177*'COMUNAS - HOME DELIVERY 2025'!$Q$7</f>
        <v>5564.5439999999999</v>
      </c>
      <c r="J177" s="65">
        <f>+'COMUNAS - HOME DELIVERY 2025'!J177*'COMUNAS - HOME DELIVERY 2025'!$Q$7</f>
        <v>6972.192</v>
      </c>
      <c r="K177" s="65">
        <f>+'COMUNAS - HOME DELIVERY 2025'!K177*'COMUNAS - HOME DELIVERY 2025'!$Q$7</f>
        <v>8450.0159999999996</v>
      </c>
      <c r="L177" s="65">
        <f>+'COMUNAS - HOME DELIVERY 2025'!L177*'COMUNAS - HOME DELIVERY 2025'!$Q$7</f>
        <v>9463.44</v>
      </c>
      <c r="M177" s="66">
        <f>+'COMUNAS - HOME DELIVERY 2025'!M177*'COMUNAS - HOME DELIVERY 2025'!$Q$7</f>
        <v>468.52800000000002</v>
      </c>
      <c r="N177" s="67">
        <f>+'COMUNAS - HOME DELIVERY 2025'!N177*'COMUNAS - HOME DELIVERY 2025'!$Q$7</f>
        <v>398.35200000000003</v>
      </c>
      <c r="O177" s="60"/>
      <c r="P177" s="2"/>
      <c r="Q177" s="2"/>
      <c r="R177" s="2"/>
      <c r="S177" s="2"/>
      <c r="T177" s="2"/>
      <c r="U177" s="2"/>
      <c r="V177" s="2"/>
      <c r="W177" s="2"/>
      <c r="X177" s="2"/>
      <c r="Y177" s="38"/>
    </row>
    <row r="178" spans="2:25" ht="15.75" customHeight="1" x14ac:dyDescent="0.3">
      <c r="B178" s="2"/>
      <c r="C178" s="61" t="s">
        <v>365</v>
      </c>
      <c r="D178" s="62" t="s">
        <v>414</v>
      </c>
      <c r="E178" s="63" t="s">
        <v>415</v>
      </c>
      <c r="F178" s="64">
        <f>+'COMUNAS - HOME DELIVERY 2025'!F178*'COMUNAS - HOME DELIVERY 2025'!$Q$7</f>
        <v>3944.3040000000001</v>
      </c>
      <c r="G178" s="65">
        <f>+'COMUNAS - HOME DELIVERY 2025'!G178*'COMUNAS - HOME DELIVERY 2025'!$Q$7</f>
        <v>4219.848</v>
      </c>
      <c r="H178" s="65">
        <f>+'COMUNAS - HOME DELIVERY 2025'!H178*'COMUNAS - HOME DELIVERY 2025'!$Q$7</f>
        <v>4845.24</v>
      </c>
      <c r="I178" s="65">
        <f>+'COMUNAS - HOME DELIVERY 2025'!I178*'COMUNAS - HOME DELIVERY 2025'!$Q$7</f>
        <v>5564.5439999999999</v>
      </c>
      <c r="J178" s="65">
        <f>+'COMUNAS - HOME DELIVERY 2025'!J178*'COMUNAS - HOME DELIVERY 2025'!$Q$7</f>
        <v>6972.192</v>
      </c>
      <c r="K178" s="65">
        <f>+'COMUNAS - HOME DELIVERY 2025'!K178*'COMUNAS - HOME DELIVERY 2025'!$Q$7</f>
        <v>8450.0159999999996</v>
      </c>
      <c r="L178" s="65">
        <f>+'COMUNAS - HOME DELIVERY 2025'!L178*'COMUNAS - HOME DELIVERY 2025'!$Q$7</f>
        <v>9463.44</v>
      </c>
      <c r="M178" s="66">
        <f>+'COMUNAS - HOME DELIVERY 2025'!M178*'COMUNAS - HOME DELIVERY 2025'!$Q$7</f>
        <v>468.52800000000002</v>
      </c>
      <c r="N178" s="67">
        <f>+'COMUNAS - HOME DELIVERY 2025'!N178*'COMUNAS - HOME DELIVERY 2025'!$Q$7</f>
        <v>398.35200000000003</v>
      </c>
      <c r="O178" s="60"/>
      <c r="P178" s="2"/>
      <c r="Q178" s="2"/>
      <c r="R178" s="2"/>
      <c r="S178" s="2"/>
      <c r="T178" s="2"/>
      <c r="U178" s="2"/>
      <c r="V178" s="2"/>
      <c r="W178" s="2"/>
      <c r="X178" s="2"/>
      <c r="Y178" s="38"/>
    </row>
    <row r="179" spans="2:25" ht="15.75" customHeight="1" x14ac:dyDescent="0.3">
      <c r="B179" s="2"/>
      <c r="C179" s="61" t="s">
        <v>365</v>
      </c>
      <c r="D179" s="62" t="s">
        <v>416</v>
      </c>
      <c r="E179" s="63" t="s">
        <v>417</v>
      </c>
      <c r="F179" s="64">
        <f>+'COMUNAS - HOME DELIVERY 2025'!F179*'COMUNAS - HOME DELIVERY 2025'!$Q$7</f>
        <v>3944.3040000000001</v>
      </c>
      <c r="G179" s="65">
        <f>+'COMUNAS - HOME DELIVERY 2025'!G179*'COMUNAS - HOME DELIVERY 2025'!$Q$7</f>
        <v>4219.848</v>
      </c>
      <c r="H179" s="65">
        <f>+'COMUNAS - HOME DELIVERY 2025'!H179*'COMUNAS - HOME DELIVERY 2025'!$Q$7</f>
        <v>4845.24</v>
      </c>
      <c r="I179" s="65">
        <f>+'COMUNAS - HOME DELIVERY 2025'!I179*'COMUNAS - HOME DELIVERY 2025'!$Q$7</f>
        <v>5564.5439999999999</v>
      </c>
      <c r="J179" s="65">
        <f>+'COMUNAS - HOME DELIVERY 2025'!J179*'COMUNAS - HOME DELIVERY 2025'!$Q$7</f>
        <v>6972.192</v>
      </c>
      <c r="K179" s="65">
        <f>+'COMUNAS - HOME DELIVERY 2025'!K179*'COMUNAS - HOME DELIVERY 2025'!$Q$7</f>
        <v>8450.0159999999996</v>
      </c>
      <c r="L179" s="65">
        <f>+'COMUNAS - HOME DELIVERY 2025'!L179*'COMUNAS - HOME DELIVERY 2025'!$Q$7</f>
        <v>9463.44</v>
      </c>
      <c r="M179" s="66">
        <f>+'COMUNAS - HOME DELIVERY 2025'!M179*'COMUNAS - HOME DELIVERY 2025'!$Q$7</f>
        <v>468.52800000000002</v>
      </c>
      <c r="N179" s="67">
        <f>+'COMUNAS - HOME DELIVERY 2025'!N179*'COMUNAS - HOME DELIVERY 2025'!$Q$7</f>
        <v>398.35200000000003</v>
      </c>
      <c r="O179" s="60"/>
      <c r="P179" s="2"/>
      <c r="Q179" s="2"/>
      <c r="R179" s="2"/>
      <c r="S179" s="2"/>
      <c r="T179" s="2"/>
      <c r="U179" s="2"/>
      <c r="V179" s="2"/>
      <c r="W179" s="2"/>
      <c r="X179" s="2"/>
      <c r="Y179" s="38"/>
    </row>
    <row r="180" spans="2:25" ht="15.75" customHeight="1" x14ac:dyDescent="0.3">
      <c r="B180" s="2"/>
      <c r="C180" s="61" t="s">
        <v>365</v>
      </c>
      <c r="D180" s="62" t="s">
        <v>418</v>
      </c>
      <c r="E180" s="63" t="s">
        <v>419</v>
      </c>
      <c r="F180" s="64">
        <f>+'COMUNAS - HOME DELIVERY 2025'!F180*'COMUNAS - HOME DELIVERY 2025'!$Q$7</f>
        <v>5916.4560000000001</v>
      </c>
      <c r="G180" s="65">
        <f>+'COMUNAS - HOME DELIVERY 2025'!G180*'COMUNAS - HOME DELIVERY 2025'!$Q$7</f>
        <v>6329.7719999999999</v>
      </c>
      <c r="H180" s="65">
        <f>+'COMUNAS - HOME DELIVERY 2025'!H180*'COMUNAS - HOME DELIVERY 2025'!$Q$7</f>
        <v>7267.8600000000006</v>
      </c>
      <c r="I180" s="65">
        <f>+'COMUNAS - HOME DELIVERY 2025'!I180*'COMUNAS - HOME DELIVERY 2025'!$Q$7</f>
        <v>8346.8160000000007</v>
      </c>
      <c r="J180" s="65">
        <f>+'COMUNAS - HOME DELIVERY 2025'!J180*'COMUNAS - HOME DELIVERY 2025'!$Q$7</f>
        <v>10458.288</v>
      </c>
      <c r="K180" s="65">
        <f>+'COMUNAS - HOME DELIVERY 2025'!K180*'COMUNAS - HOME DELIVERY 2025'!$Q$7</f>
        <v>12675.024000000001</v>
      </c>
      <c r="L180" s="65">
        <f>+'COMUNAS - HOME DELIVERY 2025'!L180*'COMUNAS - HOME DELIVERY 2025'!$Q$7</f>
        <v>14195.16</v>
      </c>
      <c r="M180" s="66">
        <f>+'COMUNAS - HOME DELIVERY 2025'!M180*'COMUNAS - HOME DELIVERY 2025'!$Q$7</f>
        <v>702.79200000000003</v>
      </c>
      <c r="N180" s="67">
        <f>+'COMUNAS - HOME DELIVERY 2025'!N180*'COMUNAS - HOME DELIVERY 2025'!$Q$7</f>
        <v>597.52800000000002</v>
      </c>
      <c r="O180" s="60"/>
      <c r="P180" s="2"/>
      <c r="Q180" s="2"/>
      <c r="R180" s="2"/>
      <c r="S180" s="2"/>
      <c r="T180" s="2"/>
      <c r="U180" s="2"/>
      <c r="V180" s="2"/>
      <c r="W180" s="2"/>
      <c r="X180" s="2"/>
      <c r="Y180" s="38"/>
    </row>
    <row r="181" spans="2:25" ht="15.75" customHeight="1" x14ac:dyDescent="0.3">
      <c r="B181" s="2"/>
      <c r="C181" s="61" t="s">
        <v>365</v>
      </c>
      <c r="D181" s="62" t="s">
        <v>420</v>
      </c>
      <c r="E181" s="63" t="s">
        <v>421</v>
      </c>
      <c r="F181" s="64">
        <f>+'COMUNAS - HOME DELIVERY 2025'!F181*'COMUNAS - HOME DELIVERY 2025'!$Q$7</f>
        <v>3944.3040000000001</v>
      </c>
      <c r="G181" s="65">
        <f>+'COMUNAS - HOME DELIVERY 2025'!G181*'COMUNAS - HOME DELIVERY 2025'!$Q$7</f>
        <v>4219.848</v>
      </c>
      <c r="H181" s="65">
        <f>+'COMUNAS - HOME DELIVERY 2025'!H181*'COMUNAS - HOME DELIVERY 2025'!$Q$7</f>
        <v>4845.24</v>
      </c>
      <c r="I181" s="65">
        <f>+'COMUNAS - HOME DELIVERY 2025'!I181*'COMUNAS - HOME DELIVERY 2025'!$Q$7</f>
        <v>5564.5439999999999</v>
      </c>
      <c r="J181" s="65">
        <f>+'COMUNAS - HOME DELIVERY 2025'!J181*'COMUNAS - HOME DELIVERY 2025'!$Q$7</f>
        <v>6972.192</v>
      </c>
      <c r="K181" s="65">
        <f>+'COMUNAS - HOME DELIVERY 2025'!K181*'COMUNAS - HOME DELIVERY 2025'!$Q$7</f>
        <v>8450.0159999999996</v>
      </c>
      <c r="L181" s="65">
        <f>+'COMUNAS - HOME DELIVERY 2025'!L181*'COMUNAS - HOME DELIVERY 2025'!$Q$7</f>
        <v>9463.44</v>
      </c>
      <c r="M181" s="66">
        <f>+'COMUNAS - HOME DELIVERY 2025'!M181*'COMUNAS - HOME DELIVERY 2025'!$Q$7</f>
        <v>468.52800000000002</v>
      </c>
      <c r="N181" s="67">
        <f>+'COMUNAS - HOME DELIVERY 2025'!N181*'COMUNAS - HOME DELIVERY 2025'!$Q$7</f>
        <v>398.35200000000003</v>
      </c>
      <c r="O181" s="60"/>
      <c r="P181" s="2"/>
      <c r="Q181" s="2"/>
      <c r="R181" s="2"/>
      <c r="S181" s="2"/>
      <c r="T181" s="2"/>
      <c r="U181" s="2"/>
      <c r="V181" s="2"/>
      <c r="W181" s="2"/>
      <c r="X181" s="2"/>
      <c r="Y181" s="38"/>
    </row>
    <row r="182" spans="2:25" ht="15.75" customHeight="1" thickBot="1" x14ac:dyDescent="0.35">
      <c r="B182" s="2"/>
      <c r="C182" s="68" t="s">
        <v>365</v>
      </c>
      <c r="D182" s="69" t="s">
        <v>422</v>
      </c>
      <c r="E182" s="70" t="s">
        <v>423</v>
      </c>
      <c r="F182" s="71">
        <f>+'COMUNAS - HOME DELIVERY 2025'!F182*'COMUNAS - HOME DELIVERY 2025'!$Q$7</f>
        <v>3944.3040000000001</v>
      </c>
      <c r="G182" s="72">
        <f>+'COMUNAS - HOME DELIVERY 2025'!G182*'COMUNAS - HOME DELIVERY 2025'!$Q$7</f>
        <v>4219.848</v>
      </c>
      <c r="H182" s="72">
        <f>+'COMUNAS - HOME DELIVERY 2025'!H182*'COMUNAS - HOME DELIVERY 2025'!$Q$7</f>
        <v>4845.24</v>
      </c>
      <c r="I182" s="72">
        <f>+'COMUNAS - HOME DELIVERY 2025'!I182*'COMUNAS - HOME DELIVERY 2025'!$Q$7</f>
        <v>5564.5439999999999</v>
      </c>
      <c r="J182" s="72">
        <f>+'COMUNAS - HOME DELIVERY 2025'!J182*'COMUNAS - HOME DELIVERY 2025'!$Q$7</f>
        <v>6972.192</v>
      </c>
      <c r="K182" s="72">
        <f>+'COMUNAS - HOME DELIVERY 2025'!K182*'COMUNAS - HOME DELIVERY 2025'!$Q$7</f>
        <v>8450.0159999999996</v>
      </c>
      <c r="L182" s="72">
        <f>+'COMUNAS - HOME DELIVERY 2025'!L182*'COMUNAS - HOME DELIVERY 2025'!$Q$7</f>
        <v>9463.44</v>
      </c>
      <c r="M182" s="73">
        <f>+'COMUNAS - HOME DELIVERY 2025'!M182*'COMUNAS - HOME DELIVERY 2025'!$Q$7</f>
        <v>468.52800000000002</v>
      </c>
      <c r="N182" s="74">
        <f>+'COMUNAS - HOME DELIVERY 2025'!N182*'COMUNAS - HOME DELIVERY 2025'!$Q$7</f>
        <v>398.35200000000003</v>
      </c>
      <c r="O182" s="60"/>
      <c r="P182" s="2"/>
      <c r="Q182" s="2"/>
      <c r="R182" s="2"/>
      <c r="S182" s="2"/>
      <c r="T182" s="2"/>
      <c r="U182" s="2"/>
      <c r="V182" s="2"/>
      <c r="W182" s="2"/>
      <c r="X182" s="2"/>
      <c r="Y182" s="38"/>
    </row>
    <row r="183" spans="2:25" ht="15.75" customHeight="1" x14ac:dyDescent="0.3">
      <c r="B183" s="2"/>
      <c r="C183" s="75" t="s">
        <v>424</v>
      </c>
      <c r="D183" s="76" t="s">
        <v>425</v>
      </c>
      <c r="E183" s="77" t="s">
        <v>41</v>
      </c>
      <c r="F183" s="64">
        <f>+'COMUNAS - HOME DELIVERY 2025'!F183*'COMUNAS - HOME DELIVERY 2025'!$Q$7</f>
        <v>4425.2160000000003</v>
      </c>
      <c r="G183" s="65">
        <f>+'COMUNAS - HOME DELIVERY 2025'!G183*'COMUNAS - HOME DELIVERY 2025'!$Q$7</f>
        <v>4725.5280000000002</v>
      </c>
      <c r="H183" s="65">
        <f>+'COMUNAS - HOME DELIVERY 2025'!H183*'COMUNAS - HOME DELIVERY 2025'!$Q$7</f>
        <v>5254.9440000000004</v>
      </c>
      <c r="I183" s="65">
        <f>+'COMUNAS - HOME DELIVERY 2025'!I183*'COMUNAS - HOME DELIVERY 2025'!$Q$7</f>
        <v>5992.8240000000005</v>
      </c>
      <c r="J183" s="65">
        <f>+'COMUNAS - HOME DELIVERY 2025'!J183*'COMUNAS - HOME DELIVERY 2025'!$Q$7</f>
        <v>7308.6239999999998</v>
      </c>
      <c r="K183" s="65">
        <f>+'COMUNAS - HOME DELIVERY 2025'!K183*'COMUNAS - HOME DELIVERY 2025'!$Q$7</f>
        <v>8653.32</v>
      </c>
      <c r="L183" s="65">
        <f>+'COMUNAS - HOME DELIVERY 2025'!L183*'COMUNAS - HOME DELIVERY 2025'!$Q$7</f>
        <v>9886.56</v>
      </c>
      <c r="M183" s="66">
        <f>+'COMUNAS - HOME DELIVERY 2025'!M183*'COMUNAS - HOME DELIVERY 2025'!$Q$7</f>
        <v>564.50400000000002</v>
      </c>
      <c r="N183" s="67">
        <f>+'COMUNAS - HOME DELIVERY 2025'!N183*'COMUNAS - HOME DELIVERY 2025'!$Q$7</f>
        <v>455.11200000000002</v>
      </c>
      <c r="O183" s="60"/>
      <c r="P183" s="2"/>
      <c r="Q183" s="2"/>
      <c r="R183" s="2"/>
      <c r="S183" s="2"/>
      <c r="T183" s="2"/>
      <c r="U183" s="2"/>
      <c r="V183" s="2"/>
      <c r="W183" s="2"/>
      <c r="X183" s="2"/>
      <c r="Y183" s="38"/>
    </row>
    <row r="184" spans="2:25" ht="15.75" customHeight="1" x14ac:dyDescent="0.3">
      <c r="B184" s="2"/>
      <c r="C184" s="61" t="s">
        <v>424</v>
      </c>
      <c r="D184" s="62" t="s">
        <v>426</v>
      </c>
      <c r="E184" s="63" t="s">
        <v>427</v>
      </c>
      <c r="F184" s="64">
        <f>+'COMUNAS - HOME DELIVERY 2025'!F184*'COMUNAS - HOME DELIVERY 2025'!$Q$7</f>
        <v>4425.2160000000003</v>
      </c>
      <c r="G184" s="65">
        <f>+'COMUNAS - HOME DELIVERY 2025'!G184*'COMUNAS - HOME DELIVERY 2025'!$Q$7</f>
        <v>4725.5280000000002</v>
      </c>
      <c r="H184" s="65">
        <f>+'COMUNAS - HOME DELIVERY 2025'!H184*'COMUNAS - HOME DELIVERY 2025'!$Q$7</f>
        <v>5254.9440000000004</v>
      </c>
      <c r="I184" s="65">
        <f>+'COMUNAS - HOME DELIVERY 2025'!I184*'COMUNAS - HOME DELIVERY 2025'!$Q$7</f>
        <v>5992.8240000000005</v>
      </c>
      <c r="J184" s="65">
        <f>+'COMUNAS - HOME DELIVERY 2025'!J184*'COMUNAS - HOME DELIVERY 2025'!$Q$7</f>
        <v>7308.6239999999998</v>
      </c>
      <c r="K184" s="65">
        <f>+'COMUNAS - HOME DELIVERY 2025'!K184*'COMUNAS - HOME DELIVERY 2025'!$Q$7</f>
        <v>8653.32</v>
      </c>
      <c r="L184" s="65">
        <f>+'COMUNAS - HOME DELIVERY 2025'!L184*'COMUNAS - HOME DELIVERY 2025'!$Q$7</f>
        <v>9886.56</v>
      </c>
      <c r="M184" s="66">
        <f>+'COMUNAS - HOME DELIVERY 2025'!M184*'COMUNAS - HOME DELIVERY 2025'!$Q$7</f>
        <v>564.50400000000002</v>
      </c>
      <c r="N184" s="67">
        <f>+'COMUNAS - HOME DELIVERY 2025'!N184*'COMUNAS - HOME DELIVERY 2025'!$Q$7</f>
        <v>455.11200000000002</v>
      </c>
      <c r="O184" s="60"/>
      <c r="P184" s="2"/>
      <c r="Q184" s="2"/>
      <c r="R184" s="2"/>
      <c r="S184" s="2"/>
      <c r="T184" s="2"/>
      <c r="U184" s="2"/>
      <c r="V184" s="2"/>
      <c r="W184" s="2"/>
      <c r="X184" s="2"/>
      <c r="Y184" s="38"/>
    </row>
    <row r="185" spans="2:25" ht="15.75" customHeight="1" x14ac:dyDescent="0.3">
      <c r="B185" s="2"/>
      <c r="C185" s="61" t="s">
        <v>424</v>
      </c>
      <c r="D185" s="62" t="s">
        <v>428</v>
      </c>
      <c r="E185" s="63" t="s">
        <v>429</v>
      </c>
      <c r="F185" s="64">
        <f>+'COMUNAS - HOME DELIVERY 2025'!F185*'COMUNAS - HOME DELIVERY 2025'!$Q$7</f>
        <v>4425.2160000000003</v>
      </c>
      <c r="G185" s="65">
        <f>+'COMUNAS - HOME DELIVERY 2025'!G185*'COMUNAS - HOME DELIVERY 2025'!$Q$7</f>
        <v>4725.5280000000002</v>
      </c>
      <c r="H185" s="65">
        <f>+'COMUNAS - HOME DELIVERY 2025'!H185*'COMUNAS - HOME DELIVERY 2025'!$Q$7</f>
        <v>5254.9440000000004</v>
      </c>
      <c r="I185" s="65">
        <f>+'COMUNAS - HOME DELIVERY 2025'!I185*'COMUNAS - HOME DELIVERY 2025'!$Q$7</f>
        <v>5992.8240000000005</v>
      </c>
      <c r="J185" s="65">
        <f>+'COMUNAS - HOME DELIVERY 2025'!J185*'COMUNAS - HOME DELIVERY 2025'!$Q$7</f>
        <v>7308.6239999999998</v>
      </c>
      <c r="K185" s="65">
        <f>+'COMUNAS - HOME DELIVERY 2025'!K185*'COMUNAS - HOME DELIVERY 2025'!$Q$7</f>
        <v>8653.32</v>
      </c>
      <c r="L185" s="65">
        <f>+'COMUNAS - HOME DELIVERY 2025'!L185*'COMUNAS - HOME DELIVERY 2025'!$Q$7</f>
        <v>9886.56</v>
      </c>
      <c r="M185" s="66">
        <f>+'COMUNAS - HOME DELIVERY 2025'!M185*'COMUNAS - HOME DELIVERY 2025'!$Q$7</f>
        <v>564.50400000000002</v>
      </c>
      <c r="N185" s="67">
        <f>+'COMUNAS - HOME DELIVERY 2025'!N185*'COMUNAS - HOME DELIVERY 2025'!$Q$7</f>
        <v>455.11200000000002</v>
      </c>
      <c r="O185" s="60"/>
      <c r="P185" s="2"/>
      <c r="Q185" s="2"/>
      <c r="R185" s="2"/>
      <c r="S185" s="2"/>
      <c r="T185" s="2"/>
      <c r="U185" s="2"/>
      <c r="V185" s="2"/>
      <c r="W185" s="2"/>
      <c r="X185" s="2"/>
      <c r="Y185" s="38"/>
    </row>
    <row r="186" spans="2:25" ht="15.75" customHeight="1" x14ac:dyDescent="0.3">
      <c r="B186" s="2"/>
      <c r="C186" s="61" t="s">
        <v>424</v>
      </c>
      <c r="D186" s="62" t="s">
        <v>430</v>
      </c>
      <c r="E186" s="63" t="s">
        <v>431</v>
      </c>
      <c r="F186" s="64">
        <f>+'COMUNAS - HOME DELIVERY 2025'!F186*'COMUNAS - HOME DELIVERY 2025'!$Q$7</f>
        <v>6637.8240000000005</v>
      </c>
      <c r="G186" s="65">
        <f>+'COMUNAS - HOME DELIVERY 2025'!G186*'COMUNAS - HOME DELIVERY 2025'!$Q$7</f>
        <v>7088.2920000000004</v>
      </c>
      <c r="H186" s="65">
        <f>+'COMUNAS - HOME DELIVERY 2025'!H186*'COMUNAS - HOME DELIVERY 2025'!$Q$7</f>
        <v>7882.4160000000002</v>
      </c>
      <c r="I186" s="65">
        <f>+'COMUNAS - HOME DELIVERY 2025'!I186*'COMUNAS - HOME DELIVERY 2025'!$Q$7</f>
        <v>8989.2360000000008</v>
      </c>
      <c r="J186" s="65">
        <f>+'COMUNAS - HOME DELIVERY 2025'!J186*'COMUNAS - HOME DELIVERY 2025'!$Q$7</f>
        <v>10962.936</v>
      </c>
      <c r="K186" s="65">
        <f>+'COMUNAS - HOME DELIVERY 2025'!K186*'COMUNAS - HOME DELIVERY 2025'!$Q$7</f>
        <v>12979.98</v>
      </c>
      <c r="L186" s="65">
        <f>+'COMUNAS - HOME DELIVERY 2025'!L186*'COMUNAS - HOME DELIVERY 2025'!$Q$7</f>
        <v>14829.84</v>
      </c>
      <c r="M186" s="66">
        <f>+'COMUNAS - HOME DELIVERY 2025'!M186*'COMUNAS - HOME DELIVERY 2025'!$Q$7</f>
        <v>846.75599999999997</v>
      </c>
      <c r="N186" s="67">
        <f>+'COMUNAS - HOME DELIVERY 2025'!N186*'COMUNAS - HOME DELIVERY 2025'!$Q$7</f>
        <v>682.66800000000001</v>
      </c>
      <c r="O186" s="60"/>
      <c r="P186" s="2"/>
      <c r="Q186" s="2"/>
      <c r="R186" s="2"/>
      <c r="S186" s="2"/>
      <c r="T186" s="2"/>
      <c r="U186" s="2"/>
      <c r="V186" s="2"/>
      <c r="W186" s="2"/>
      <c r="X186" s="2"/>
      <c r="Y186" s="38"/>
    </row>
    <row r="187" spans="2:25" ht="15.75" customHeight="1" x14ac:dyDescent="0.3">
      <c r="B187" s="2"/>
      <c r="C187" s="61" t="s">
        <v>424</v>
      </c>
      <c r="D187" s="62" t="s">
        <v>432</v>
      </c>
      <c r="E187" s="63" t="s">
        <v>433</v>
      </c>
      <c r="F187" s="64">
        <f>+'COMUNAS - HOME DELIVERY 2025'!F187*'COMUNAS - HOME DELIVERY 2025'!$Q$7</f>
        <v>6637.8240000000005</v>
      </c>
      <c r="G187" s="65">
        <f>+'COMUNAS - HOME DELIVERY 2025'!G187*'COMUNAS - HOME DELIVERY 2025'!$Q$7</f>
        <v>7088.2920000000004</v>
      </c>
      <c r="H187" s="65">
        <f>+'COMUNAS - HOME DELIVERY 2025'!H187*'COMUNAS - HOME DELIVERY 2025'!$Q$7</f>
        <v>7882.4160000000002</v>
      </c>
      <c r="I187" s="65">
        <f>+'COMUNAS - HOME DELIVERY 2025'!I187*'COMUNAS - HOME DELIVERY 2025'!$Q$7</f>
        <v>8989.2360000000008</v>
      </c>
      <c r="J187" s="65">
        <f>+'COMUNAS - HOME DELIVERY 2025'!J187*'COMUNAS - HOME DELIVERY 2025'!$Q$7</f>
        <v>10962.936</v>
      </c>
      <c r="K187" s="65">
        <f>+'COMUNAS - HOME DELIVERY 2025'!K187*'COMUNAS - HOME DELIVERY 2025'!$Q$7</f>
        <v>12979.98</v>
      </c>
      <c r="L187" s="65">
        <f>+'COMUNAS - HOME DELIVERY 2025'!L187*'COMUNAS - HOME DELIVERY 2025'!$Q$7</f>
        <v>14829.84</v>
      </c>
      <c r="M187" s="66">
        <f>+'COMUNAS - HOME DELIVERY 2025'!M187*'COMUNAS - HOME DELIVERY 2025'!$Q$7</f>
        <v>846.75599999999997</v>
      </c>
      <c r="N187" s="67">
        <f>+'COMUNAS - HOME DELIVERY 2025'!N187*'COMUNAS - HOME DELIVERY 2025'!$Q$7</f>
        <v>682.66800000000001</v>
      </c>
      <c r="O187" s="60"/>
      <c r="P187" s="2"/>
      <c r="Q187" s="2"/>
      <c r="R187" s="2"/>
      <c r="S187" s="2"/>
      <c r="T187" s="2"/>
      <c r="U187" s="2"/>
      <c r="V187" s="2"/>
      <c r="W187" s="2"/>
      <c r="X187" s="2"/>
      <c r="Y187" s="38"/>
    </row>
    <row r="188" spans="2:25" ht="15.75" customHeight="1" x14ac:dyDescent="0.3">
      <c r="B188" s="2"/>
      <c r="C188" s="61" t="s">
        <v>424</v>
      </c>
      <c r="D188" s="62" t="s">
        <v>434</v>
      </c>
      <c r="E188" s="63" t="s">
        <v>435</v>
      </c>
      <c r="F188" s="64">
        <f>+'COMUNAS - HOME DELIVERY 2025'!F188*'COMUNAS - HOME DELIVERY 2025'!$Q$7</f>
        <v>4425.2160000000003</v>
      </c>
      <c r="G188" s="65">
        <f>+'COMUNAS - HOME DELIVERY 2025'!G188*'COMUNAS - HOME DELIVERY 2025'!$Q$7</f>
        <v>4725.5280000000002</v>
      </c>
      <c r="H188" s="65">
        <f>+'COMUNAS - HOME DELIVERY 2025'!H188*'COMUNAS - HOME DELIVERY 2025'!$Q$7</f>
        <v>5254.9440000000004</v>
      </c>
      <c r="I188" s="65">
        <f>+'COMUNAS - HOME DELIVERY 2025'!I188*'COMUNAS - HOME DELIVERY 2025'!$Q$7</f>
        <v>5992.8240000000005</v>
      </c>
      <c r="J188" s="65">
        <f>+'COMUNAS - HOME DELIVERY 2025'!J188*'COMUNAS - HOME DELIVERY 2025'!$Q$7</f>
        <v>7308.6239999999998</v>
      </c>
      <c r="K188" s="65">
        <f>+'COMUNAS - HOME DELIVERY 2025'!K188*'COMUNAS - HOME DELIVERY 2025'!$Q$7</f>
        <v>8653.32</v>
      </c>
      <c r="L188" s="65">
        <f>+'COMUNAS - HOME DELIVERY 2025'!L188*'COMUNAS - HOME DELIVERY 2025'!$Q$7</f>
        <v>9886.56</v>
      </c>
      <c r="M188" s="66">
        <f>+'COMUNAS - HOME DELIVERY 2025'!M188*'COMUNAS - HOME DELIVERY 2025'!$Q$7</f>
        <v>564.50400000000002</v>
      </c>
      <c r="N188" s="67">
        <f>+'COMUNAS - HOME DELIVERY 2025'!N188*'COMUNAS - HOME DELIVERY 2025'!$Q$7</f>
        <v>455.11200000000002</v>
      </c>
      <c r="O188" s="60"/>
      <c r="P188" s="2"/>
      <c r="Q188" s="2"/>
      <c r="R188" s="2"/>
      <c r="S188" s="2"/>
      <c r="T188" s="2"/>
      <c r="U188" s="2"/>
      <c r="V188" s="2"/>
      <c r="W188" s="2"/>
      <c r="X188" s="2"/>
      <c r="Y188" s="38"/>
    </row>
    <row r="189" spans="2:25" ht="15.75" customHeight="1" x14ac:dyDescent="0.3">
      <c r="B189" s="2"/>
      <c r="C189" s="61" t="s">
        <v>424</v>
      </c>
      <c r="D189" s="62" t="s">
        <v>436</v>
      </c>
      <c r="E189" s="63" t="s">
        <v>437</v>
      </c>
      <c r="F189" s="64">
        <f>+'COMUNAS - HOME DELIVERY 2025'!F189*'COMUNAS - HOME DELIVERY 2025'!$Q$7</f>
        <v>4425.2160000000003</v>
      </c>
      <c r="G189" s="65">
        <f>+'COMUNAS - HOME DELIVERY 2025'!G189*'COMUNAS - HOME DELIVERY 2025'!$Q$7</f>
        <v>4725.5280000000002</v>
      </c>
      <c r="H189" s="65">
        <f>+'COMUNAS - HOME DELIVERY 2025'!H189*'COMUNAS - HOME DELIVERY 2025'!$Q$7</f>
        <v>5254.9440000000004</v>
      </c>
      <c r="I189" s="65">
        <f>+'COMUNAS - HOME DELIVERY 2025'!I189*'COMUNAS - HOME DELIVERY 2025'!$Q$7</f>
        <v>5992.8240000000005</v>
      </c>
      <c r="J189" s="65">
        <f>+'COMUNAS - HOME DELIVERY 2025'!J189*'COMUNAS - HOME DELIVERY 2025'!$Q$7</f>
        <v>7308.6239999999998</v>
      </c>
      <c r="K189" s="65">
        <f>+'COMUNAS - HOME DELIVERY 2025'!K189*'COMUNAS - HOME DELIVERY 2025'!$Q$7</f>
        <v>8653.32</v>
      </c>
      <c r="L189" s="65">
        <f>+'COMUNAS - HOME DELIVERY 2025'!L189*'COMUNAS - HOME DELIVERY 2025'!$Q$7</f>
        <v>9886.56</v>
      </c>
      <c r="M189" s="66">
        <f>+'COMUNAS - HOME DELIVERY 2025'!M189*'COMUNAS - HOME DELIVERY 2025'!$Q$7</f>
        <v>564.50400000000002</v>
      </c>
      <c r="N189" s="67">
        <f>+'COMUNAS - HOME DELIVERY 2025'!N189*'COMUNAS - HOME DELIVERY 2025'!$Q$7</f>
        <v>455.11200000000002</v>
      </c>
      <c r="O189" s="60"/>
      <c r="P189" s="2"/>
      <c r="Q189" s="2"/>
      <c r="R189" s="2"/>
      <c r="S189" s="2"/>
      <c r="T189" s="2"/>
      <c r="U189" s="2"/>
      <c r="V189" s="2"/>
      <c r="W189" s="2"/>
      <c r="X189" s="2"/>
      <c r="Y189" s="38"/>
    </row>
    <row r="190" spans="2:25" ht="15.75" customHeight="1" x14ac:dyDescent="0.3">
      <c r="B190" s="2"/>
      <c r="C190" s="61" t="s">
        <v>424</v>
      </c>
      <c r="D190" s="62" t="s">
        <v>438</v>
      </c>
      <c r="E190" s="63" t="s">
        <v>439</v>
      </c>
      <c r="F190" s="64">
        <f>+'COMUNAS - HOME DELIVERY 2025'!F190*'COMUNAS - HOME DELIVERY 2025'!$Q$7</f>
        <v>4425.2160000000003</v>
      </c>
      <c r="G190" s="65">
        <f>+'COMUNAS - HOME DELIVERY 2025'!G190*'COMUNAS - HOME DELIVERY 2025'!$Q$7</f>
        <v>4725.5280000000002</v>
      </c>
      <c r="H190" s="65">
        <f>+'COMUNAS - HOME DELIVERY 2025'!H190*'COMUNAS - HOME DELIVERY 2025'!$Q$7</f>
        <v>5254.9440000000004</v>
      </c>
      <c r="I190" s="65">
        <f>+'COMUNAS - HOME DELIVERY 2025'!I190*'COMUNAS - HOME DELIVERY 2025'!$Q$7</f>
        <v>5992.8240000000005</v>
      </c>
      <c r="J190" s="65">
        <f>+'COMUNAS - HOME DELIVERY 2025'!J190*'COMUNAS - HOME DELIVERY 2025'!$Q$7</f>
        <v>7308.6239999999998</v>
      </c>
      <c r="K190" s="65">
        <f>+'COMUNAS - HOME DELIVERY 2025'!K190*'COMUNAS - HOME DELIVERY 2025'!$Q$7</f>
        <v>8653.32</v>
      </c>
      <c r="L190" s="65">
        <f>+'COMUNAS - HOME DELIVERY 2025'!L190*'COMUNAS - HOME DELIVERY 2025'!$Q$7</f>
        <v>9886.56</v>
      </c>
      <c r="M190" s="66">
        <f>+'COMUNAS - HOME DELIVERY 2025'!M190*'COMUNAS - HOME DELIVERY 2025'!$Q$7</f>
        <v>564.50400000000002</v>
      </c>
      <c r="N190" s="67">
        <f>+'COMUNAS - HOME DELIVERY 2025'!N190*'COMUNAS - HOME DELIVERY 2025'!$Q$7</f>
        <v>455.11200000000002</v>
      </c>
      <c r="O190" s="60"/>
      <c r="P190" s="2"/>
      <c r="Q190" s="2"/>
      <c r="R190" s="2"/>
      <c r="S190" s="2"/>
      <c r="T190" s="2"/>
      <c r="U190" s="2"/>
      <c r="V190" s="2"/>
      <c r="W190" s="2"/>
      <c r="X190" s="2"/>
      <c r="Y190" s="38"/>
    </row>
    <row r="191" spans="2:25" ht="15.75" customHeight="1" x14ac:dyDescent="0.3">
      <c r="B191" s="2"/>
      <c r="C191" s="61" t="s">
        <v>424</v>
      </c>
      <c r="D191" s="62" t="s">
        <v>440</v>
      </c>
      <c r="E191" s="63" t="s">
        <v>441</v>
      </c>
      <c r="F191" s="64">
        <f>+'COMUNAS - HOME DELIVERY 2025'!F191*'COMUNAS - HOME DELIVERY 2025'!$Q$7</f>
        <v>4425.2160000000003</v>
      </c>
      <c r="G191" s="65">
        <f>+'COMUNAS - HOME DELIVERY 2025'!G191*'COMUNAS - HOME DELIVERY 2025'!$Q$7</f>
        <v>4725.5280000000002</v>
      </c>
      <c r="H191" s="65">
        <f>+'COMUNAS - HOME DELIVERY 2025'!H191*'COMUNAS - HOME DELIVERY 2025'!$Q$7</f>
        <v>5254.9440000000004</v>
      </c>
      <c r="I191" s="65">
        <f>+'COMUNAS - HOME DELIVERY 2025'!I191*'COMUNAS - HOME DELIVERY 2025'!$Q$7</f>
        <v>5992.8240000000005</v>
      </c>
      <c r="J191" s="65">
        <f>+'COMUNAS - HOME DELIVERY 2025'!J191*'COMUNAS - HOME DELIVERY 2025'!$Q$7</f>
        <v>7308.6239999999998</v>
      </c>
      <c r="K191" s="65">
        <f>+'COMUNAS - HOME DELIVERY 2025'!K191*'COMUNAS - HOME DELIVERY 2025'!$Q$7</f>
        <v>8653.32</v>
      </c>
      <c r="L191" s="65">
        <f>+'COMUNAS - HOME DELIVERY 2025'!L191*'COMUNAS - HOME DELIVERY 2025'!$Q$7</f>
        <v>9886.56</v>
      </c>
      <c r="M191" s="66">
        <f>+'COMUNAS - HOME DELIVERY 2025'!M191*'COMUNAS - HOME DELIVERY 2025'!$Q$7</f>
        <v>564.50400000000002</v>
      </c>
      <c r="N191" s="67">
        <f>+'COMUNAS - HOME DELIVERY 2025'!N191*'COMUNAS - HOME DELIVERY 2025'!$Q$7</f>
        <v>455.11200000000002</v>
      </c>
      <c r="O191" s="60"/>
      <c r="P191" s="2"/>
      <c r="Q191" s="2"/>
      <c r="R191" s="2"/>
      <c r="S191" s="2"/>
      <c r="T191" s="2"/>
      <c r="U191" s="2"/>
      <c r="V191" s="2"/>
      <c r="W191" s="2"/>
      <c r="X191" s="2"/>
      <c r="Y191" s="38"/>
    </row>
    <row r="192" spans="2:25" ht="15.75" customHeight="1" x14ac:dyDescent="0.3">
      <c r="B192" s="2"/>
      <c r="C192" s="61" t="s">
        <v>424</v>
      </c>
      <c r="D192" s="62" t="s">
        <v>442</v>
      </c>
      <c r="E192" s="63" t="s">
        <v>443</v>
      </c>
      <c r="F192" s="64">
        <f>+'COMUNAS - HOME DELIVERY 2025'!F192*'COMUNAS - HOME DELIVERY 2025'!$Q$7</f>
        <v>4425.2160000000003</v>
      </c>
      <c r="G192" s="65">
        <f>+'COMUNAS - HOME DELIVERY 2025'!G192*'COMUNAS - HOME DELIVERY 2025'!$Q$7</f>
        <v>4725.5280000000002</v>
      </c>
      <c r="H192" s="65">
        <f>+'COMUNAS - HOME DELIVERY 2025'!H192*'COMUNAS - HOME DELIVERY 2025'!$Q$7</f>
        <v>5254.9440000000004</v>
      </c>
      <c r="I192" s="65">
        <f>+'COMUNAS - HOME DELIVERY 2025'!I192*'COMUNAS - HOME DELIVERY 2025'!$Q$7</f>
        <v>5992.8240000000005</v>
      </c>
      <c r="J192" s="65">
        <f>+'COMUNAS - HOME DELIVERY 2025'!J192*'COMUNAS - HOME DELIVERY 2025'!$Q$7</f>
        <v>7308.6239999999998</v>
      </c>
      <c r="K192" s="65">
        <f>+'COMUNAS - HOME DELIVERY 2025'!K192*'COMUNAS - HOME DELIVERY 2025'!$Q$7</f>
        <v>8653.32</v>
      </c>
      <c r="L192" s="65">
        <f>+'COMUNAS - HOME DELIVERY 2025'!L192*'COMUNAS - HOME DELIVERY 2025'!$Q$7</f>
        <v>9886.56</v>
      </c>
      <c r="M192" s="66">
        <f>+'COMUNAS - HOME DELIVERY 2025'!M192*'COMUNAS - HOME DELIVERY 2025'!$Q$7</f>
        <v>564.50400000000002</v>
      </c>
      <c r="N192" s="67">
        <f>+'COMUNAS - HOME DELIVERY 2025'!N192*'COMUNAS - HOME DELIVERY 2025'!$Q$7</f>
        <v>455.11200000000002</v>
      </c>
      <c r="O192" s="60"/>
      <c r="P192" s="2"/>
      <c r="Q192" s="2"/>
      <c r="R192" s="2"/>
      <c r="S192" s="2"/>
      <c r="T192" s="2"/>
      <c r="U192" s="2"/>
      <c r="V192" s="2"/>
      <c r="W192" s="2"/>
      <c r="X192" s="2"/>
      <c r="Y192" s="38"/>
    </row>
    <row r="193" spans="2:25" ht="15.75" customHeight="1" x14ac:dyDescent="0.3">
      <c r="B193" s="2"/>
      <c r="C193" s="61" t="s">
        <v>424</v>
      </c>
      <c r="D193" s="62" t="s">
        <v>444</v>
      </c>
      <c r="E193" s="63" t="s">
        <v>445</v>
      </c>
      <c r="F193" s="64">
        <f>+'COMUNAS - HOME DELIVERY 2025'!F193*'COMUNAS - HOME DELIVERY 2025'!$Q$7</f>
        <v>4425.2160000000003</v>
      </c>
      <c r="G193" s="65">
        <f>+'COMUNAS - HOME DELIVERY 2025'!G193*'COMUNAS - HOME DELIVERY 2025'!$Q$7</f>
        <v>4725.5280000000002</v>
      </c>
      <c r="H193" s="65">
        <f>+'COMUNAS - HOME DELIVERY 2025'!H193*'COMUNAS - HOME DELIVERY 2025'!$Q$7</f>
        <v>5254.9440000000004</v>
      </c>
      <c r="I193" s="65">
        <f>+'COMUNAS - HOME DELIVERY 2025'!I193*'COMUNAS - HOME DELIVERY 2025'!$Q$7</f>
        <v>5992.8240000000005</v>
      </c>
      <c r="J193" s="65">
        <f>+'COMUNAS - HOME DELIVERY 2025'!J193*'COMUNAS - HOME DELIVERY 2025'!$Q$7</f>
        <v>7308.6239999999998</v>
      </c>
      <c r="K193" s="65">
        <f>+'COMUNAS - HOME DELIVERY 2025'!K193*'COMUNAS - HOME DELIVERY 2025'!$Q$7</f>
        <v>8653.32</v>
      </c>
      <c r="L193" s="65">
        <f>+'COMUNAS - HOME DELIVERY 2025'!L193*'COMUNAS - HOME DELIVERY 2025'!$Q$7</f>
        <v>9886.56</v>
      </c>
      <c r="M193" s="66">
        <f>+'COMUNAS - HOME DELIVERY 2025'!M193*'COMUNAS - HOME DELIVERY 2025'!$Q$7</f>
        <v>564.50400000000002</v>
      </c>
      <c r="N193" s="67">
        <f>+'COMUNAS - HOME DELIVERY 2025'!N193*'COMUNAS - HOME DELIVERY 2025'!$Q$7</f>
        <v>455.11200000000002</v>
      </c>
      <c r="O193" s="60"/>
      <c r="P193" s="2"/>
      <c r="Q193" s="2"/>
      <c r="R193" s="2"/>
      <c r="S193" s="2"/>
      <c r="T193" s="2"/>
      <c r="U193" s="2"/>
      <c r="V193" s="2"/>
      <c r="W193" s="2"/>
      <c r="X193" s="2"/>
      <c r="Y193" s="38"/>
    </row>
    <row r="194" spans="2:25" ht="15.75" customHeight="1" x14ac:dyDescent="0.3">
      <c r="B194" s="2"/>
      <c r="C194" s="61" t="s">
        <v>424</v>
      </c>
      <c r="D194" s="62" t="s">
        <v>446</v>
      </c>
      <c r="E194" s="63" t="s">
        <v>447</v>
      </c>
      <c r="F194" s="64">
        <f>+'COMUNAS - HOME DELIVERY 2025'!F194*'COMUNAS - HOME DELIVERY 2025'!$Q$7</f>
        <v>6637.8240000000005</v>
      </c>
      <c r="G194" s="65">
        <f>+'COMUNAS - HOME DELIVERY 2025'!G194*'COMUNAS - HOME DELIVERY 2025'!$Q$7</f>
        <v>7088.2920000000004</v>
      </c>
      <c r="H194" s="65">
        <f>+'COMUNAS - HOME DELIVERY 2025'!H194*'COMUNAS - HOME DELIVERY 2025'!$Q$7</f>
        <v>7882.4160000000002</v>
      </c>
      <c r="I194" s="65">
        <f>+'COMUNAS - HOME DELIVERY 2025'!I194*'COMUNAS - HOME DELIVERY 2025'!$Q$7</f>
        <v>8989.2360000000008</v>
      </c>
      <c r="J194" s="65">
        <f>+'COMUNAS - HOME DELIVERY 2025'!J194*'COMUNAS - HOME DELIVERY 2025'!$Q$7</f>
        <v>10962.936</v>
      </c>
      <c r="K194" s="65">
        <f>+'COMUNAS - HOME DELIVERY 2025'!K194*'COMUNAS - HOME DELIVERY 2025'!$Q$7</f>
        <v>12979.98</v>
      </c>
      <c r="L194" s="65">
        <f>+'COMUNAS - HOME DELIVERY 2025'!L194*'COMUNAS - HOME DELIVERY 2025'!$Q$7</f>
        <v>14829.84</v>
      </c>
      <c r="M194" s="66">
        <f>+'COMUNAS - HOME DELIVERY 2025'!M194*'COMUNAS - HOME DELIVERY 2025'!$Q$7</f>
        <v>846.75599999999997</v>
      </c>
      <c r="N194" s="67">
        <f>+'COMUNAS - HOME DELIVERY 2025'!N194*'COMUNAS - HOME DELIVERY 2025'!$Q$7</f>
        <v>682.66800000000001</v>
      </c>
      <c r="O194" s="60"/>
      <c r="P194" s="2"/>
      <c r="Q194" s="2"/>
      <c r="R194" s="2"/>
      <c r="S194" s="2"/>
      <c r="T194" s="2"/>
      <c r="U194" s="2"/>
      <c r="V194" s="2"/>
      <c r="W194" s="2"/>
      <c r="X194" s="2"/>
      <c r="Y194" s="38"/>
    </row>
    <row r="195" spans="2:25" ht="15.75" customHeight="1" x14ac:dyDescent="0.3">
      <c r="B195" s="2"/>
      <c r="C195" s="61" t="s">
        <v>424</v>
      </c>
      <c r="D195" s="62" t="s">
        <v>448</v>
      </c>
      <c r="E195" s="63" t="s">
        <v>449</v>
      </c>
      <c r="F195" s="64">
        <f>+'COMUNAS - HOME DELIVERY 2025'!F195*'COMUNAS - HOME DELIVERY 2025'!$Q$7</f>
        <v>4425.2160000000003</v>
      </c>
      <c r="G195" s="65">
        <f>+'COMUNAS - HOME DELIVERY 2025'!G195*'COMUNAS - HOME DELIVERY 2025'!$Q$7</f>
        <v>4725.5280000000002</v>
      </c>
      <c r="H195" s="65">
        <f>+'COMUNAS - HOME DELIVERY 2025'!H195*'COMUNAS - HOME DELIVERY 2025'!$Q$7</f>
        <v>5254.9440000000004</v>
      </c>
      <c r="I195" s="65">
        <f>+'COMUNAS - HOME DELIVERY 2025'!I195*'COMUNAS - HOME DELIVERY 2025'!$Q$7</f>
        <v>5992.8240000000005</v>
      </c>
      <c r="J195" s="65">
        <f>+'COMUNAS - HOME DELIVERY 2025'!J195*'COMUNAS - HOME DELIVERY 2025'!$Q$7</f>
        <v>7308.6239999999998</v>
      </c>
      <c r="K195" s="65">
        <f>+'COMUNAS - HOME DELIVERY 2025'!K195*'COMUNAS - HOME DELIVERY 2025'!$Q$7</f>
        <v>8653.32</v>
      </c>
      <c r="L195" s="65">
        <f>+'COMUNAS - HOME DELIVERY 2025'!L195*'COMUNAS - HOME DELIVERY 2025'!$Q$7</f>
        <v>9886.56</v>
      </c>
      <c r="M195" s="66">
        <f>+'COMUNAS - HOME DELIVERY 2025'!M195*'COMUNAS - HOME DELIVERY 2025'!$Q$7</f>
        <v>564.50400000000002</v>
      </c>
      <c r="N195" s="67">
        <f>+'COMUNAS - HOME DELIVERY 2025'!N195*'COMUNAS - HOME DELIVERY 2025'!$Q$7</f>
        <v>455.11200000000002</v>
      </c>
      <c r="O195" s="60"/>
      <c r="P195" s="2"/>
      <c r="Q195" s="2"/>
      <c r="R195" s="2"/>
      <c r="S195" s="2"/>
      <c r="T195" s="2"/>
      <c r="U195" s="2"/>
      <c r="V195" s="2"/>
      <c r="W195" s="2"/>
      <c r="X195" s="2"/>
      <c r="Y195" s="38"/>
    </row>
    <row r="196" spans="2:25" ht="15.75" customHeight="1" x14ac:dyDescent="0.3">
      <c r="B196" s="2"/>
      <c r="C196" s="61" t="s">
        <v>424</v>
      </c>
      <c r="D196" s="62" t="s">
        <v>450</v>
      </c>
      <c r="E196" s="63" t="s">
        <v>451</v>
      </c>
      <c r="F196" s="64">
        <f>+'COMUNAS - HOME DELIVERY 2025'!F196*'COMUNAS - HOME DELIVERY 2025'!$Q$7</f>
        <v>4425.2160000000003</v>
      </c>
      <c r="G196" s="65">
        <f>+'COMUNAS - HOME DELIVERY 2025'!G196*'COMUNAS - HOME DELIVERY 2025'!$Q$7</f>
        <v>4725.5280000000002</v>
      </c>
      <c r="H196" s="65">
        <f>+'COMUNAS - HOME DELIVERY 2025'!H196*'COMUNAS - HOME DELIVERY 2025'!$Q$7</f>
        <v>5254.9440000000004</v>
      </c>
      <c r="I196" s="65">
        <f>+'COMUNAS - HOME DELIVERY 2025'!I196*'COMUNAS - HOME DELIVERY 2025'!$Q$7</f>
        <v>5992.8240000000005</v>
      </c>
      <c r="J196" s="65">
        <f>+'COMUNAS - HOME DELIVERY 2025'!J196*'COMUNAS - HOME DELIVERY 2025'!$Q$7</f>
        <v>7308.6239999999998</v>
      </c>
      <c r="K196" s="65">
        <f>+'COMUNAS - HOME DELIVERY 2025'!K196*'COMUNAS - HOME DELIVERY 2025'!$Q$7</f>
        <v>8653.32</v>
      </c>
      <c r="L196" s="65">
        <f>+'COMUNAS - HOME DELIVERY 2025'!L196*'COMUNAS - HOME DELIVERY 2025'!$Q$7</f>
        <v>9886.56</v>
      </c>
      <c r="M196" s="66">
        <f>+'COMUNAS - HOME DELIVERY 2025'!M196*'COMUNAS - HOME DELIVERY 2025'!$Q$7</f>
        <v>564.50400000000002</v>
      </c>
      <c r="N196" s="67">
        <f>+'COMUNAS - HOME DELIVERY 2025'!N196*'COMUNAS - HOME DELIVERY 2025'!$Q$7</f>
        <v>455.11200000000002</v>
      </c>
      <c r="O196" s="60"/>
      <c r="P196" s="2"/>
      <c r="Q196" s="2"/>
      <c r="R196" s="2"/>
      <c r="S196" s="2"/>
      <c r="T196" s="2"/>
      <c r="U196" s="2"/>
      <c r="V196" s="2"/>
      <c r="W196" s="2"/>
      <c r="X196" s="2"/>
      <c r="Y196" s="38"/>
    </row>
    <row r="197" spans="2:25" ht="15.75" customHeight="1" x14ac:dyDescent="0.3">
      <c r="B197" s="2"/>
      <c r="C197" s="61" t="s">
        <v>424</v>
      </c>
      <c r="D197" s="62" t="s">
        <v>452</v>
      </c>
      <c r="E197" s="63" t="s">
        <v>453</v>
      </c>
      <c r="F197" s="64">
        <f>+'COMUNAS - HOME DELIVERY 2025'!F197*'COMUNAS - HOME DELIVERY 2025'!$Q$7</f>
        <v>6637.8240000000005</v>
      </c>
      <c r="G197" s="65">
        <f>+'COMUNAS - HOME DELIVERY 2025'!G197*'COMUNAS - HOME DELIVERY 2025'!$Q$7</f>
        <v>7088.2920000000004</v>
      </c>
      <c r="H197" s="65">
        <f>+'COMUNAS - HOME DELIVERY 2025'!H197*'COMUNAS - HOME DELIVERY 2025'!$Q$7</f>
        <v>7882.4160000000002</v>
      </c>
      <c r="I197" s="65">
        <f>+'COMUNAS - HOME DELIVERY 2025'!I197*'COMUNAS - HOME DELIVERY 2025'!$Q$7</f>
        <v>8989.2360000000008</v>
      </c>
      <c r="J197" s="65">
        <f>+'COMUNAS - HOME DELIVERY 2025'!J197*'COMUNAS - HOME DELIVERY 2025'!$Q$7</f>
        <v>10962.936</v>
      </c>
      <c r="K197" s="65">
        <f>+'COMUNAS - HOME DELIVERY 2025'!K197*'COMUNAS - HOME DELIVERY 2025'!$Q$7</f>
        <v>12979.98</v>
      </c>
      <c r="L197" s="65">
        <f>+'COMUNAS - HOME DELIVERY 2025'!L197*'COMUNAS - HOME DELIVERY 2025'!$Q$7</f>
        <v>14829.84</v>
      </c>
      <c r="M197" s="66">
        <f>+'COMUNAS - HOME DELIVERY 2025'!M197*'COMUNAS - HOME DELIVERY 2025'!$Q$7</f>
        <v>846.75599999999997</v>
      </c>
      <c r="N197" s="67">
        <f>+'COMUNAS - HOME DELIVERY 2025'!N197*'COMUNAS - HOME DELIVERY 2025'!$Q$7</f>
        <v>682.66800000000001</v>
      </c>
      <c r="O197" s="60"/>
      <c r="P197" s="2"/>
      <c r="Q197" s="2"/>
      <c r="R197" s="2"/>
      <c r="S197" s="2"/>
      <c r="T197" s="2"/>
      <c r="U197" s="2"/>
      <c r="V197" s="2"/>
      <c r="W197" s="2"/>
      <c r="X197" s="2"/>
      <c r="Y197" s="38"/>
    </row>
    <row r="198" spans="2:25" ht="15.75" customHeight="1" x14ac:dyDescent="0.3">
      <c r="B198" s="2"/>
      <c r="C198" s="61" t="s">
        <v>424</v>
      </c>
      <c r="D198" s="62" t="s">
        <v>454</v>
      </c>
      <c r="E198" s="63" t="s">
        <v>455</v>
      </c>
      <c r="F198" s="64">
        <f>+'COMUNAS - HOME DELIVERY 2025'!F198*'COMUNAS - HOME DELIVERY 2025'!$Q$7</f>
        <v>4425.2160000000003</v>
      </c>
      <c r="G198" s="65">
        <f>+'COMUNAS - HOME DELIVERY 2025'!G198*'COMUNAS - HOME DELIVERY 2025'!$Q$7</f>
        <v>4725.5280000000002</v>
      </c>
      <c r="H198" s="65">
        <f>+'COMUNAS - HOME DELIVERY 2025'!H198*'COMUNAS - HOME DELIVERY 2025'!$Q$7</f>
        <v>5254.9440000000004</v>
      </c>
      <c r="I198" s="65">
        <f>+'COMUNAS - HOME DELIVERY 2025'!I198*'COMUNAS - HOME DELIVERY 2025'!$Q$7</f>
        <v>5992.8240000000005</v>
      </c>
      <c r="J198" s="65">
        <f>+'COMUNAS - HOME DELIVERY 2025'!J198*'COMUNAS - HOME DELIVERY 2025'!$Q$7</f>
        <v>7308.6239999999998</v>
      </c>
      <c r="K198" s="65">
        <f>+'COMUNAS - HOME DELIVERY 2025'!K198*'COMUNAS - HOME DELIVERY 2025'!$Q$7</f>
        <v>8653.32</v>
      </c>
      <c r="L198" s="65">
        <f>+'COMUNAS - HOME DELIVERY 2025'!L198*'COMUNAS - HOME DELIVERY 2025'!$Q$7</f>
        <v>9886.56</v>
      </c>
      <c r="M198" s="66">
        <f>+'COMUNAS - HOME DELIVERY 2025'!M198*'COMUNAS - HOME DELIVERY 2025'!$Q$7</f>
        <v>564.50400000000002</v>
      </c>
      <c r="N198" s="67">
        <f>+'COMUNAS - HOME DELIVERY 2025'!N198*'COMUNAS - HOME DELIVERY 2025'!$Q$7</f>
        <v>455.11200000000002</v>
      </c>
      <c r="O198" s="60"/>
      <c r="P198" s="2"/>
      <c r="Q198" s="2"/>
      <c r="R198" s="2"/>
      <c r="S198" s="2"/>
      <c r="T198" s="2"/>
      <c r="U198" s="2"/>
      <c r="V198" s="2"/>
      <c r="W198" s="2"/>
      <c r="X198" s="2"/>
      <c r="Y198" s="38"/>
    </row>
    <row r="199" spans="2:25" ht="15.75" customHeight="1" x14ac:dyDescent="0.3">
      <c r="B199" s="2"/>
      <c r="C199" s="61" t="s">
        <v>424</v>
      </c>
      <c r="D199" s="62" t="s">
        <v>456</v>
      </c>
      <c r="E199" s="63" t="s">
        <v>457</v>
      </c>
      <c r="F199" s="64">
        <f>+'COMUNAS - HOME DELIVERY 2025'!F199*'COMUNAS - HOME DELIVERY 2025'!$Q$7</f>
        <v>6637.8240000000005</v>
      </c>
      <c r="G199" s="65">
        <f>+'COMUNAS - HOME DELIVERY 2025'!G199*'COMUNAS - HOME DELIVERY 2025'!$Q$7</f>
        <v>7088.2920000000004</v>
      </c>
      <c r="H199" s="65">
        <f>+'COMUNAS - HOME DELIVERY 2025'!H199*'COMUNAS - HOME DELIVERY 2025'!$Q$7</f>
        <v>7882.4160000000002</v>
      </c>
      <c r="I199" s="65">
        <f>+'COMUNAS - HOME DELIVERY 2025'!I199*'COMUNAS - HOME DELIVERY 2025'!$Q$7</f>
        <v>8989.2360000000008</v>
      </c>
      <c r="J199" s="65">
        <f>+'COMUNAS - HOME DELIVERY 2025'!J199*'COMUNAS - HOME DELIVERY 2025'!$Q$7</f>
        <v>10962.936</v>
      </c>
      <c r="K199" s="65">
        <f>+'COMUNAS - HOME DELIVERY 2025'!K199*'COMUNAS - HOME DELIVERY 2025'!$Q$7</f>
        <v>12979.98</v>
      </c>
      <c r="L199" s="65">
        <f>+'COMUNAS - HOME DELIVERY 2025'!L199*'COMUNAS - HOME DELIVERY 2025'!$Q$7</f>
        <v>14829.84</v>
      </c>
      <c r="M199" s="66">
        <f>+'COMUNAS - HOME DELIVERY 2025'!M199*'COMUNAS - HOME DELIVERY 2025'!$Q$7</f>
        <v>846.75599999999997</v>
      </c>
      <c r="N199" s="67">
        <f>+'COMUNAS - HOME DELIVERY 2025'!N199*'COMUNAS - HOME DELIVERY 2025'!$Q$7</f>
        <v>682.66800000000001</v>
      </c>
      <c r="O199" s="60"/>
      <c r="P199" s="2"/>
      <c r="Q199" s="2"/>
      <c r="R199" s="2"/>
      <c r="S199" s="2"/>
      <c r="T199" s="2"/>
      <c r="U199" s="2"/>
      <c r="V199" s="2"/>
      <c r="W199" s="2"/>
      <c r="X199" s="2"/>
      <c r="Y199" s="38"/>
    </row>
    <row r="200" spans="2:25" ht="15.75" customHeight="1" x14ac:dyDescent="0.3">
      <c r="B200" s="2"/>
      <c r="C200" s="61" t="s">
        <v>424</v>
      </c>
      <c r="D200" s="62" t="s">
        <v>458</v>
      </c>
      <c r="E200" s="63" t="s">
        <v>459</v>
      </c>
      <c r="F200" s="64">
        <f>+'COMUNAS - HOME DELIVERY 2025'!F200*'COMUNAS - HOME DELIVERY 2025'!$Q$7</f>
        <v>4425.2160000000003</v>
      </c>
      <c r="G200" s="65">
        <f>+'COMUNAS - HOME DELIVERY 2025'!G200*'COMUNAS - HOME DELIVERY 2025'!$Q$7</f>
        <v>4725.5280000000002</v>
      </c>
      <c r="H200" s="65">
        <f>+'COMUNAS - HOME DELIVERY 2025'!H200*'COMUNAS - HOME DELIVERY 2025'!$Q$7</f>
        <v>5254.9440000000004</v>
      </c>
      <c r="I200" s="65">
        <f>+'COMUNAS - HOME DELIVERY 2025'!I200*'COMUNAS - HOME DELIVERY 2025'!$Q$7</f>
        <v>5992.8240000000005</v>
      </c>
      <c r="J200" s="65">
        <f>+'COMUNAS - HOME DELIVERY 2025'!J200*'COMUNAS - HOME DELIVERY 2025'!$Q$7</f>
        <v>7308.6239999999998</v>
      </c>
      <c r="K200" s="65">
        <f>+'COMUNAS - HOME DELIVERY 2025'!K200*'COMUNAS - HOME DELIVERY 2025'!$Q$7</f>
        <v>8653.32</v>
      </c>
      <c r="L200" s="65">
        <f>+'COMUNAS - HOME DELIVERY 2025'!L200*'COMUNAS - HOME DELIVERY 2025'!$Q$7</f>
        <v>9886.56</v>
      </c>
      <c r="M200" s="66">
        <f>+'COMUNAS - HOME DELIVERY 2025'!M200*'COMUNAS - HOME DELIVERY 2025'!$Q$7</f>
        <v>564.50400000000002</v>
      </c>
      <c r="N200" s="67">
        <f>+'COMUNAS - HOME DELIVERY 2025'!N200*'COMUNAS - HOME DELIVERY 2025'!$Q$7</f>
        <v>455.11200000000002</v>
      </c>
      <c r="O200" s="60"/>
      <c r="P200" s="2"/>
      <c r="Q200" s="2"/>
      <c r="R200" s="2"/>
      <c r="S200" s="2"/>
      <c r="T200" s="2"/>
      <c r="U200" s="2"/>
      <c r="V200" s="2"/>
      <c r="W200" s="2"/>
      <c r="X200" s="2"/>
      <c r="Y200" s="38"/>
    </row>
    <row r="201" spans="2:25" ht="15.75" customHeight="1" x14ac:dyDescent="0.3">
      <c r="B201" s="2"/>
      <c r="C201" s="61" t="s">
        <v>424</v>
      </c>
      <c r="D201" s="62" t="s">
        <v>460</v>
      </c>
      <c r="E201" s="63" t="s">
        <v>461</v>
      </c>
      <c r="F201" s="64">
        <f>+'COMUNAS - HOME DELIVERY 2025'!F201*'COMUNAS - HOME DELIVERY 2025'!$Q$7</f>
        <v>4425.2160000000003</v>
      </c>
      <c r="G201" s="65">
        <f>+'COMUNAS - HOME DELIVERY 2025'!G201*'COMUNAS - HOME DELIVERY 2025'!$Q$7</f>
        <v>4725.5280000000002</v>
      </c>
      <c r="H201" s="65">
        <f>+'COMUNAS - HOME DELIVERY 2025'!H201*'COMUNAS - HOME DELIVERY 2025'!$Q$7</f>
        <v>5254.9440000000004</v>
      </c>
      <c r="I201" s="65">
        <f>+'COMUNAS - HOME DELIVERY 2025'!I201*'COMUNAS - HOME DELIVERY 2025'!$Q$7</f>
        <v>5992.8240000000005</v>
      </c>
      <c r="J201" s="65">
        <f>+'COMUNAS - HOME DELIVERY 2025'!J201*'COMUNAS - HOME DELIVERY 2025'!$Q$7</f>
        <v>7308.6239999999998</v>
      </c>
      <c r="K201" s="65">
        <f>+'COMUNAS - HOME DELIVERY 2025'!K201*'COMUNAS - HOME DELIVERY 2025'!$Q$7</f>
        <v>8653.32</v>
      </c>
      <c r="L201" s="65">
        <f>+'COMUNAS - HOME DELIVERY 2025'!L201*'COMUNAS - HOME DELIVERY 2025'!$Q$7</f>
        <v>9886.56</v>
      </c>
      <c r="M201" s="66">
        <f>+'COMUNAS - HOME DELIVERY 2025'!M201*'COMUNAS - HOME DELIVERY 2025'!$Q$7</f>
        <v>564.50400000000002</v>
      </c>
      <c r="N201" s="67">
        <f>+'COMUNAS - HOME DELIVERY 2025'!N201*'COMUNAS - HOME DELIVERY 2025'!$Q$7</f>
        <v>455.11200000000002</v>
      </c>
      <c r="O201" s="60"/>
      <c r="P201" s="2"/>
      <c r="Q201" s="2"/>
      <c r="R201" s="2"/>
      <c r="S201" s="2"/>
      <c r="T201" s="2"/>
      <c r="U201" s="2"/>
      <c r="V201" s="2"/>
      <c r="W201" s="2"/>
      <c r="X201" s="2"/>
      <c r="Y201" s="38"/>
    </row>
    <row r="202" spans="2:25" ht="15.75" customHeight="1" x14ac:dyDescent="0.3">
      <c r="B202" s="2"/>
      <c r="C202" s="61" t="s">
        <v>424</v>
      </c>
      <c r="D202" s="62" t="s">
        <v>462</v>
      </c>
      <c r="E202" s="63" t="s">
        <v>463</v>
      </c>
      <c r="F202" s="64">
        <f>+'COMUNAS - HOME DELIVERY 2025'!F202*'COMUNAS - HOME DELIVERY 2025'!$Q$7</f>
        <v>6637.8240000000005</v>
      </c>
      <c r="G202" s="65">
        <f>+'COMUNAS - HOME DELIVERY 2025'!G202*'COMUNAS - HOME DELIVERY 2025'!$Q$7</f>
        <v>7088.2920000000004</v>
      </c>
      <c r="H202" s="65">
        <f>+'COMUNAS - HOME DELIVERY 2025'!H202*'COMUNAS - HOME DELIVERY 2025'!$Q$7</f>
        <v>7882.4160000000002</v>
      </c>
      <c r="I202" s="65">
        <f>+'COMUNAS - HOME DELIVERY 2025'!I202*'COMUNAS - HOME DELIVERY 2025'!$Q$7</f>
        <v>8989.2360000000008</v>
      </c>
      <c r="J202" s="65">
        <f>+'COMUNAS - HOME DELIVERY 2025'!J202*'COMUNAS - HOME DELIVERY 2025'!$Q$7</f>
        <v>10962.936</v>
      </c>
      <c r="K202" s="65">
        <f>+'COMUNAS - HOME DELIVERY 2025'!K202*'COMUNAS - HOME DELIVERY 2025'!$Q$7</f>
        <v>12979.98</v>
      </c>
      <c r="L202" s="65">
        <f>+'COMUNAS - HOME DELIVERY 2025'!L202*'COMUNAS - HOME DELIVERY 2025'!$Q$7</f>
        <v>14829.84</v>
      </c>
      <c r="M202" s="66">
        <f>+'COMUNAS - HOME DELIVERY 2025'!M202*'COMUNAS - HOME DELIVERY 2025'!$Q$7</f>
        <v>846.75599999999997</v>
      </c>
      <c r="N202" s="67">
        <f>+'COMUNAS - HOME DELIVERY 2025'!N202*'COMUNAS - HOME DELIVERY 2025'!$Q$7</f>
        <v>682.66800000000001</v>
      </c>
      <c r="O202" s="60"/>
      <c r="P202" s="2"/>
      <c r="Q202" s="2"/>
      <c r="R202" s="2"/>
      <c r="S202" s="2"/>
      <c r="T202" s="2"/>
      <c r="U202" s="2"/>
      <c r="V202" s="2"/>
      <c r="W202" s="2"/>
      <c r="X202" s="2"/>
      <c r="Y202" s="38"/>
    </row>
    <row r="203" spans="2:25" ht="15.75" customHeight="1" thickBot="1" x14ac:dyDescent="0.35">
      <c r="B203" s="2"/>
      <c r="C203" s="68" t="s">
        <v>424</v>
      </c>
      <c r="D203" s="69" t="s">
        <v>464</v>
      </c>
      <c r="E203" s="70" t="s">
        <v>465</v>
      </c>
      <c r="F203" s="71">
        <f>+'COMUNAS - HOME DELIVERY 2025'!F203*'COMUNAS - HOME DELIVERY 2025'!$Q$7</f>
        <v>6637.8240000000005</v>
      </c>
      <c r="G203" s="72">
        <f>+'COMUNAS - HOME DELIVERY 2025'!G203*'COMUNAS - HOME DELIVERY 2025'!$Q$7</f>
        <v>7088.2920000000004</v>
      </c>
      <c r="H203" s="72">
        <f>+'COMUNAS - HOME DELIVERY 2025'!H203*'COMUNAS - HOME DELIVERY 2025'!$Q$7</f>
        <v>7882.4160000000002</v>
      </c>
      <c r="I203" s="72">
        <f>+'COMUNAS - HOME DELIVERY 2025'!I203*'COMUNAS - HOME DELIVERY 2025'!$Q$7</f>
        <v>8989.2360000000008</v>
      </c>
      <c r="J203" s="72">
        <f>+'COMUNAS - HOME DELIVERY 2025'!J203*'COMUNAS - HOME DELIVERY 2025'!$Q$7</f>
        <v>10962.936</v>
      </c>
      <c r="K203" s="72">
        <f>+'COMUNAS - HOME DELIVERY 2025'!K203*'COMUNAS - HOME DELIVERY 2025'!$Q$7</f>
        <v>12979.98</v>
      </c>
      <c r="L203" s="72">
        <f>+'COMUNAS - HOME DELIVERY 2025'!L203*'COMUNAS - HOME DELIVERY 2025'!$Q$7</f>
        <v>14829.84</v>
      </c>
      <c r="M203" s="73">
        <f>+'COMUNAS - HOME DELIVERY 2025'!M203*'COMUNAS - HOME DELIVERY 2025'!$Q$7</f>
        <v>846.75599999999997</v>
      </c>
      <c r="N203" s="74">
        <f>+'COMUNAS - HOME DELIVERY 2025'!N203*'COMUNAS - HOME DELIVERY 2025'!$Q$7</f>
        <v>682.66800000000001</v>
      </c>
      <c r="O203" s="60"/>
      <c r="P203" s="2"/>
      <c r="Q203" s="2"/>
      <c r="R203" s="2"/>
      <c r="S203" s="2"/>
      <c r="T203" s="2"/>
      <c r="U203" s="2"/>
      <c r="V203" s="2"/>
      <c r="W203" s="2"/>
      <c r="X203" s="2"/>
      <c r="Y203" s="38"/>
    </row>
    <row r="204" spans="2:25" ht="15.75" customHeight="1" x14ac:dyDescent="0.3">
      <c r="B204" s="2"/>
      <c r="C204" s="53" t="s">
        <v>466</v>
      </c>
      <c r="D204" s="54" t="s">
        <v>467</v>
      </c>
      <c r="E204" s="55" t="s">
        <v>43</v>
      </c>
      <c r="F204" s="56">
        <f>+'COMUNAS - HOME DELIVERY 2025'!F204*'COMUNAS - HOME DELIVERY 2025'!$Q$7</f>
        <v>4425.2160000000003</v>
      </c>
      <c r="G204" s="57">
        <f>+'COMUNAS - HOME DELIVERY 2025'!G204*'COMUNAS - HOME DELIVERY 2025'!$Q$7</f>
        <v>4725.5280000000002</v>
      </c>
      <c r="H204" s="57">
        <f>+'COMUNAS - HOME DELIVERY 2025'!H204*'COMUNAS - HOME DELIVERY 2025'!$Q$7</f>
        <v>5254.9440000000004</v>
      </c>
      <c r="I204" s="57">
        <f>+'COMUNAS - HOME DELIVERY 2025'!I204*'COMUNAS - HOME DELIVERY 2025'!$Q$7</f>
        <v>5992.8240000000005</v>
      </c>
      <c r="J204" s="57">
        <f>+'COMUNAS - HOME DELIVERY 2025'!J204*'COMUNAS - HOME DELIVERY 2025'!$Q$7</f>
        <v>7308.6239999999998</v>
      </c>
      <c r="K204" s="57">
        <f>+'COMUNAS - HOME DELIVERY 2025'!K204*'COMUNAS - HOME DELIVERY 2025'!$Q$7</f>
        <v>8653.32</v>
      </c>
      <c r="L204" s="57">
        <f>+'COMUNAS - HOME DELIVERY 2025'!L204*'COMUNAS - HOME DELIVERY 2025'!$Q$7</f>
        <v>9886.56</v>
      </c>
      <c r="M204" s="58">
        <f>+'COMUNAS - HOME DELIVERY 2025'!M204*'COMUNAS - HOME DELIVERY 2025'!$Q$7</f>
        <v>564.50400000000002</v>
      </c>
      <c r="N204" s="59">
        <f>+'COMUNAS - HOME DELIVERY 2025'!N204*'COMUNAS - HOME DELIVERY 2025'!$Q$7</f>
        <v>455.11200000000002</v>
      </c>
      <c r="O204" s="60"/>
      <c r="P204" s="2"/>
      <c r="Q204" s="2"/>
      <c r="R204" s="2"/>
      <c r="S204" s="2"/>
      <c r="T204" s="2"/>
      <c r="U204" s="2"/>
      <c r="V204" s="2"/>
      <c r="W204" s="2"/>
      <c r="X204" s="2"/>
      <c r="Y204" s="38"/>
    </row>
    <row r="205" spans="2:25" ht="15.75" customHeight="1" x14ac:dyDescent="0.3">
      <c r="B205" s="2"/>
      <c r="C205" s="75" t="s">
        <v>466</v>
      </c>
      <c r="D205" s="76" t="s">
        <v>468</v>
      </c>
      <c r="E205" s="77" t="s">
        <v>469</v>
      </c>
      <c r="F205" s="64">
        <f>+'COMUNAS - HOME DELIVERY 2025'!F205*'COMUNAS - HOME DELIVERY 2025'!$Q$7</f>
        <v>6873.12</v>
      </c>
      <c r="G205" s="65">
        <f>+'COMUNAS - HOME DELIVERY 2025'!G205*'COMUNAS - HOME DELIVERY 2025'!$Q$7</f>
        <v>7342.1639999999998</v>
      </c>
      <c r="H205" s="65">
        <f>+'COMUNAS - HOME DELIVERY 2025'!H205*'COMUNAS - HOME DELIVERY 2025'!$Q$7</f>
        <v>8164.152</v>
      </c>
      <c r="I205" s="65">
        <f>+'COMUNAS - HOME DELIVERY 2025'!I205*'COMUNAS - HOME DELIVERY 2025'!$Q$7</f>
        <v>9308.1239999999998</v>
      </c>
      <c r="J205" s="65">
        <f>+'COMUNAS - HOME DELIVERY 2025'!J205*'COMUNAS - HOME DELIVERY 2025'!$Q$7</f>
        <v>11329.812</v>
      </c>
      <c r="K205" s="65">
        <f>+'COMUNAS - HOME DELIVERY 2025'!K205*'COMUNAS - HOME DELIVERY 2025'!$Q$7</f>
        <v>13384.008</v>
      </c>
      <c r="L205" s="65">
        <f>+'COMUNAS - HOME DELIVERY 2025'!L205*'COMUNAS - HOME DELIVERY 2025'!$Q$7</f>
        <v>15243.156000000001</v>
      </c>
      <c r="M205" s="66">
        <f>+'COMUNAS - HOME DELIVERY 2025'!M205*'COMUNAS - HOME DELIVERY 2025'!$Q$7</f>
        <v>851.4</v>
      </c>
      <c r="N205" s="67">
        <f>+'COMUNAS - HOME DELIVERY 2025'!N205*'COMUNAS - HOME DELIVERY 2025'!$Q$7</f>
        <v>693.50400000000002</v>
      </c>
      <c r="O205" s="60"/>
      <c r="P205" s="2"/>
      <c r="Q205" s="2"/>
      <c r="R205" s="2"/>
      <c r="S205" s="2"/>
      <c r="T205" s="2"/>
      <c r="U205" s="2"/>
      <c r="V205" s="2"/>
      <c r="W205" s="2"/>
      <c r="X205" s="2"/>
      <c r="Y205" s="38"/>
    </row>
    <row r="206" spans="2:25" ht="15.75" customHeight="1" x14ac:dyDescent="0.3">
      <c r="B206" s="2"/>
      <c r="C206" s="61" t="s">
        <v>466</v>
      </c>
      <c r="D206" s="62" t="s">
        <v>470</v>
      </c>
      <c r="E206" s="63" t="s">
        <v>471</v>
      </c>
      <c r="F206" s="64">
        <f>+'COMUNAS - HOME DELIVERY 2025'!F206*'COMUNAS - HOME DELIVERY 2025'!$Q$7</f>
        <v>4582.08</v>
      </c>
      <c r="G206" s="65">
        <f>+'COMUNAS - HOME DELIVERY 2025'!G206*'COMUNAS - HOME DELIVERY 2025'!$Q$7</f>
        <v>4894.7759999999998</v>
      </c>
      <c r="H206" s="65">
        <f>+'COMUNAS - HOME DELIVERY 2025'!H206*'COMUNAS - HOME DELIVERY 2025'!$Q$7</f>
        <v>5442.768</v>
      </c>
      <c r="I206" s="65">
        <f>+'COMUNAS - HOME DELIVERY 2025'!I206*'COMUNAS - HOME DELIVERY 2025'!$Q$7</f>
        <v>6205.4160000000002</v>
      </c>
      <c r="J206" s="65">
        <f>+'COMUNAS - HOME DELIVERY 2025'!J206*'COMUNAS - HOME DELIVERY 2025'!$Q$7</f>
        <v>7553.2080000000005</v>
      </c>
      <c r="K206" s="65">
        <f>+'COMUNAS - HOME DELIVERY 2025'!K206*'COMUNAS - HOME DELIVERY 2025'!$Q$7</f>
        <v>8922.6720000000005</v>
      </c>
      <c r="L206" s="65">
        <f>+'COMUNAS - HOME DELIVERY 2025'!L206*'COMUNAS - HOME DELIVERY 2025'!$Q$7</f>
        <v>10162.104000000001</v>
      </c>
      <c r="M206" s="66">
        <f>+'COMUNAS - HOME DELIVERY 2025'!M206*'COMUNAS - HOME DELIVERY 2025'!$Q$7</f>
        <v>567.6</v>
      </c>
      <c r="N206" s="67">
        <f>+'COMUNAS - HOME DELIVERY 2025'!N206*'COMUNAS - HOME DELIVERY 2025'!$Q$7</f>
        <v>462.33600000000001</v>
      </c>
      <c r="O206" s="60"/>
      <c r="P206" s="2"/>
      <c r="Q206" s="2"/>
      <c r="R206" s="2"/>
      <c r="S206" s="2"/>
      <c r="T206" s="2"/>
      <c r="U206" s="2"/>
      <c r="V206" s="2"/>
      <c r="W206" s="2"/>
      <c r="X206" s="2"/>
      <c r="Y206" s="38"/>
    </row>
    <row r="207" spans="2:25" ht="15.75" customHeight="1" x14ac:dyDescent="0.3">
      <c r="B207" s="2"/>
      <c r="C207" s="61" t="s">
        <v>466</v>
      </c>
      <c r="D207" s="62" t="s">
        <v>472</v>
      </c>
      <c r="E207" s="63" t="s">
        <v>473</v>
      </c>
      <c r="F207" s="64">
        <f>+'COMUNAS - HOME DELIVERY 2025'!F207*'COMUNAS - HOME DELIVERY 2025'!$Q$7</f>
        <v>4425.2160000000003</v>
      </c>
      <c r="G207" s="65">
        <f>+'COMUNAS - HOME DELIVERY 2025'!G207*'COMUNAS - HOME DELIVERY 2025'!$Q$7</f>
        <v>4725.5280000000002</v>
      </c>
      <c r="H207" s="65">
        <f>+'COMUNAS - HOME DELIVERY 2025'!H207*'COMUNAS - HOME DELIVERY 2025'!$Q$7</f>
        <v>5254.9440000000004</v>
      </c>
      <c r="I207" s="65">
        <f>+'COMUNAS - HOME DELIVERY 2025'!I207*'COMUNAS - HOME DELIVERY 2025'!$Q$7</f>
        <v>5992.8240000000005</v>
      </c>
      <c r="J207" s="65">
        <f>+'COMUNAS - HOME DELIVERY 2025'!J207*'COMUNAS - HOME DELIVERY 2025'!$Q$7</f>
        <v>7308.6239999999998</v>
      </c>
      <c r="K207" s="65">
        <f>+'COMUNAS - HOME DELIVERY 2025'!K207*'COMUNAS - HOME DELIVERY 2025'!$Q$7</f>
        <v>8653.32</v>
      </c>
      <c r="L207" s="65">
        <f>+'COMUNAS - HOME DELIVERY 2025'!L207*'COMUNAS - HOME DELIVERY 2025'!$Q$7</f>
        <v>9886.56</v>
      </c>
      <c r="M207" s="66">
        <f>+'COMUNAS - HOME DELIVERY 2025'!M207*'COMUNAS - HOME DELIVERY 2025'!$Q$7</f>
        <v>564.50400000000002</v>
      </c>
      <c r="N207" s="67">
        <f>+'COMUNAS - HOME DELIVERY 2025'!N207*'COMUNAS - HOME DELIVERY 2025'!$Q$7</f>
        <v>455.11200000000002</v>
      </c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38"/>
    </row>
    <row r="208" spans="2:25" ht="15.75" customHeight="1" x14ac:dyDescent="0.3">
      <c r="B208" s="2"/>
      <c r="C208" s="61" t="s">
        <v>466</v>
      </c>
      <c r="D208" s="62" t="s">
        <v>474</v>
      </c>
      <c r="E208" s="63" t="s">
        <v>475</v>
      </c>
      <c r="F208" s="64">
        <f>+'COMUNAS - HOME DELIVERY 2025'!F208*'COMUNAS - HOME DELIVERY 2025'!$Q$7</f>
        <v>4582.08</v>
      </c>
      <c r="G208" s="65">
        <f>+'COMUNAS - HOME DELIVERY 2025'!G208*'COMUNAS - HOME DELIVERY 2025'!$Q$7</f>
        <v>4894.7759999999998</v>
      </c>
      <c r="H208" s="65">
        <f>+'COMUNAS - HOME DELIVERY 2025'!H208*'COMUNAS - HOME DELIVERY 2025'!$Q$7</f>
        <v>5442.768</v>
      </c>
      <c r="I208" s="65">
        <f>+'COMUNAS - HOME DELIVERY 2025'!I208*'COMUNAS - HOME DELIVERY 2025'!$Q$7</f>
        <v>6205.4160000000002</v>
      </c>
      <c r="J208" s="65">
        <f>+'COMUNAS - HOME DELIVERY 2025'!J208*'COMUNAS - HOME DELIVERY 2025'!$Q$7</f>
        <v>7553.2080000000005</v>
      </c>
      <c r="K208" s="65">
        <f>+'COMUNAS - HOME DELIVERY 2025'!K208*'COMUNAS - HOME DELIVERY 2025'!$Q$7</f>
        <v>8922.6720000000005</v>
      </c>
      <c r="L208" s="65">
        <f>+'COMUNAS - HOME DELIVERY 2025'!L208*'COMUNAS - HOME DELIVERY 2025'!$Q$7</f>
        <v>10162.104000000001</v>
      </c>
      <c r="M208" s="66">
        <f>+'COMUNAS - HOME DELIVERY 2025'!M208*'COMUNAS - HOME DELIVERY 2025'!$Q$7</f>
        <v>567.6</v>
      </c>
      <c r="N208" s="67">
        <f>+'COMUNAS - HOME DELIVERY 2025'!N208*'COMUNAS - HOME DELIVERY 2025'!$Q$7</f>
        <v>462.33600000000001</v>
      </c>
      <c r="O208" s="60"/>
      <c r="P208" s="2"/>
      <c r="Q208" s="2"/>
      <c r="R208" s="2"/>
      <c r="S208" s="2"/>
      <c r="T208" s="2"/>
      <c r="U208" s="2"/>
      <c r="V208" s="2"/>
      <c r="W208" s="2"/>
      <c r="X208" s="2"/>
      <c r="Y208" s="38"/>
    </row>
    <row r="209" spans="2:25" ht="15.75" customHeight="1" x14ac:dyDescent="0.3">
      <c r="B209" s="2"/>
      <c r="C209" s="61" t="s">
        <v>466</v>
      </c>
      <c r="D209" s="62" t="s">
        <v>476</v>
      </c>
      <c r="E209" s="63" t="s">
        <v>477</v>
      </c>
      <c r="F209" s="64">
        <f>+'COMUNAS - HOME DELIVERY 2025'!F209*'COMUNAS - HOME DELIVERY 2025'!$Q$7</f>
        <v>6637.8240000000005</v>
      </c>
      <c r="G209" s="65">
        <f>+'COMUNAS - HOME DELIVERY 2025'!G209*'COMUNAS - HOME DELIVERY 2025'!$Q$7</f>
        <v>7088.2920000000004</v>
      </c>
      <c r="H209" s="65">
        <f>+'COMUNAS - HOME DELIVERY 2025'!H209*'COMUNAS - HOME DELIVERY 2025'!$Q$7</f>
        <v>7882.4160000000002</v>
      </c>
      <c r="I209" s="65">
        <f>+'COMUNAS - HOME DELIVERY 2025'!I209*'COMUNAS - HOME DELIVERY 2025'!$Q$7</f>
        <v>8989.2360000000008</v>
      </c>
      <c r="J209" s="65">
        <f>+'COMUNAS - HOME DELIVERY 2025'!J209*'COMUNAS - HOME DELIVERY 2025'!$Q$7</f>
        <v>10962.936</v>
      </c>
      <c r="K209" s="65">
        <f>+'COMUNAS - HOME DELIVERY 2025'!K209*'COMUNAS - HOME DELIVERY 2025'!$Q$7</f>
        <v>12979.98</v>
      </c>
      <c r="L209" s="65">
        <f>+'COMUNAS - HOME DELIVERY 2025'!L209*'COMUNAS - HOME DELIVERY 2025'!$Q$7</f>
        <v>14829.84</v>
      </c>
      <c r="M209" s="66">
        <f>+'COMUNAS - HOME DELIVERY 2025'!M209*'COMUNAS - HOME DELIVERY 2025'!$Q$7</f>
        <v>846.75599999999997</v>
      </c>
      <c r="N209" s="67">
        <f>+'COMUNAS - HOME DELIVERY 2025'!N209*'COMUNAS - HOME DELIVERY 2025'!$Q$7</f>
        <v>682.66800000000001</v>
      </c>
      <c r="O209" s="60"/>
      <c r="P209" s="2"/>
      <c r="Q209" s="2"/>
      <c r="R209" s="2"/>
      <c r="S209" s="2"/>
      <c r="T209" s="2"/>
      <c r="U209" s="2"/>
      <c r="V209" s="2"/>
      <c r="W209" s="2"/>
      <c r="X209" s="2"/>
      <c r="Y209" s="38"/>
    </row>
    <row r="210" spans="2:25" ht="15.75" customHeight="1" x14ac:dyDescent="0.3">
      <c r="B210" s="2"/>
      <c r="C210" s="61" t="s">
        <v>466</v>
      </c>
      <c r="D210" s="62" t="s">
        <v>478</v>
      </c>
      <c r="E210" s="63" t="s">
        <v>479</v>
      </c>
      <c r="F210" s="64">
        <f>+'COMUNAS - HOME DELIVERY 2025'!F210*'COMUNAS - HOME DELIVERY 2025'!$Q$7</f>
        <v>4425.2160000000003</v>
      </c>
      <c r="G210" s="65">
        <f>+'COMUNAS - HOME DELIVERY 2025'!G210*'COMUNAS - HOME DELIVERY 2025'!$Q$7</f>
        <v>4725.5280000000002</v>
      </c>
      <c r="H210" s="65">
        <f>+'COMUNAS - HOME DELIVERY 2025'!H210*'COMUNAS - HOME DELIVERY 2025'!$Q$7</f>
        <v>5254.9440000000004</v>
      </c>
      <c r="I210" s="65">
        <f>+'COMUNAS - HOME DELIVERY 2025'!I210*'COMUNAS - HOME DELIVERY 2025'!$Q$7</f>
        <v>5992.8240000000005</v>
      </c>
      <c r="J210" s="65">
        <f>+'COMUNAS - HOME DELIVERY 2025'!J210*'COMUNAS - HOME DELIVERY 2025'!$Q$7</f>
        <v>7308.6239999999998</v>
      </c>
      <c r="K210" s="65">
        <f>+'COMUNAS - HOME DELIVERY 2025'!K210*'COMUNAS - HOME DELIVERY 2025'!$Q$7</f>
        <v>8653.32</v>
      </c>
      <c r="L210" s="65">
        <f>+'COMUNAS - HOME DELIVERY 2025'!L210*'COMUNAS - HOME DELIVERY 2025'!$Q$7</f>
        <v>9886.56</v>
      </c>
      <c r="M210" s="66">
        <f>+'COMUNAS - HOME DELIVERY 2025'!M210*'COMUNAS - HOME DELIVERY 2025'!$Q$7</f>
        <v>564.50400000000002</v>
      </c>
      <c r="N210" s="67">
        <f>+'COMUNAS - HOME DELIVERY 2025'!N210*'COMUNAS - HOME DELIVERY 2025'!$Q$7</f>
        <v>455.11200000000002</v>
      </c>
      <c r="O210" s="60"/>
      <c r="P210" s="2"/>
      <c r="Q210" s="2"/>
      <c r="R210" s="2"/>
      <c r="S210" s="2"/>
      <c r="T210" s="2"/>
      <c r="U210" s="2"/>
      <c r="V210" s="2"/>
      <c r="W210" s="2"/>
      <c r="X210" s="2"/>
      <c r="Y210" s="38"/>
    </row>
    <row r="211" spans="2:25" ht="15.75" customHeight="1" x14ac:dyDescent="0.3">
      <c r="B211" s="2"/>
      <c r="C211" s="61" t="s">
        <v>466</v>
      </c>
      <c r="D211" s="62" t="s">
        <v>480</v>
      </c>
      <c r="E211" s="63" t="s">
        <v>481</v>
      </c>
      <c r="F211" s="64">
        <f>+'COMUNAS - HOME DELIVERY 2025'!F211*'COMUNAS - HOME DELIVERY 2025'!$Q$7</f>
        <v>6637.8240000000005</v>
      </c>
      <c r="G211" s="65">
        <f>+'COMUNAS - HOME DELIVERY 2025'!G211*'COMUNAS - HOME DELIVERY 2025'!$Q$7</f>
        <v>7088.2920000000004</v>
      </c>
      <c r="H211" s="65">
        <f>+'COMUNAS - HOME DELIVERY 2025'!H211*'COMUNAS - HOME DELIVERY 2025'!$Q$7</f>
        <v>7882.4160000000002</v>
      </c>
      <c r="I211" s="65">
        <f>+'COMUNAS - HOME DELIVERY 2025'!I211*'COMUNAS - HOME DELIVERY 2025'!$Q$7</f>
        <v>8989.2360000000008</v>
      </c>
      <c r="J211" s="65">
        <f>+'COMUNAS - HOME DELIVERY 2025'!J211*'COMUNAS - HOME DELIVERY 2025'!$Q$7</f>
        <v>10962.936</v>
      </c>
      <c r="K211" s="65">
        <f>+'COMUNAS - HOME DELIVERY 2025'!K211*'COMUNAS - HOME DELIVERY 2025'!$Q$7</f>
        <v>12979.98</v>
      </c>
      <c r="L211" s="65">
        <f>+'COMUNAS - HOME DELIVERY 2025'!L211*'COMUNAS - HOME DELIVERY 2025'!$Q$7</f>
        <v>14829.84</v>
      </c>
      <c r="M211" s="66">
        <f>+'COMUNAS - HOME DELIVERY 2025'!M211*'COMUNAS - HOME DELIVERY 2025'!$Q$7</f>
        <v>846.75599999999997</v>
      </c>
      <c r="N211" s="67">
        <f>+'COMUNAS - HOME DELIVERY 2025'!N211*'COMUNAS - HOME DELIVERY 2025'!$Q$7</f>
        <v>682.66800000000001</v>
      </c>
      <c r="O211" s="60"/>
      <c r="P211" s="2"/>
      <c r="Q211" s="2"/>
      <c r="R211" s="2"/>
      <c r="S211" s="2"/>
      <c r="T211" s="2"/>
      <c r="U211" s="2"/>
      <c r="V211" s="2"/>
      <c r="W211" s="2"/>
      <c r="X211" s="2"/>
      <c r="Y211" s="38"/>
    </row>
    <row r="212" spans="2:25" ht="15.75" customHeight="1" x14ac:dyDescent="0.3">
      <c r="B212" s="2"/>
      <c r="C212" s="61" t="s">
        <v>466</v>
      </c>
      <c r="D212" s="62" t="s">
        <v>482</v>
      </c>
      <c r="E212" s="63" t="s">
        <v>483</v>
      </c>
      <c r="F212" s="64">
        <f>+'COMUNAS - HOME DELIVERY 2025'!F212*'COMUNAS - HOME DELIVERY 2025'!$Q$7</f>
        <v>4425.2160000000003</v>
      </c>
      <c r="G212" s="65">
        <f>+'COMUNAS - HOME DELIVERY 2025'!G212*'COMUNAS - HOME DELIVERY 2025'!$Q$7</f>
        <v>4725.5280000000002</v>
      </c>
      <c r="H212" s="65">
        <f>+'COMUNAS - HOME DELIVERY 2025'!H212*'COMUNAS - HOME DELIVERY 2025'!$Q$7</f>
        <v>5254.9440000000004</v>
      </c>
      <c r="I212" s="65">
        <f>+'COMUNAS - HOME DELIVERY 2025'!I212*'COMUNAS - HOME DELIVERY 2025'!$Q$7</f>
        <v>5992.8240000000005</v>
      </c>
      <c r="J212" s="65">
        <f>+'COMUNAS - HOME DELIVERY 2025'!J212*'COMUNAS - HOME DELIVERY 2025'!$Q$7</f>
        <v>7308.6239999999998</v>
      </c>
      <c r="K212" s="65">
        <f>+'COMUNAS - HOME DELIVERY 2025'!K212*'COMUNAS - HOME DELIVERY 2025'!$Q$7</f>
        <v>8653.32</v>
      </c>
      <c r="L212" s="65">
        <f>+'COMUNAS - HOME DELIVERY 2025'!L212*'COMUNAS - HOME DELIVERY 2025'!$Q$7</f>
        <v>9886.56</v>
      </c>
      <c r="M212" s="66">
        <f>+'COMUNAS - HOME DELIVERY 2025'!M212*'COMUNAS - HOME DELIVERY 2025'!$Q$7</f>
        <v>564.50400000000002</v>
      </c>
      <c r="N212" s="67">
        <f>+'COMUNAS - HOME DELIVERY 2025'!N212*'COMUNAS - HOME DELIVERY 2025'!$Q$7</f>
        <v>455.11200000000002</v>
      </c>
      <c r="O212" s="60"/>
      <c r="P212" s="2"/>
      <c r="Q212" s="2"/>
      <c r="R212" s="2"/>
      <c r="S212" s="2"/>
      <c r="T212" s="2"/>
      <c r="U212" s="2"/>
      <c r="V212" s="2"/>
      <c r="W212" s="2"/>
      <c r="X212" s="2"/>
      <c r="Y212" s="38"/>
    </row>
    <row r="213" spans="2:25" ht="15.75" customHeight="1" x14ac:dyDescent="0.3">
      <c r="B213" s="2"/>
      <c r="C213" s="61" t="s">
        <v>466</v>
      </c>
      <c r="D213" s="62" t="s">
        <v>484</v>
      </c>
      <c r="E213" s="63" t="s">
        <v>485</v>
      </c>
      <c r="F213" s="64">
        <f>+'COMUNAS - HOME DELIVERY 2025'!F213*'COMUNAS - HOME DELIVERY 2025'!$Q$7</f>
        <v>6637.8240000000005</v>
      </c>
      <c r="G213" s="65">
        <f>+'COMUNAS - HOME DELIVERY 2025'!G213*'COMUNAS - HOME DELIVERY 2025'!$Q$7</f>
        <v>7088.2920000000004</v>
      </c>
      <c r="H213" s="65">
        <f>+'COMUNAS - HOME DELIVERY 2025'!H213*'COMUNAS - HOME DELIVERY 2025'!$Q$7</f>
        <v>7882.4160000000002</v>
      </c>
      <c r="I213" s="65">
        <f>+'COMUNAS - HOME DELIVERY 2025'!I213*'COMUNAS - HOME DELIVERY 2025'!$Q$7</f>
        <v>8989.2360000000008</v>
      </c>
      <c r="J213" s="65">
        <f>+'COMUNAS - HOME DELIVERY 2025'!J213*'COMUNAS - HOME DELIVERY 2025'!$Q$7</f>
        <v>10962.936</v>
      </c>
      <c r="K213" s="65">
        <f>+'COMUNAS - HOME DELIVERY 2025'!K213*'COMUNAS - HOME DELIVERY 2025'!$Q$7</f>
        <v>12979.98</v>
      </c>
      <c r="L213" s="65">
        <f>+'COMUNAS - HOME DELIVERY 2025'!L213*'COMUNAS - HOME DELIVERY 2025'!$Q$7</f>
        <v>14829.84</v>
      </c>
      <c r="M213" s="66">
        <f>+'COMUNAS - HOME DELIVERY 2025'!M213*'COMUNAS - HOME DELIVERY 2025'!$Q$7</f>
        <v>846.75599999999997</v>
      </c>
      <c r="N213" s="67">
        <f>+'COMUNAS - HOME DELIVERY 2025'!N213*'COMUNAS - HOME DELIVERY 2025'!$Q$7</f>
        <v>682.66800000000001</v>
      </c>
      <c r="O213" s="60"/>
      <c r="P213" s="2"/>
      <c r="Q213" s="2"/>
      <c r="R213" s="2"/>
      <c r="S213" s="2"/>
      <c r="T213" s="2"/>
      <c r="U213" s="2"/>
      <c r="V213" s="2"/>
      <c r="W213" s="2"/>
      <c r="X213" s="2"/>
      <c r="Y213" s="38"/>
    </row>
    <row r="214" spans="2:25" ht="15.75" customHeight="1" x14ac:dyDescent="0.3">
      <c r="B214" s="2"/>
      <c r="C214" s="61" t="s">
        <v>466</v>
      </c>
      <c r="D214" s="62" t="s">
        <v>486</v>
      </c>
      <c r="E214" s="63" t="s">
        <v>487</v>
      </c>
      <c r="F214" s="64">
        <f>+'COMUNAS - HOME DELIVERY 2025'!F214*'COMUNAS - HOME DELIVERY 2025'!$Q$7</f>
        <v>4425.2160000000003</v>
      </c>
      <c r="G214" s="65">
        <f>+'COMUNAS - HOME DELIVERY 2025'!G214*'COMUNAS - HOME DELIVERY 2025'!$Q$7</f>
        <v>4725.5280000000002</v>
      </c>
      <c r="H214" s="65">
        <f>+'COMUNAS - HOME DELIVERY 2025'!H214*'COMUNAS - HOME DELIVERY 2025'!$Q$7</f>
        <v>5254.9440000000004</v>
      </c>
      <c r="I214" s="65">
        <f>+'COMUNAS - HOME DELIVERY 2025'!I214*'COMUNAS - HOME DELIVERY 2025'!$Q$7</f>
        <v>5992.8240000000005</v>
      </c>
      <c r="J214" s="65">
        <f>+'COMUNAS - HOME DELIVERY 2025'!J214*'COMUNAS - HOME DELIVERY 2025'!$Q$7</f>
        <v>7308.6239999999998</v>
      </c>
      <c r="K214" s="65">
        <f>+'COMUNAS - HOME DELIVERY 2025'!K214*'COMUNAS - HOME DELIVERY 2025'!$Q$7</f>
        <v>8653.32</v>
      </c>
      <c r="L214" s="65">
        <f>+'COMUNAS - HOME DELIVERY 2025'!L214*'COMUNAS - HOME DELIVERY 2025'!$Q$7</f>
        <v>9886.56</v>
      </c>
      <c r="M214" s="66">
        <f>+'COMUNAS - HOME DELIVERY 2025'!M214*'COMUNAS - HOME DELIVERY 2025'!$Q$7</f>
        <v>564.50400000000002</v>
      </c>
      <c r="N214" s="67">
        <f>+'COMUNAS - HOME DELIVERY 2025'!N214*'COMUNAS - HOME DELIVERY 2025'!$Q$7</f>
        <v>455.11200000000002</v>
      </c>
      <c r="O214" s="60"/>
      <c r="P214" s="2"/>
      <c r="Q214" s="2"/>
      <c r="R214" s="2"/>
      <c r="S214" s="2"/>
      <c r="T214" s="2"/>
      <c r="U214" s="2"/>
      <c r="V214" s="2"/>
      <c r="W214" s="2"/>
      <c r="X214" s="2"/>
      <c r="Y214" s="38"/>
    </row>
    <row r="215" spans="2:25" ht="15.75" customHeight="1" x14ac:dyDescent="0.3">
      <c r="B215" s="2"/>
      <c r="C215" s="61" t="s">
        <v>466</v>
      </c>
      <c r="D215" s="62" t="s">
        <v>488</v>
      </c>
      <c r="E215" s="63" t="s">
        <v>489</v>
      </c>
      <c r="F215" s="64">
        <f>+'COMUNAS - HOME DELIVERY 2025'!F215*'COMUNAS - HOME DELIVERY 2025'!$Q$7</f>
        <v>4425.2160000000003</v>
      </c>
      <c r="G215" s="65">
        <f>+'COMUNAS - HOME DELIVERY 2025'!G215*'COMUNAS - HOME DELIVERY 2025'!$Q$7</f>
        <v>4725.5280000000002</v>
      </c>
      <c r="H215" s="65">
        <f>+'COMUNAS - HOME DELIVERY 2025'!H215*'COMUNAS - HOME DELIVERY 2025'!$Q$7</f>
        <v>5254.9440000000004</v>
      </c>
      <c r="I215" s="65">
        <f>+'COMUNAS - HOME DELIVERY 2025'!I215*'COMUNAS - HOME DELIVERY 2025'!$Q$7</f>
        <v>5992.8240000000005</v>
      </c>
      <c r="J215" s="65">
        <f>+'COMUNAS - HOME DELIVERY 2025'!J215*'COMUNAS - HOME DELIVERY 2025'!$Q$7</f>
        <v>7308.6239999999998</v>
      </c>
      <c r="K215" s="65">
        <f>+'COMUNAS - HOME DELIVERY 2025'!K215*'COMUNAS - HOME DELIVERY 2025'!$Q$7</f>
        <v>8653.32</v>
      </c>
      <c r="L215" s="65">
        <f>+'COMUNAS - HOME DELIVERY 2025'!L215*'COMUNAS - HOME DELIVERY 2025'!$Q$7</f>
        <v>9886.56</v>
      </c>
      <c r="M215" s="66">
        <f>+'COMUNAS - HOME DELIVERY 2025'!M215*'COMUNAS - HOME DELIVERY 2025'!$Q$7</f>
        <v>564.50400000000002</v>
      </c>
      <c r="N215" s="67">
        <f>+'COMUNAS - HOME DELIVERY 2025'!N215*'COMUNAS - HOME DELIVERY 2025'!$Q$7</f>
        <v>455.11200000000002</v>
      </c>
      <c r="O215" s="60"/>
      <c r="P215" s="2"/>
      <c r="Q215" s="2"/>
      <c r="R215" s="2"/>
      <c r="S215" s="2"/>
      <c r="T215" s="2"/>
      <c r="U215" s="2"/>
      <c r="V215" s="2"/>
      <c r="W215" s="2"/>
      <c r="X215" s="2"/>
      <c r="Y215" s="38"/>
    </row>
    <row r="216" spans="2:25" ht="15.75" customHeight="1" x14ac:dyDescent="0.3">
      <c r="B216" s="2"/>
      <c r="C216" s="61" t="s">
        <v>466</v>
      </c>
      <c r="D216" s="62" t="s">
        <v>490</v>
      </c>
      <c r="E216" s="63" t="s">
        <v>491</v>
      </c>
      <c r="F216" s="64">
        <f>+'COMUNAS - HOME DELIVERY 2025'!F216*'COMUNAS - HOME DELIVERY 2025'!$Q$7</f>
        <v>4425.2160000000003</v>
      </c>
      <c r="G216" s="65">
        <f>+'COMUNAS - HOME DELIVERY 2025'!G216*'COMUNAS - HOME DELIVERY 2025'!$Q$7</f>
        <v>4725.5280000000002</v>
      </c>
      <c r="H216" s="65">
        <f>+'COMUNAS - HOME DELIVERY 2025'!H216*'COMUNAS - HOME DELIVERY 2025'!$Q$7</f>
        <v>5254.9440000000004</v>
      </c>
      <c r="I216" s="65">
        <f>+'COMUNAS - HOME DELIVERY 2025'!I216*'COMUNAS - HOME DELIVERY 2025'!$Q$7</f>
        <v>5992.8240000000005</v>
      </c>
      <c r="J216" s="65">
        <f>+'COMUNAS - HOME DELIVERY 2025'!J216*'COMUNAS - HOME DELIVERY 2025'!$Q$7</f>
        <v>7308.6239999999998</v>
      </c>
      <c r="K216" s="65">
        <f>+'COMUNAS - HOME DELIVERY 2025'!K216*'COMUNAS - HOME DELIVERY 2025'!$Q$7</f>
        <v>8653.32</v>
      </c>
      <c r="L216" s="65">
        <f>+'COMUNAS - HOME DELIVERY 2025'!L216*'COMUNAS - HOME DELIVERY 2025'!$Q$7</f>
        <v>9886.56</v>
      </c>
      <c r="M216" s="66">
        <f>+'COMUNAS - HOME DELIVERY 2025'!M216*'COMUNAS - HOME DELIVERY 2025'!$Q$7</f>
        <v>564.50400000000002</v>
      </c>
      <c r="N216" s="67">
        <f>+'COMUNAS - HOME DELIVERY 2025'!N216*'COMUNAS - HOME DELIVERY 2025'!$Q$7</f>
        <v>455.11200000000002</v>
      </c>
      <c r="O216" s="60"/>
      <c r="P216" s="2"/>
      <c r="Q216" s="2"/>
      <c r="R216" s="2"/>
      <c r="S216" s="2"/>
      <c r="T216" s="2"/>
      <c r="U216" s="2"/>
      <c r="V216" s="2"/>
      <c r="W216" s="2"/>
      <c r="X216" s="2"/>
      <c r="Y216" s="38"/>
    </row>
    <row r="217" spans="2:25" ht="15.75" customHeight="1" x14ac:dyDescent="0.3">
      <c r="B217" s="2"/>
      <c r="C217" s="61" t="s">
        <v>466</v>
      </c>
      <c r="D217" s="62" t="s">
        <v>492</v>
      </c>
      <c r="E217" s="63" t="s">
        <v>493</v>
      </c>
      <c r="F217" s="64">
        <f>+'COMUNAS - HOME DELIVERY 2025'!F217*'COMUNAS - HOME DELIVERY 2025'!$Q$7</f>
        <v>4582.08</v>
      </c>
      <c r="G217" s="65">
        <f>+'COMUNAS - HOME DELIVERY 2025'!G217*'COMUNAS - HOME DELIVERY 2025'!$Q$7</f>
        <v>4894.7759999999998</v>
      </c>
      <c r="H217" s="65">
        <f>+'COMUNAS - HOME DELIVERY 2025'!H217*'COMUNAS - HOME DELIVERY 2025'!$Q$7</f>
        <v>5442.768</v>
      </c>
      <c r="I217" s="65">
        <f>+'COMUNAS - HOME DELIVERY 2025'!I217*'COMUNAS - HOME DELIVERY 2025'!$Q$7</f>
        <v>6205.4160000000002</v>
      </c>
      <c r="J217" s="65">
        <f>+'COMUNAS - HOME DELIVERY 2025'!J217*'COMUNAS - HOME DELIVERY 2025'!$Q$7</f>
        <v>7553.2080000000005</v>
      </c>
      <c r="K217" s="65">
        <f>+'COMUNAS - HOME DELIVERY 2025'!K217*'COMUNAS - HOME DELIVERY 2025'!$Q$7</f>
        <v>8922.6720000000005</v>
      </c>
      <c r="L217" s="65">
        <f>+'COMUNAS - HOME DELIVERY 2025'!L217*'COMUNAS - HOME DELIVERY 2025'!$Q$7</f>
        <v>10162.104000000001</v>
      </c>
      <c r="M217" s="66">
        <f>+'COMUNAS - HOME DELIVERY 2025'!M217*'COMUNAS - HOME DELIVERY 2025'!$Q$7</f>
        <v>567.6</v>
      </c>
      <c r="N217" s="67">
        <f>+'COMUNAS - HOME DELIVERY 2025'!N217*'COMUNAS - HOME DELIVERY 2025'!$Q$7</f>
        <v>462.33600000000001</v>
      </c>
      <c r="O217" s="60"/>
      <c r="P217" s="2"/>
      <c r="Q217" s="2"/>
      <c r="R217" s="2"/>
      <c r="S217" s="2"/>
      <c r="T217" s="2"/>
      <c r="U217" s="2"/>
      <c r="V217" s="2"/>
      <c r="W217" s="2"/>
      <c r="X217" s="2"/>
      <c r="Y217" s="38"/>
    </row>
    <row r="218" spans="2:25" ht="15.75" customHeight="1" x14ac:dyDescent="0.3">
      <c r="B218" s="2"/>
      <c r="C218" s="61" t="s">
        <v>466</v>
      </c>
      <c r="D218" s="62" t="s">
        <v>494</v>
      </c>
      <c r="E218" s="63" t="s">
        <v>495</v>
      </c>
      <c r="F218" s="64">
        <f>+'COMUNAS - HOME DELIVERY 2025'!F218*'COMUNAS - HOME DELIVERY 2025'!$Q$7</f>
        <v>6637.8240000000005</v>
      </c>
      <c r="G218" s="65">
        <f>+'COMUNAS - HOME DELIVERY 2025'!G218*'COMUNAS - HOME DELIVERY 2025'!$Q$7</f>
        <v>7088.2920000000004</v>
      </c>
      <c r="H218" s="65">
        <f>+'COMUNAS - HOME DELIVERY 2025'!H218*'COMUNAS - HOME DELIVERY 2025'!$Q$7</f>
        <v>7882.4160000000002</v>
      </c>
      <c r="I218" s="65">
        <f>+'COMUNAS - HOME DELIVERY 2025'!I218*'COMUNAS - HOME DELIVERY 2025'!$Q$7</f>
        <v>8989.2360000000008</v>
      </c>
      <c r="J218" s="65">
        <f>+'COMUNAS - HOME DELIVERY 2025'!J218*'COMUNAS - HOME DELIVERY 2025'!$Q$7</f>
        <v>10962.936</v>
      </c>
      <c r="K218" s="65">
        <f>+'COMUNAS - HOME DELIVERY 2025'!K218*'COMUNAS - HOME DELIVERY 2025'!$Q$7</f>
        <v>12979.98</v>
      </c>
      <c r="L218" s="65">
        <f>+'COMUNAS - HOME DELIVERY 2025'!L218*'COMUNAS - HOME DELIVERY 2025'!$Q$7</f>
        <v>14829.84</v>
      </c>
      <c r="M218" s="66">
        <f>+'COMUNAS - HOME DELIVERY 2025'!M218*'COMUNAS - HOME DELIVERY 2025'!$Q$7</f>
        <v>846.75599999999997</v>
      </c>
      <c r="N218" s="67">
        <f>+'COMUNAS - HOME DELIVERY 2025'!N218*'COMUNAS - HOME DELIVERY 2025'!$Q$7</f>
        <v>682.66800000000001</v>
      </c>
      <c r="O218" s="60"/>
      <c r="P218" s="2"/>
      <c r="Q218" s="2"/>
      <c r="R218" s="2"/>
      <c r="S218" s="2"/>
      <c r="T218" s="2"/>
      <c r="U218" s="2"/>
      <c r="V218" s="2"/>
      <c r="W218" s="2"/>
      <c r="X218" s="2"/>
      <c r="Y218" s="38"/>
    </row>
    <row r="219" spans="2:25" ht="15.75" customHeight="1" x14ac:dyDescent="0.3">
      <c r="B219" s="2"/>
      <c r="C219" s="61" t="s">
        <v>466</v>
      </c>
      <c r="D219" s="62" t="s">
        <v>496</v>
      </c>
      <c r="E219" s="63" t="s">
        <v>497</v>
      </c>
      <c r="F219" s="64">
        <f>+'COMUNAS - HOME DELIVERY 2025'!F219*'COMUNAS - HOME DELIVERY 2025'!$Q$7</f>
        <v>6637.8240000000005</v>
      </c>
      <c r="G219" s="65">
        <f>+'COMUNAS - HOME DELIVERY 2025'!G219*'COMUNAS - HOME DELIVERY 2025'!$Q$7</f>
        <v>7088.2920000000004</v>
      </c>
      <c r="H219" s="65">
        <f>+'COMUNAS - HOME DELIVERY 2025'!H219*'COMUNAS - HOME DELIVERY 2025'!$Q$7</f>
        <v>7882.4160000000002</v>
      </c>
      <c r="I219" s="65">
        <f>+'COMUNAS - HOME DELIVERY 2025'!I219*'COMUNAS - HOME DELIVERY 2025'!$Q$7</f>
        <v>8989.2360000000008</v>
      </c>
      <c r="J219" s="65">
        <f>+'COMUNAS - HOME DELIVERY 2025'!J219*'COMUNAS - HOME DELIVERY 2025'!$Q$7</f>
        <v>10962.936</v>
      </c>
      <c r="K219" s="65">
        <f>+'COMUNAS - HOME DELIVERY 2025'!K219*'COMUNAS - HOME DELIVERY 2025'!$Q$7</f>
        <v>12979.98</v>
      </c>
      <c r="L219" s="65">
        <f>+'COMUNAS - HOME DELIVERY 2025'!L219*'COMUNAS - HOME DELIVERY 2025'!$Q$7</f>
        <v>14829.84</v>
      </c>
      <c r="M219" s="66">
        <f>+'COMUNAS - HOME DELIVERY 2025'!M219*'COMUNAS - HOME DELIVERY 2025'!$Q$7</f>
        <v>846.75599999999997</v>
      </c>
      <c r="N219" s="67">
        <f>+'COMUNAS - HOME DELIVERY 2025'!N219*'COMUNAS - HOME DELIVERY 2025'!$Q$7</f>
        <v>682.66800000000001</v>
      </c>
      <c r="O219" s="60"/>
      <c r="P219" s="2"/>
      <c r="Q219" s="2"/>
      <c r="R219" s="2"/>
      <c r="S219" s="2"/>
      <c r="T219" s="2"/>
      <c r="U219" s="2"/>
      <c r="V219" s="2"/>
      <c r="W219" s="2"/>
      <c r="X219" s="2"/>
      <c r="Y219" s="38"/>
    </row>
    <row r="220" spans="2:25" ht="15.75" customHeight="1" x14ac:dyDescent="0.3">
      <c r="B220" s="2"/>
      <c r="C220" s="61" t="s">
        <v>466</v>
      </c>
      <c r="D220" s="62" t="s">
        <v>498</v>
      </c>
      <c r="E220" s="63" t="s">
        <v>44</v>
      </c>
      <c r="F220" s="64">
        <f>+'COMUNAS - HOME DELIVERY 2025'!F220*'COMUNAS - HOME DELIVERY 2025'!$Q$7</f>
        <v>4582.08</v>
      </c>
      <c r="G220" s="65">
        <f>+'COMUNAS - HOME DELIVERY 2025'!G220*'COMUNAS - HOME DELIVERY 2025'!$Q$7</f>
        <v>4894.7759999999998</v>
      </c>
      <c r="H220" s="65">
        <f>+'COMUNAS - HOME DELIVERY 2025'!H220*'COMUNAS - HOME DELIVERY 2025'!$Q$7</f>
        <v>5442.768</v>
      </c>
      <c r="I220" s="65">
        <f>+'COMUNAS - HOME DELIVERY 2025'!I220*'COMUNAS - HOME DELIVERY 2025'!$Q$7</f>
        <v>6205.4160000000002</v>
      </c>
      <c r="J220" s="65">
        <f>+'COMUNAS - HOME DELIVERY 2025'!J220*'COMUNAS - HOME DELIVERY 2025'!$Q$7</f>
        <v>7553.2080000000005</v>
      </c>
      <c r="K220" s="65">
        <f>+'COMUNAS - HOME DELIVERY 2025'!K220*'COMUNAS - HOME DELIVERY 2025'!$Q$7</f>
        <v>8922.6720000000005</v>
      </c>
      <c r="L220" s="65">
        <f>+'COMUNAS - HOME DELIVERY 2025'!L220*'COMUNAS - HOME DELIVERY 2025'!$Q$7</f>
        <v>10162.104000000001</v>
      </c>
      <c r="M220" s="66">
        <f>+'COMUNAS - HOME DELIVERY 2025'!M220*'COMUNAS - HOME DELIVERY 2025'!$Q$7</f>
        <v>567.6</v>
      </c>
      <c r="N220" s="67">
        <f>+'COMUNAS - HOME DELIVERY 2025'!N220*'COMUNAS - HOME DELIVERY 2025'!$Q$7</f>
        <v>462.33600000000001</v>
      </c>
      <c r="O220" s="60"/>
      <c r="P220" s="2"/>
      <c r="Q220" s="2"/>
      <c r="R220" s="2"/>
      <c r="S220" s="2"/>
      <c r="T220" s="2"/>
      <c r="U220" s="2"/>
      <c r="V220" s="2"/>
      <c r="W220" s="2"/>
      <c r="X220" s="2"/>
      <c r="Y220" s="38"/>
    </row>
    <row r="221" spans="2:25" ht="15.75" customHeight="1" x14ac:dyDescent="0.3">
      <c r="B221" s="2"/>
      <c r="C221" s="61" t="s">
        <v>466</v>
      </c>
      <c r="D221" s="62" t="s">
        <v>499</v>
      </c>
      <c r="E221" s="63" t="s">
        <v>500</v>
      </c>
      <c r="F221" s="64">
        <f>+'COMUNAS - HOME DELIVERY 2025'!F221*'COMUNAS - HOME DELIVERY 2025'!$Q$7</f>
        <v>4425.2160000000003</v>
      </c>
      <c r="G221" s="65">
        <f>+'COMUNAS - HOME DELIVERY 2025'!G221*'COMUNAS - HOME DELIVERY 2025'!$Q$7</f>
        <v>4725.5280000000002</v>
      </c>
      <c r="H221" s="65">
        <f>+'COMUNAS - HOME DELIVERY 2025'!H221*'COMUNAS - HOME DELIVERY 2025'!$Q$7</f>
        <v>5254.9440000000004</v>
      </c>
      <c r="I221" s="65">
        <f>+'COMUNAS - HOME DELIVERY 2025'!I221*'COMUNAS - HOME DELIVERY 2025'!$Q$7</f>
        <v>5992.8240000000005</v>
      </c>
      <c r="J221" s="65">
        <f>+'COMUNAS - HOME DELIVERY 2025'!J221*'COMUNAS - HOME DELIVERY 2025'!$Q$7</f>
        <v>7308.6239999999998</v>
      </c>
      <c r="K221" s="65">
        <f>+'COMUNAS - HOME DELIVERY 2025'!K221*'COMUNAS - HOME DELIVERY 2025'!$Q$7</f>
        <v>8653.32</v>
      </c>
      <c r="L221" s="65">
        <f>+'COMUNAS - HOME DELIVERY 2025'!L221*'COMUNAS - HOME DELIVERY 2025'!$Q$7</f>
        <v>9886.56</v>
      </c>
      <c r="M221" s="66">
        <f>+'COMUNAS - HOME DELIVERY 2025'!M221*'COMUNAS - HOME DELIVERY 2025'!$Q$7</f>
        <v>564.50400000000002</v>
      </c>
      <c r="N221" s="67">
        <f>+'COMUNAS - HOME DELIVERY 2025'!N221*'COMUNAS - HOME DELIVERY 2025'!$Q$7</f>
        <v>455.11200000000002</v>
      </c>
      <c r="O221" s="60"/>
      <c r="P221" s="2"/>
      <c r="Q221" s="2"/>
      <c r="R221" s="2"/>
      <c r="S221" s="2"/>
      <c r="T221" s="2"/>
      <c r="U221" s="2"/>
      <c r="V221" s="2"/>
      <c r="W221" s="2"/>
      <c r="X221" s="2"/>
      <c r="Y221" s="38"/>
    </row>
    <row r="222" spans="2:25" ht="15.75" customHeight="1" x14ac:dyDescent="0.3">
      <c r="B222" s="2"/>
      <c r="C222" s="61" t="s">
        <v>466</v>
      </c>
      <c r="D222" s="62" t="s">
        <v>501</v>
      </c>
      <c r="E222" s="63" t="s">
        <v>502</v>
      </c>
      <c r="F222" s="64">
        <f>+'COMUNAS - HOME DELIVERY 2025'!F222*'COMUNAS - HOME DELIVERY 2025'!$Q$7</f>
        <v>4582.08</v>
      </c>
      <c r="G222" s="65">
        <f>+'COMUNAS - HOME DELIVERY 2025'!G222*'COMUNAS - HOME DELIVERY 2025'!$Q$7</f>
        <v>4894.7759999999998</v>
      </c>
      <c r="H222" s="65">
        <f>+'COMUNAS - HOME DELIVERY 2025'!H222*'COMUNAS - HOME DELIVERY 2025'!$Q$7</f>
        <v>5442.768</v>
      </c>
      <c r="I222" s="65">
        <f>+'COMUNAS - HOME DELIVERY 2025'!I222*'COMUNAS - HOME DELIVERY 2025'!$Q$7</f>
        <v>6205.4160000000002</v>
      </c>
      <c r="J222" s="65">
        <f>+'COMUNAS - HOME DELIVERY 2025'!J222*'COMUNAS - HOME DELIVERY 2025'!$Q$7</f>
        <v>7553.2080000000005</v>
      </c>
      <c r="K222" s="65">
        <f>+'COMUNAS - HOME DELIVERY 2025'!K222*'COMUNAS - HOME DELIVERY 2025'!$Q$7</f>
        <v>8922.6720000000005</v>
      </c>
      <c r="L222" s="65">
        <f>+'COMUNAS - HOME DELIVERY 2025'!L222*'COMUNAS - HOME DELIVERY 2025'!$Q$7</f>
        <v>10162.104000000001</v>
      </c>
      <c r="M222" s="66">
        <f>+'COMUNAS - HOME DELIVERY 2025'!M222*'COMUNAS - HOME DELIVERY 2025'!$Q$7</f>
        <v>567.6</v>
      </c>
      <c r="N222" s="67">
        <f>+'COMUNAS - HOME DELIVERY 2025'!N222*'COMUNAS - HOME DELIVERY 2025'!$Q$7</f>
        <v>462.33600000000001</v>
      </c>
      <c r="O222" s="60"/>
      <c r="P222" s="2"/>
      <c r="Q222" s="2"/>
      <c r="R222" s="2"/>
      <c r="S222" s="2"/>
      <c r="T222" s="2"/>
      <c r="U222" s="2"/>
      <c r="V222" s="2"/>
      <c r="W222" s="2"/>
      <c r="X222" s="2"/>
      <c r="Y222" s="38"/>
    </row>
    <row r="223" spans="2:25" ht="15.75" customHeight="1" x14ac:dyDescent="0.3">
      <c r="B223" s="2"/>
      <c r="C223" s="61" t="s">
        <v>466</v>
      </c>
      <c r="D223" s="62" t="s">
        <v>503</v>
      </c>
      <c r="E223" s="63" t="s">
        <v>504</v>
      </c>
      <c r="F223" s="64">
        <f>+'COMUNAS - HOME DELIVERY 2025'!F223*'COMUNAS - HOME DELIVERY 2025'!$Q$7</f>
        <v>4582.08</v>
      </c>
      <c r="G223" s="65">
        <f>+'COMUNAS - HOME DELIVERY 2025'!G223*'COMUNAS - HOME DELIVERY 2025'!$Q$7</f>
        <v>4894.7759999999998</v>
      </c>
      <c r="H223" s="65">
        <f>+'COMUNAS - HOME DELIVERY 2025'!H223*'COMUNAS - HOME DELIVERY 2025'!$Q$7</f>
        <v>5442.768</v>
      </c>
      <c r="I223" s="65">
        <f>+'COMUNAS - HOME DELIVERY 2025'!I223*'COMUNAS - HOME DELIVERY 2025'!$Q$7</f>
        <v>6205.4160000000002</v>
      </c>
      <c r="J223" s="65">
        <f>+'COMUNAS - HOME DELIVERY 2025'!J223*'COMUNAS - HOME DELIVERY 2025'!$Q$7</f>
        <v>7553.2080000000005</v>
      </c>
      <c r="K223" s="65">
        <f>+'COMUNAS - HOME DELIVERY 2025'!K223*'COMUNAS - HOME DELIVERY 2025'!$Q$7</f>
        <v>8922.6720000000005</v>
      </c>
      <c r="L223" s="65">
        <f>+'COMUNAS - HOME DELIVERY 2025'!L223*'COMUNAS - HOME DELIVERY 2025'!$Q$7</f>
        <v>10162.104000000001</v>
      </c>
      <c r="M223" s="66">
        <f>+'COMUNAS - HOME DELIVERY 2025'!M223*'COMUNAS - HOME DELIVERY 2025'!$Q$7</f>
        <v>567.6</v>
      </c>
      <c r="N223" s="67">
        <f>+'COMUNAS - HOME DELIVERY 2025'!N223*'COMUNAS - HOME DELIVERY 2025'!$Q$7</f>
        <v>462.33600000000001</v>
      </c>
      <c r="O223" s="60"/>
      <c r="P223" s="2"/>
      <c r="Q223" s="2"/>
      <c r="R223" s="2"/>
      <c r="S223" s="2"/>
      <c r="T223" s="2"/>
      <c r="U223" s="2"/>
      <c r="V223" s="2"/>
      <c r="W223" s="2"/>
      <c r="X223" s="2"/>
      <c r="Y223" s="38"/>
    </row>
    <row r="224" spans="2:25" ht="15.75" customHeight="1" x14ac:dyDescent="0.3">
      <c r="B224" s="2"/>
      <c r="C224" s="61" t="s">
        <v>466</v>
      </c>
      <c r="D224" s="62" t="s">
        <v>505</v>
      </c>
      <c r="E224" s="63" t="s">
        <v>506</v>
      </c>
      <c r="F224" s="64">
        <f>+'COMUNAS - HOME DELIVERY 2025'!F224*'COMUNAS - HOME DELIVERY 2025'!$Q$7</f>
        <v>4582.08</v>
      </c>
      <c r="G224" s="65">
        <f>+'COMUNAS - HOME DELIVERY 2025'!G224*'COMUNAS - HOME DELIVERY 2025'!$Q$7</f>
        <v>4894.7759999999998</v>
      </c>
      <c r="H224" s="65">
        <f>+'COMUNAS - HOME DELIVERY 2025'!H224*'COMUNAS - HOME DELIVERY 2025'!$Q$7</f>
        <v>5442.768</v>
      </c>
      <c r="I224" s="65">
        <f>+'COMUNAS - HOME DELIVERY 2025'!I224*'COMUNAS - HOME DELIVERY 2025'!$Q$7</f>
        <v>6205.4160000000002</v>
      </c>
      <c r="J224" s="65">
        <f>+'COMUNAS - HOME DELIVERY 2025'!J224*'COMUNAS - HOME DELIVERY 2025'!$Q$7</f>
        <v>7553.2080000000005</v>
      </c>
      <c r="K224" s="65">
        <f>+'COMUNAS - HOME DELIVERY 2025'!K224*'COMUNAS - HOME DELIVERY 2025'!$Q$7</f>
        <v>8922.6720000000005</v>
      </c>
      <c r="L224" s="65">
        <f>+'COMUNAS - HOME DELIVERY 2025'!L224*'COMUNAS - HOME DELIVERY 2025'!$Q$7</f>
        <v>10162.104000000001</v>
      </c>
      <c r="M224" s="66">
        <f>+'COMUNAS - HOME DELIVERY 2025'!M224*'COMUNAS - HOME DELIVERY 2025'!$Q$7</f>
        <v>567.6</v>
      </c>
      <c r="N224" s="67">
        <f>+'COMUNAS - HOME DELIVERY 2025'!N224*'COMUNAS - HOME DELIVERY 2025'!$Q$7</f>
        <v>462.33600000000001</v>
      </c>
      <c r="O224" s="60"/>
      <c r="P224" s="2"/>
      <c r="Q224" s="2"/>
      <c r="R224" s="2"/>
      <c r="S224" s="2"/>
      <c r="T224" s="2"/>
      <c r="U224" s="2"/>
      <c r="V224" s="2"/>
      <c r="W224" s="2"/>
      <c r="X224" s="2"/>
      <c r="Y224" s="38"/>
    </row>
    <row r="225" spans="2:25" ht="15.75" customHeight="1" x14ac:dyDescent="0.3">
      <c r="B225" s="2"/>
      <c r="C225" s="61" t="s">
        <v>466</v>
      </c>
      <c r="D225" s="62" t="s">
        <v>507</v>
      </c>
      <c r="E225" s="63" t="s">
        <v>508</v>
      </c>
      <c r="F225" s="64">
        <f>+'COMUNAS - HOME DELIVERY 2025'!F225*'COMUNAS - HOME DELIVERY 2025'!$Q$7</f>
        <v>4425.2160000000003</v>
      </c>
      <c r="G225" s="65">
        <f>+'COMUNAS - HOME DELIVERY 2025'!G225*'COMUNAS - HOME DELIVERY 2025'!$Q$7</f>
        <v>4725.5280000000002</v>
      </c>
      <c r="H225" s="65">
        <f>+'COMUNAS - HOME DELIVERY 2025'!H225*'COMUNAS - HOME DELIVERY 2025'!$Q$7</f>
        <v>5254.9440000000004</v>
      </c>
      <c r="I225" s="65">
        <f>+'COMUNAS - HOME DELIVERY 2025'!I225*'COMUNAS - HOME DELIVERY 2025'!$Q$7</f>
        <v>5992.8240000000005</v>
      </c>
      <c r="J225" s="65">
        <f>+'COMUNAS - HOME DELIVERY 2025'!J225*'COMUNAS - HOME DELIVERY 2025'!$Q$7</f>
        <v>7308.6239999999998</v>
      </c>
      <c r="K225" s="65">
        <f>+'COMUNAS - HOME DELIVERY 2025'!K225*'COMUNAS - HOME DELIVERY 2025'!$Q$7</f>
        <v>8653.32</v>
      </c>
      <c r="L225" s="65">
        <f>+'COMUNAS - HOME DELIVERY 2025'!L225*'COMUNAS - HOME DELIVERY 2025'!$Q$7</f>
        <v>9886.56</v>
      </c>
      <c r="M225" s="66">
        <f>+'COMUNAS - HOME DELIVERY 2025'!M225*'COMUNAS - HOME DELIVERY 2025'!$Q$7</f>
        <v>564.50400000000002</v>
      </c>
      <c r="N225" s="67">
        <f>+'COMUNAS - HOME DELIVERY 2025'!N225*'COMUNAS - HOME DELIVERY 2025'!$Q$7</f>
        <v>455.11200000000002</v>
      </c>
      <c r="O225" s="60"/>
      <c r="P225" s="2"/>
      <c r="Q225" s="2"/>
      <c r="R225" s="2"/>
      <c r="S225" s="2"/>
      <c r="T225" s="2"/>
      <c r="U225" s="2"/>
      <c r="V225" s="2"/>
      <c r="W225" s="2"/>
      <c r="X225" s="2"/>
      <c r="Y225" s="38"/>
    </row>
    <row r="226" spans="2:25" ht="15.75" customHeight="1" x14ac:dyDescent="0.3">
      <c r="B226" s="2"/>
      <c r="C226" s="61" t="s">
        <v>466</v>
      </c>
      <c r="D226" s="62" t="s">
        <v>509</v>
      </c>
      <c r="E226" s="63" t="s">
        <v>510</v>
      </c>
      <c r="F226" s="64">
        <f>+'COMUNAS - HOME DELIVERY 2025'!F226*'COMUNAS - HOME DELIVERY 2025'!$Q$7</f>
        <v>4582.08</v>
      </c>
      <c r="G226" s="65">
        <f>+'COMUNAS - HOME DELIVERY 2025'!G226*'COMUNAS - HOME DELIVERY 2025'!$Q$7</f>
        <v>4894.7759999999998</v>
      </c>
      <c r="H226" s="65">
        <f>+'COMUNAS - HOME DELIVERY 2025'!H226*'COMUNAS - HOME DELIVERY 2025'!$Q$7</f>
        <v>5442.768</v>
      </c>
      <c r="I226" s="65">
        <f>+'COMUNAS - HOME DELIVERY 2025'!I226*'COMUNAS - HOME DELIVERY 2025'!$Q$7</f>
        <v>6205.4160000000002</v>
      </c>
      <c r="J226" s="65">
        <f>+'COMUNAS - HOME DELIVERY 2025'!J226*'COMUNAS - HOME DELIVERY 2025'!$Q$7</f>
        <v>7553.2080000000005</v>
      </c>
      <c r="K226" s="65">
        <f>+'COMUNAS - HOME DELIVERY 2025'!K226*'COMUNAS - HOME DELIVERY 2025'!$Q$7</f>
        <v>8922.6720000000005</v>
      </c>
      <c r="L226" s="65">
        <f>+'COMUNAS - HOME DELIVERY 2025'!L226*'COMUNAS - HOME DELIVERY 2025'!$Q$7</f>
        <v>10162.104000000001</v>
      </c>
      <c r="M226" s="66">
        <f>+'COMUNAS - HOME DELIVERY 2025'!M226*'COMUNAS - HOME DELIVERY 2025'!$Q$7</f>
        <v>567.6</v>
      </c>
      <c r="N226" s="67">
        <f>+'COMUNAS - HOME DELIVERY 2025'!N226*'COMUNAS - HOME DELIVERY 2025'!$Q$7</f>
        <v>462.33600000000001</v>
      </c>
      <c r="O226" s="60"/>
      <c r="P226" s="2"/>
      <c r="Q226" s="2"/>
      <c r="R226" s="2"/>
      <c r="S226" s="2"/>
      <c r="T226" s="2"/>
      <c r="U226" s="2"/>
      <c r="V226" s="2"/>
      <c r="W226" s="2"/>
      <c r="X226" s="2"/>
      <c r="Y226" s="38"/>
    </row>
    <row r="227" spans="2:25" ht="15.75" customHeight="1" x14ac:dyDescent="0.3">
      <c r="B227" s="2"/>
      <c r="C227" s="61" t="s">
        <v>466</v>
      </c>
      <c r="D227" s="62" t="s">
        <v>511</v>
      </c>
      <c r="E227" s="63" t="s">
        <v>512</v>
      </c>
      <c r="F227" s="64">
        <f>+'COMUNAS - HOME DELIVERY 2025'!F227*'COMUNAS - HOME DELIVERY 2025'!$Q$7</f>
        <v>4582.08</v>
      </c>
      <c r="G227" s="65">
        <f>+'COMUNAS - HOME DELIVERY 2025'!G227*'COMUNAS - HOME DELIVERY 2025'!$Q$7</f>
        <v>4894.7759999999998</v>
      </c>
      <c r="H227" s="65">
        <f>+'COMUNAS - HOME DELIVERY 2025'!H227*'COMUNAS - HOME DELIVERY 2025'!$Q$7</f>
        <v>5442.768</v>
      </c>
      <c r="I227" s="65">
        <f>+'COMUNAS - HOME DELIVERY 2025'!I227*'COMUNAS - HOME DELIVERY 2025'!$Q$7</f>
        <v>6205.4160000000002</v>
      </c>
      <c r="J227" s="65">
        <f>+'COMUNAS - HOME DELIVERY 2025'!J227*'COMUNAS - HOME DELIVERY 2025'!$Q$7</f>
        <v>7553.2080000000005</v>
      </c>
      <c r="K227" s="65">
        <f>+'COMUNAS - HOME DELIVERY 2025'!K227*'COMUNAS - HOME DELIVERY 2025'!$Q$7</f>
        <v>8922.6720000000005</v>
      </c>
      <c r="L227" s="65">
        <f>+'COMUNAS - HOME DELIVERY 2025'!L227*'COMUNAS - HOME DELIVERY 2025'!$Q$7</f>
        <v>10162.104000000001</v>
      </c>
      <c r="M227" s="66">
        <f>+'COMUNAS - HOME DELIVERY 2025'!M227*'COMUNAS - HOME DELIVERY 2025'!$Q$7</f>
        <v>567.6</v>
      </c>
      <c r="N227" s="67">
        <f>+'COMUNAS - HOME DELIVERY 2025'!N227*'COMUNAS - HOME DELIVERY 2025'!$Q$7</f>
        <v>462.33600000000001</v>
      </c>
      <c r="O227" s="60"/>
      <c r="P227" s="2"/>
      <c r="Q227" s="2"/>
      <c r="R227" s="2"/>
      <c r="S227" s="2"/>
      <c r="T227" s="2"/>
      <c r="U227" s="2"/>
      <c r="V227" s="2"/>
      <c r="W227" s="2"/>
      <c r="X227" s="2"/>
      <c r="Y227" s="38"/>
    </row>
    <row r="228" spans="2:25" ht="15.75" customHeight="1" x14ac:dyDescent="0.3">
      <c r="B228" s="2"/>
      <c r="C228" s="61" t="s">
        <v>466</v>
      </c>
      <c r="D228" s="62" t="s">
        <v>513</v>
      </c>
      <c r="E228" s="63" t="s">
        <v>514</v>
      </c>
      <c r="F228" s="64">
        <f>+'COMUNAS - HOME DELIVERY 2025'!F228*'COMUNAS - HOME DELIVERY 2025'!$Q$7</f>
        <v>4425.2160000000003</v>
      </c>
      <c r="G228" s="65">
        <f>+'COMUNAS - HOME DELIVERY 2025'!G228*'COMUNAS - HOME DELIVERY 2025'!$Q$7</f>
        <v>4725.5280000000002</v>
      </c>
      <c r="H228" s="65">
        <f>+'COMUNAS - HOME DELIVERY 2025'!H228*'COMUNAS - HOME DELIVERY 2025'!$Q$7</f>
        <v>5254.9440000000004</v>
      </c>
      <c r="I228" s="65">
        <f>+'COMUNAS - HOME DELIVERY 2025'!I228*'COMUNAS - HOME DELIVERY 2025'!$Q$7</f>
        <v>5992.8240000000005</v>
      </c>
      <c r="J228" s="65">
        <f>+'COMUNAS - HOME DELIVERY 2025'!J228*'COMUNAS - HOME DELIVERY 2025'!$Q$7</f>
        <v>7308.6239999999998</v>
      </c>
      <c r="K228" s="65">
        <f>+'COMUNAS - HOME DELIVERY 2025'!K228*'COMUNAS - HOME DELIVERY 2025'!$Q$7</f>
        <v>8653.32</v>
      </c>
      <c r="L228" s="65">
        <f>+'COMUNAS - HOME DELIVERY 2025'!L228*'COMUNAS - HOME DELIVERY 2025'!$Q$7</f>
        <v>9886.56</v>
      </c>
      <c r="M228" s="66">
        <f>+'COMUNAS - HOME DELIVERY 2025'!M228*'COMUNAS - HOME DELIVERY 2025'!$Q$7</f>
        <v>564.50400000000002</v>
      </c>
      <c r="N228" s="67">
        <f>+'COMUNAS - HOME DELIVERY 2025'!N228*'COMUNAS - HOME DELIVERY 2025'!$Q$7</f>
        <v>455.11200000000002</v>
      </c>
      <c r="O228" s="60"/>
      <c r="P228" s="2"/>
      <c r="Q228" s="2"/>
      <c r="R228" s="2"/>
      <c r="S228" s="2"/>
      <c r="T228" s="2"/>
      <c r="U228" s="2"/>
      <c r="V228" s="2"/>
      <c r="W228" s="2"/>
      <c r="X228" s="2"/>
      <c r="Y228" s="38"/>
    </row>
    <row r="229" spans="2:25" ht="15.75" customHeight="1" x14ac:dyDescent="0.3">
      <c r="B229" s="2"/>
      <c r="C229" s="61" t="s">
        <v>466</v>
      </c>
      <c r="D229" s="62" t="s">
        <v>515</v>
      </c>
      <c r="E229" s="63" t="s">
        <v>516</v>
      </c>
      <c r="F229" s="64">
        <f>+'COMUNAS - HOME DELIVERY 2025'!F229*'COMUNAS - HOME DELIVERY 2025'!$Q$7</f>
        <v>4582.08</v>
      </c>
      <c r="G229" s="65">
        <f>+'COMUNAS - HOME DELIVERY 2025'!G229*'COMUNAS - HOME DELIVERY 2025'!$Q$7</f>
        <v>4894.7759999999998</v>
      </c>
      <c r="H229" s="65">
        <f>+'COMUNAS - HOME DELIVERY 2025'!H229*'COMUNAS - HOME DELIVERY 2025'!$Q$7</f>
        <v>5442.768</v>
      </c>
      <c r="I229" s="65">
        <f>+'COMUNAS - HOME DELIVERY 2025'!I229*'COMUNAS - HOME DELIVERY 2025'!$Q$7</f>
        <v>6205.4160000000002</v>
      </c>
      <c r="J229" s="65">
        <f>+'COMUNAS - HOME DELIVERY 2025'!J229*'COMUNAS - HOME DELIVERY 2025'!$Q$7</f>
        <v>7553.2080000000005</v>
      </c>
      <c r="K229" s="65">
        <f>+'COMUNAS - HOME DELIVERY 2025'!K229*'COMUNAS - HOME DELIVERY 2025'!$Q$7</f>
        <v>8922.6720000000005</v>
      </c>
      <c r="L229" s="65">
        <f>+'COMUNAS - HOME DELIVERY 2025'!L229*'COMUNAS - HOME DELIVERY 2025'!$Q$7</f>
        <v>10162.104000000001</v>
      </c>
      <c r="M229" s="66">
        <f>+'COMUNAS - HOME DELIVERY 2025'!M229*'COMUNAS - HOME DELIVERY 2025'!$Q$7</f>
        <v>567.6</v>
      </c>
      <c r="N229" s="67">
        <f>+'COMUNAS - HOME DELIVERY 2025'!N229*'COMUNAS - HOME DELIVERY 2025'!$Q$7</f>
        <v>462.33600000000001</v>
      </c>
      <c r="O229" s="60"/>
      <c r="P229" s="2"/>
      <c r="Q229" s="2"/>
      <c r="R229" s="2"/>
      <c r="S229" s="2"/>
      <c r="T229" s="2"/>
      <c r="U229" s="2"/>
      <c r="V229" s="2"/>
      <c r="W229" s="2"/>
      <c r="X229" s="2"/>
      <c r="Y229" s="38"/>
    </row>
    <row r="230" spans="2:25" ht="15.75" customHeight="1" x14ac:dyDescent="0.3">
      <c r="B230" s="2"/>
      <c r="C230" s="61" t="s">
        <v>466</v>
      </c>
      <c r="D230" s="62" t="s">
        <v>517</v>
      </c>
      <c r="E230" s="63" t="s">
        <v>518</v>
      </c>
      <c r="F230" s="64">
        <f>+'COMUNAS - HOME DELIVERY 2025'!F230*'COMUNAS - HOME DELIVERY 2025'!$Q$7</f>
        <v>4582.08</v>
      </c>
      <c r="G230" s="65">
        <f>+'COMUNAS - HOME DELIVERY 2025'!G230*'COMUNAS - HOME DELIVERY 2025'!$Q$7</f>
        <v>4894.7759999999998</v>
      </c>
      <c r="H230" s="65">
        <f>+'COMUNAS - HOME DELIVERY 2025'!H230*'COMUNAS - HOME DELIVERY 2025'!$Q$7</f>
        <v>5442.768</v>
      </c>
      <c r="I230" s="65">
        <f>+'COMUNAS - HOME DELIVERY 2025'!I230*'COMUNAS - HOME DELIVERY 2025'!$Q$7</f>
        <v>6205.4160000000002</v>
      </c>
      <c r="J230" s="65">
        <f>+'COMUNAS - HOME DELIVERY 2025'!J230*'COMUNAS - HOME DELIVERY 2025'!$Q$7</f>
        <v>7553.2080000000005</v>
      </c>
      <c r="K230" s="65">
        <f>+'COMUNAS - HOME DELIVERY 2025'!K230*'COMUNAS - HOME DELIVERY 2025'!$Q$7</f>
        <v>8922.6720000000005</v>
      </c>
      <c r="L230" s="65">
        <f>+'COMUNAS - HOME DELIVERY 2025'!L230*'COMUNAS - HOME DELIVERY 2025'!$Q$7</f>
        <v>10162.104000000001</v>
      </c>
      <c r="M230" s="66">
        <f>+'COMUNAS - HOME DELIVERY 2025'!M230*'COMUNAS - HOME DELIVERY 2025'!$Q$7</f>
        <v>567.6</v>
      </c>
      <c r="N230" s="67">
        <f>+'COMUNAS - HOME DELIVERY 2025'!N230*'COMUNAS - HOME DELIVERY 2025'!$Q$7</f>
        <v>462.33600000000001</v>
      </c>
      <c r="O230" s="60"/>
      <c r="P230" s="2"/>
      <c r="Q230" s="2"/>
      <c r="R230" s="2"/>
      <c r="S230" s="2"/>
      <c r="T230" s="2"/>
      <c r="U230" s="2"/>
      <c r="V230" s="2"/>
      <c r="W230" s="2"/>
      <c r="X230" s="2"/>
      <c r="Y230" s="38"/>
    </row>
    <row r="231" spans="2:25" ht="15.75" customHeight="1" x14ac:dyDescent="0.3">
      <c r="B231" s="2"/>
      <c r="C231" s="61" t="s">
        <v>466</v>
      </c>
      <c r="D231" s="62" t="s">
        <v>519</v>
      </c>
      <c r="E231" s="63" t="s">
        <v>520</v>
      </c>
      <c r="F231" s="64">
        <f>+'COMUNAS - HOME DELIVERY 2025'!F231*'COMUNAS - HOME DELIVERY 2025'!$Q$7</f>
        <v>4425.2160000000003</v>
      </c>
      <c r="G231" s="65">
        <f>+'COMUNAS - HOME DELIVERY 2025'!G231*'COMUNAS - HOME DELIVERY 2025'!$Q$7</f>
        <v>4725.5280000000002</v>
      </c>
      <c r="H231" s="65">
        <f>+'COMUNAS - HOME DELIVERY 2025'!H231*'COMUNAS - HOME DELIVERY 2025'!$Q$7</f>
        <v>5254.9440000000004</v>
      </c>
      <c r="I231" s="65">
        <f>+'COMUNAS - HOME DELIVERY 2025'!I231*'COMUNAS - HOME DELIVERY 2025'!$Q$7</f>
        <v>5992.8240000000005</v>
      </c>
      <c r="J231" s="65">
        <f>+'COMUNAS - HOME DELIVERY 2025'!J231*'COMUNAS - HOME DELIVERY 2025'!$Q$7</f>
        <v>7308.6239999999998</v>
      </c>
      <c r="K231" s="65">
        <f>+'COMUNAS - HOME DELIVERY 2025'!K231*'COMUNAS - HOME DELIVERY 2025'!$Q$7</f>
        <v>8653.32</v>
      </c>
      <c r="L231" s="65">
        <f>+'COMUNAS - HOME DELIVERY 2025'!L231*'COMUNAS - HOME DELIVERY 2025'!$Q$7</f>
        <v>9886.56</v>
      </c>
      <c r="M231" s="66">
        <f>+'COMUNAS - HOME DELIVERY 2025'!M231*'COMUNAS - HOME DELIVERY 2025'!$Q$7</f>
        <v>564.50400000000002</v>
      </c>
      <c r="N231" s="67">
        <f>+'COMUNAS - HOME DELIVERY 2025'!N231*'COMUNAS - HOME DELIVERY 2025'!$Q$7</f>
        <v>455.11200000000002</v>
      </c>
      <c r="O231" s="60"/>
      <c r="P231" s="2"/>
      <c r="Q231" s="2"/>
      <c r="R231" s="2"/>
      <c r="S231" s="2"/>
      <c r="T231" s="2"/>
      <c r="U231" s="2"/>
      <c r="V231" s="2"/>
      <c r="W231" s="2"/>
      <c r="X231" s="2"/>
      <c r="Y231" s="38"/>
    </row>
    <row r="232" spans="2:25" ht="15.75" customHeight="1" x14ac:dyDescent="0.3">
      <c r="B232" s="2"/>
      <c r="C232" s="61" t="s">
        <v>466</v>
      </c>
      <c r="D232" s="62" t="s">
        <v>521</v>
      </c>
      <c r="E232" s="63" t="s">
        <v>522</v>
      </c>
      <c r="F232" s="64">
        <f>+'COMUNAS - HOME DELIVERY 2025'!F232*'COMUNAS - HOME DELIVERY 2025'!$Q$7</f>
        <v>4425.2160000000003</v>
      </c>
      <c r="G232" s="65">
        <f>+'COMUNAS - HOME DELIVERY 2025'!G232*'COMUNAS - HOME DELIVERY 2025'!$Q$7</f>
        <v>4725.5280000000002</v>
      </c>
      <c r="H232" s="65">
        <f>+'COMUNAS - HOME DELIVERY 2025'!H232*'COMUNAS - HOME DELIVERY 2025'!$Q$7</f>
        <v>5254.9440000000004</v>
      </c>
      <c r="I232" s="65">
        <f>+'COMUNAS - HOME DELIVERY 2025'!I232*'COMUNAS - HOME DELIVERY 2025'!$Q$7</f>
        <v>5992.8240000000005</v>
      </c>
      <c r="J232" s="65">
        <f>+'COMUNAS - HOME DELIVERY 2025'!J232*'COMUNAS - HOME DELIVERY 2025'!$Q$7</f>
        <v>7308.6239999999998</v>
      </c>
      <c r="K232" s="65">
        <f>+'COMUNAS - HOME DELIVERY 2025'!K232*'COMUNAS - HOME DELIVERY 2025'!$Q$7</f>
        <v>8653.32</v>
      </c>
      <c r="L232" s="65">
        <f>+'COMUNAS - HOME DELIVERY 2025'!L232*'COMUNAS - HOME DELIVERY 2025'!$Q$7</f>
        <v>9886.56</v>
      </c>
      <c r="M232" s="66">
        <f>+'COMUNAS - HOME DELIVERY 2025'!M232*'COMUNAS - HOME DELIVERY 2025'!$Q$7</f>
        <v>564.50400000000002</v>
      </c>
      <c r="N232" s="67">
        <f>+'COMUNAS - HOME DELIVERY 2025'!N232*'COMUNAS - HOME DELIVERY 2025'!$Q$7</f>
        <v>455.11200000000002</v>
      </c>
      <c r="O232" s="60"/>
      <c r="P232" s="2"/>
      <c r="Q232" s="2"/>
      <c r="R232" s="2"/>
      <c r="S232" s="2"/>
      <c r="T232" s="2"/>
      <c r="U232" s="2"/>
      <c r="V232" s="2"/>
      <c r="W232" s="2"/>
      <c r="X232" s="2"/>
      <c r="Y232" s="38"/>
    </row>
    <row r="233" spans="2:25" ht="15.75" customHeight="1" x14ac:dyDescent="0.3">
      <c r="B233" s="2"/>
      <c r="C233" s="61" t="s">
        <v>466</v>
      </c>
      <c r="D233" s="62" t="s">
        <v>523</v>
      </c>
      <c r="E233" s="63" t="s">
        <v>524</v>
      </c>
      <c r="F233" s="64">
        <f>+'COMUNAS - HOME DELIVERY 2025'!F233*'COMUNAS - HOME DELIVERY 2025'!$Q$7</f>
        <v>7126.9920000000002</v>
      </c>
      <c r="G233" s="65">
        <f>+'COMUNAS - HOME DELIVERY 2025'!G233*'COMUNAS - HOME DELIVERY 2025'!$Q$7</f>
        <v>7490.7719999999999</v>
      </c>
      <c r="H233" s="65">
        <f>+'COMUNAS - HOME DELIVERY 2025'!H233*'COMUNAS - HOME DELIVERY 2025'!$Q$7</f>
        <v>8345.268</v>
      </c>
      <c r="I233" s="65">
        <f>+'COMUNAS - HOME DELIVERY 2025'!I233*'COMUNAS - HOME DELIVERY 2025'!$Q$7</f>
        <v>9456.732</v>
      </c>
      <c r="J233" s="65">
        <f>+'COMUNAS - HOME DELIVERY 2025'!J233*'COMUNAS - HOME DELIVERY 2025'!$Q$7</f>
        <v>11707.523999999999</v>
      </c>
      <c r="K233" s="65">
        <f>+'COMUNAS - HOME DELIVERY 2025'!K233*'COMUNAS - HOME DELIVERY 2025'!$Q$7</f>
        <v>13803.516</v>
      </c>
      <c r="L233" s="65">
        <f>+'COMUNAS - HOME DELIVERY 2025'!L233*'COMUNAS - HOME DELIVERY 2025'!$Q$7</f>
        <v>15667.308000000001</v>
      </c>
      <c r="M233" s="66">
        <f>+'COMUNAS - HOME DELIVERY 2025'!M233*'COMUNAS - HOME DELIVERY 2025'!$Q$7</f>
        <v>854.49599999999998</v>
      </c>
      <c r="N233" s="67">
        <f>+'COMUNAS - HOME DELIVERY 2025'!N233*'COMUNAS - HOME DELIVERY 2025'!$Q$7</f>
        <v>698.14800000000002</v>
      </c>
      <c r="O233" s="60"/>
      <c r="P233" s="2"/>
      <c r="Q233" s="2"/>
      <c r="R233" s="2"/>
      <c r="S233" s="2"/>
      <c r="T233" s="2"/>
      <c r="U233" s="2"/>
      <c r="V233" s="2"/>
      <c r="W233" s="2"/>
      <c r="X233" s="2"/>
      <c r="Y233" s="38"/>
    </row>
    <row r="234" spans="2:25" ht="15.75" customHeight="1" x14ac:dyDescent="0.3">
      <c r="B234" s="2"/>
      <c r="C234" s="61" t="s">
        <v>466</v>
      </c>
      <c r="D234" s="62" t="s">
        <v>525</v>
      </c>
      <c r="E234" s="63" t="s">
        <v>526</v>
      </c>
      <c r="F234" s="64">
        <f>+'COMUNAS - HOME DELIVERY 2025'!F234*'COMUNAS - HOME DELIVERY 2025'!$Q$7</f>
        <v>4425.2160000000003</v>
      </c>
      <c r="G234" s="65">
        <f>+'COMUNAS - HOME DELIVERY 2025'!G234*'COMUNAS - HOME DELIVERY 2025'!$Q$7</f>
        <v>4725.5280000000002</v>
      </c>
      <c r="H234" s="65">
        <f>+'COMUNAS - HOME DELIVERY 2025'!H234*'COMUNAS - HOME DELIVERY 2025'!$Q$7</f>
        <v>5254.9440000000004</v>
      </c>
      <c r="I234" s="65">
        <f>+'COMUNAS - HOME DELIVERY 2025'!I234*'COMUNAS - HOME DELIVERY 2025'!$Q$7</f>
        <v>5992.8240000000005</v>
      </c>
      <c r="J234" s="65">
        <f>+'COMUNAS - HOME DELIVERY 2025'!J234*'COMUNAS - HOME DELIVERY 2025'!$Q$7</f>
        <v>7308.6239999999998</v>
      </c>
      <c r="K234" s="65">
        <f>+'COMUNAS - HOME DELIVERY 2025'!K234*'COMUNAS - HOME DELIVERY 2025'!$Q$7</f>
        <v>8653.32</v>
      </c>
      <c r="L234" s="65">
        <f>+'COMUNAS - HOME DELIVERY 2025'!L234*'COMUNAS - HOME DELIVERY 2025'!$Q$7</f>
        <v>9886.56</v>
      </c>
      <c r="M234" s="66">
        <f>+'COMUNAS - HOME DELIVERY 2025'!M234*'COMUNAS - HOME DELIVERY 2025'!$Q$7</f>
        <v>564.50400000000002</v>
      </c>
      <c r="N234" s="67">
        <f>+'COMUNAS - HOME DELIVERY 2025'!N234*'COMUNAS - HOME DELIVERY 2025'!$Q$7</f>
        <v>455.11200000000002</v>
      </c>
      <c r="O234" s="60"/>
      <c r="P234" s="2"/>
      <c r="Q234" s="2"/>
      <c r="R234" s="2"/>
      <c r="S234" s="2"/>
      <c r="T234" s="2"/>
      <c r="U234" s="2"/>
      <c r="V234" s="2"/>
      <c r="W234" s="2"/>
      <c r="X234" s="2"/>
      <c r="Y234" s="38"/>
    </row>
    <row r="235" spans="2:25" ht="15.75" customHeight="1" x14ac:dyDescent="0.3">
      <c r="B235" s="2"/>
      <c r="C235" s="61" t="s">
        <v>466</v>
      </c>
      <c r="D235" s="62" t="s">
        <v>527</v>
      </c>
      <c r="E235" s="63" t="s">
        <v>528</v>
      </c>
      <c r="F235" s="64">
        <f>+'COMUNAS - HOME DELIVERY 2025'!F235*'COMUNAS - HOME DELIVERY 2025'!$Q$7</f>
        <v>4582.08</v>
      </c>
      <c r="G235" s="65">
        <f>+'COMUNAS - HOME DELIVERY 2025'!G235*'COMUNAS - HOME DELIVERY 2025'!$Q$7</f>
        <v>4894.7759999999998</v>
      </c>
      <c r="H235" s="65">
        <f>+'COMUNAS - HOME DELIVERY 2025'!H235*'COMUNAS - HOME DELIVERY 2025'!$Q$7</f>
        <v>5442.768</v>
      </c>
      <c r="I235" s="65">
        <f>+'COMUNAS - HOME DELIVERY 2025'!I235*'COMUNAS - HOME DELIVERY 2025'!$Q$7</f>
        <v>6205.4160000000002</v>
      </c>
      <c r="J235" s="65">
        <f>+'COMUNAS - HOME DELIVERY 2025'!J235*'COMUNAS - HOME DELIVERY 2025'!$Q$7</f>
        <v>7553.2080000000005</v>
      </c>
      <c r="K235" s="65">
        <f>+'COMUNAS - HOME DELIVERY 2025'!K235*'COMUNAS - HOME DELIVERY 2025'!$Q$7</f>
        <v>8922.6720000000005</v>
      </c>
      <c r="L235" s="65">
        <f>+'COMUNAS - HOME DELIVERY 2025'!L235*'COMUNAS - HOME DELIVERY 2025'!$Q$7</f>
        <v>10162.104000000001</v>
      </c>
      <c r="M235" s="66">
        <f>+'COMUNAS - HOME DELIVERY 2025'!M235*'COMUNAS - HOME DELIVERY 2025'!$Q$7</f>
        <v>567.6</v>
      </c>
      <c r="N235" s="67">
        <f>+'COMUNAS - HOME DELIVERY 2025'!N235*'COMUNAS - HOME DELIVERY 2025'!$Q$7</f>
        <v>462.33600000000001</v>
      </c>
      <c r="O235" s="60"/>
      <c r="P235" s="2"/>
      <c r="Q235" s="2"/>
      <c r="R235" s="2"/>
      <c r="S235" s="2"/>
      <c r="T235" s="2"/>
      <c r="U235" s="2"/>
      <c r="V235" s="2"/>
      <c r="W235" s="2"/>
      <c r="X235" s="2"/>
      <c r="Y235" s="38"/>
    </row>
    <row r="236" spans="2:25" ht="15.75" customHeight="1" thickBot="1" x14ac:dyDescent="0.35">
      <c r="B236" s="2"/>
      <c r="C236" s="68" t="s">
        <v>466</v>
      </c>
      <c r="D236" s="69" t="s">
        <v>529</v>
      </c>
      <c r="E236" s="70" t="s">
        <v>530</v>
      </c>
      <c r="F236" s="71">
        <f>+'COMUNAS - HOME DELIVERY 2025'!F236*'COMUNAS - HOME DELIVERY 2025'!$Q$7</f>
        <v>4582.08</v>
      </c>
      <c r="G236" s="72">
        <f>+'COMUNAS - HOME DELIVERY 2025'!G236*'COMUNAS - HOME DELIVERY 2025'!$Q$7</f>
        <v>4894.7759999999998</v>
      </c>
      <c r="H236" s="72">
        <f>+'COMUNAS - HOME DELIVERY 2025'!H236*'COMUNAS - HOME DELIVERY 2025'!$Q$7</f>
        <v>5442.768</v>
      </c>
      <c r="I236" s="72">
        <f>+'COMUNAS - HOME DELIVERY 2025'!I236*'COMUNAS - HOME DELIVERY 2025'!$Q$7</f>
        <v>6205.4160000000002</v>
      </c>
      <c r="J236" s="72">
        <f>+'COMUNAS - HOME DELIVERY 2025'!J236*'COMUNAS - HOME DELIVERY 2025'!$Q$7</f>
        <v>7553.2080000000005</v>
      </c>
      <c r="K236" s="72">
        <f>+'COMUNAS - HOME DELIVERY 2025'!K236*'COMUNAS - HOME DELIVERY 2025'!$Q$7</f>
        <v>8922.6720000000005</v>
      </c>
      <c r="L236" s="72">
        <f>+'COMUNAS - HOME DELIVERY 2025'!L236*'COMUNAS - HOME DELIVERY 2025'!$Q$7</f>
        <v>10162.104000000001</v>
      </c>
      <c r="M236" s="73">
        <f>+'COMUNAS - HOME DELIVERY 2025'!M236*'COMUNAS - HOME DELIVERY 2025'!$Q$7</f>
        <v>567.6</v>
      </c>
      <c r="N236" s="74">
        <f>+'COMUNAS - HOME DELIVERY 2025'!N236*'COMUNAS - HOME DELIVERY 2025'!$Q$7</f>
        <v>462.33600000000001</v>
      </c>
      <c r="O236" s="60"/>
      <c r="P236" s="2"/>
      <c r="Q236" s="2"/>
      <c r="R236" s="2"/>
      <c r="S236" s="2"/>
      <c r="T236" s="2"/>
      <c r="U236" s="2"/>
      <c r="V236" s="2"/>
      <c r="W236" s="2"/>
      <c r="X236" s="2"/>
      <c r="Y236" s="38"/>
    </row>
    <row r="237" spans="2:25" ht="15.75" customHeight="1" x14ac:dyDescent="0.3">
      <c r="B237" s="2"/>
      <c r="C237" s="75" t="s">
        <v>531</v>
      </c>
      <c r="D237" s="76" t="s">
        <v>532</v>
      </c>
      <c r="E237" s="77" t="s">
        <v>47</v>
      </c>
      <c r="F237" s="64">
        <f>+'COMUNAS - HOME DELIVERY 2025'!F237*'COMUNAS - HOME DELIVERY 2025'!$Q$7</f>
        <v>4751.3280000000004</v>
      </c>
      <c r="G237" s="65">
        <f>+'COMUNAS - HOME DELIVERY 2025'!G237*'COMUNAS - HOME DELIVERY 2025'!$Q$7</f>
        <v>4993.848</v>
      </c>
      <c r="H237" s="65">
        <f>+'COMUNAS - HOME DELIVERY 2025'!H237*'COMUNAS - HOME DELIVERY 2025'!$Q$7</f>
        <v>5563.5119999999997</v>
      </c>
      <c r="I237" s="65">
        <f>+'COMUNAS - HOME DELIVERY 2025'!I237*'COMUNAS - HOME DELIVERY 2025'!$Q$7</f>
        <v>6304.4880000000003</v>
      </c>
      <c r="J237" s="65">
        <f>+'COMUNAS - HOME DELIVERY 2025'!J237*'COMUNAS - HOME DELIVERY 2025'!$Q$7</f>
        <v>7805.0160000000005</v>
      </c>
      <c r="K237" s="65">
        <f>+'COMUNAS - HOME DELIVERY 2025'!K237*'COMUNAS - HOME DELIVERY 2025'!$Q$7</f>
        <v>9202.344000000001</v>
      </c>
      <c r="L237" s="65">
        <f>+'COMUNAS - HOME DELIVERY 2025'!L237*'COMUNAS - HOME DELIVERY 2025'!$Q$7</f>
        <v>10444.871999999999</v>
      </c>
      <c r="M237" s="66">
        <f>+'COMUNAS - HOME DELIVERY 2025'!M237*'COMUNAS - HOME DELIVERY 2025'!$Q$7</f>
        <v>569.66399999999999</v>
      </c>
      <c r="N237" s="67">
        <f>+'COMUNAS - HOME DELIVERY 2025'!N237*'COMUNAS - HOME DELIVERY 2025'!$Q$7</f>
        <v>465.43200000000002</v>
      </c>
      <c r="O237" s="60"/>
      <c r="P237" s="2"/>
      <c r="Q237" s="2"/>
      <c r="R237" s="2"/>
      <c r="S237" s="2"/>
      <c r="T237" s="2"/>
      <c r="U237" s="2"/>
      <c r="V237" s="2"/>
      <c r="W237" s="2"/>
      <c r="X237" s="2"/>
      <c r="Y237" s="38"/>
    </row>
    <row r="238" spans="2:25" ht="15.75" customHeight="1" x14ac:dyDescent="0.3">
      <c r="B238" s="2"/>
      <c r="C238" s="61" t="s">
        <v>531</v>
      </c>
      <c r="D238" s="62" t="s">
        <v>533</v>
      </c>
      <c r="E238" s="63" t="s">
        <v>534</v>
      </c>
      <c r="F238" s="64">
        <f>+'COMUNAS - HOME DELIVERY 2025'!F238*'COMUNAS - HOME DELIVERY 2025'!$Q$7</f>
        <v>4582.08</v>
      </c>
      <c r="G238" s="65">
        <f>+'COMUNAS - HOME DELIVERY 2025'!G238*'COMUNAS - HOME DELIVERY 2025'!$Q$7</f>
        <v>4894.7759999999998</v>
      </c>
      <c r="H238" s="65">
        <f>+'COMUNAS - HOME DELIVERY 2025'!H238*'COMUNAS - HOME DELIVERY 2025'!$Q$7</f>
        <v>5442.768</v>
      </c>
      <c r="I238" s="65">
        <f>+'COMUNAS - HOME DELIVERY 2025'!I238*'COMUNAS - HOME DELIVERY 2025'!$Q$7</f>
        <v>6205.4160000000002</v>
      </c>
      <c r="J238" s="65">
        <f>+'COMUNAS - HOME DELIVERY 2025'!J238*'COMUNAS - HOME DELIVERY 2025'!$Q$7</f>
        <v>7553.2080000000005</v>
      </c>
      <c r="K238" s="65">
        <f>+'COMUNAS - HOME DELIVERY 2025'!K238*'COMUNAS - HOME DELIVERY 2025'!$Q$7</f>
        <v>8922.6720000000005</v>
      </c>
      <c r="L238" s="65">
        <f>+'COMUNAS - HOME DELIVERY 2025'!L238*'COMUNAS - HOME DELIVERY 2025'!$Q$7</f>
        <v>10162.104000000001</v>
      </c>
      <c r="M238" s="66">
        <f>+'COMUNAS - HOME DELIVERY 2025'!M238*'COMUNAS - HOME DELIVERY 2025'!$Q$7</f>
        <v>567.6</v>
      </c>
      <c r="N238" s="67">
        <f>+'COMUNAS - HOME DELIVERY 2025'!N238*'COMUNAS - HOME DELIVERY 2025'!$Q$7</f>
        <v>462.33600000000001</v>
      </c>
      <c r="O238" s="60"/>
      <c r="P238" s="2"/>
      <c r="Q238" s="2"/>
      <c r="R238" s="2"/>
      <c r="S238" s="2"/>
      <c r="T238" s="2"/>
      <c r="U238" s="2"/>
      <c r="V238" s="2"/>
      <c r="W238" s="2"/>
      <c r="X238" s="2"/>
      <c r="Y238" s="38"/>
    </row>
    <row r="239" spans="2:25" ht="15.75" customHeight="1" x14ac:dyDescent="0.3">
      <c r="B239" s="2"/>
      <c r="C239" s="61" t="s">
        <v>531</v>
      </c>
      <c r="D239" s="62" t="s">
        <v>535</v>
      </c>
      <c r="E239" s="63" t="s">
        <v>536</v>
      </c>
      <c r="F239" s="64">
        <f>+'COMUNAS - HOME DELIVERY 2025'!F239*'COMUNAS - HOME DELIVERY 2025'!$Q$7</f>
        <v>4751.3280000000004</v>
      </c>
      <c r="G239" s="65">
        <f>+'COMUNAS - HOME DELIVERY 2025'!G239*'COMUNAS - HOME DELIVERY 2025'!$Q$7</f>
        <v>4993.848</v>
      </c>
      <c r="H239" s="65">
        <f>+'COMUNAS - HOME DELIVERY 2025'!H239*'COMUNAS - HOME DELIVERY 2025'!$Q$7</f>
        <v>5563.5119999999997</v>
      </c>
      <c r="I239" s="65">
        <f>+'COMUNAS - HOME DELIVERY 2025'!I239*'COMUNAS - HOME DELIVERY 2025'!$Q$7</f>
        <v>6304.4880000000003</v>
      </c>
      <c r="J239" s="65">
        <f>+'COMUNAS - HOME DELIVERY 2025'!J239*'COMUNAS - HOME DELIVERY 2025'!$Q$7</f>
        <v>7805.0160000000005</v>
      </c>
      <c r="K239" s="65">
        <f>+'COMUNAS - HOME DELIVERY 2025'!K239*'COMUNAS - HOME DELIVERY 2025'!$Q$7</f>
        <v>9202.344000000001</v>
      </c>
      <c r="L239" s="65">
        <f>+'COMUNAS - HOME DELIVERY 2025'!L239*'COMUNAS - HOME DELIVERY 2025'!$Q$7</f>
        <v>10444.871999999999</v>
      </c>
      <c r="M239" s="66">
        <f>+'COMUNAS - HOME DELIVERY 2025'!M239*'COMUNAS - HOME DELIVERY 2025'!$Q$7</f>
        <v>569.66399999999999</v>
      </c>
      <c r="N239" s="67">
        <f>+'COMUNAS - HOME DELIVERY 2025'!N239*'COMUNAS - HOME DELIVERY 2025'!$Q$7</f>
        <v>465.43200000000002</v>
      </c>
      <c r="O239" s="60"/>
      <c r="P239" s="136"/>
      <c r="R239" s="2"/>
      <c r="S239" s="2"/>
      <c r="T239" s="2"/>
      <c r="U239" s="2"/>
      <c r="V239" s="2"/>
      <c r="W239" s="2"/>
      <c r="X239" s="2"/>
      <c r="Y239" s="38"/>
    </row>
    <row r="240" spans="2:25" ht="15.75" customHeight="1" x14ac:dyDescent="0.3">
      <c r="B240" s="2"/>
      <c r="C240" s="61" t="s">
        <v>531</v>
      </c>
      <c r="D240" s="62" t="s">
        <v>537</v>
      </c>
      <c r="E240" s="63" t="s">
        <v>538</v>
      </c>
      <c r="F240" s="64">
        <f>+'COMUNAS - HOME DELIVERY 2025'!F240*'COMUNAS - HOME DELIVERY 2025'!$Q$7</f>
        <v>7126.9920000000002</v>
      </c>
      <c r="G240" s="65">
        <f>+'COMUNAS - HOME DELIVERY 2025'!G240*'COMUNAS - HOME DELIVERY 2025'!$Q$7</f>
        <v>7490.7719999999999</v>
      </c>
      <c r="H240" s="65">
        <f>+'COMUNAS - HOME DELIVERY 2025'!H240*'COMUNAS - HOME DELIVERY 2025'!$Q$7</f>
        <v>8345.268</v>
      </c>
      <c r="I240" s="65">
        <f>+'COMUNAS - HOME DELIVERY 2025'!I240*'COMUNAS - HOME DELIVERY 2025'!$Q$7</f>
        <v>9456.732</v>
      </c>
      <c r="J240" s="65">
        <f>+'COMUNAS - HOME DELIVERY 2025'!J240*'COMUNAS - HOME DELIVERY 2025'!$Q$7</f>
        <v>11707.523999999999</v>
      </c>
      <c r="K240" s="65">
        <f>+'COMUNAS - HOME DELIVERY 2025'!K240*'COMUNAS - HOME DELIVERY 2025'!$Q$7</f>
        <v>13803.516</v>
      </c>
      <c r="L240" s="65">
        <f>+'COMUNAS - HOME DELIVERY 2025'!L240*'COMUNAS - HOME DELIVERY 2025'!$Q$7</f>
        <v>15667.308000000001</v>
      </c>
      <c r="M240" s="66">
        <f>+'COMUNAS - HOME DELIVERY 2025'!M240*'COMUNAS - HOME DELIVERY 2025'!$Q$7</f>
        <v>854.49599999999998</v>
      </c>
      <c r="N240" s="67">
        <f>+'COMUNAS - HOME DELIVERY 2025'!N240*'COMUNAS - HOME DELIVERY 2025'!$Q$7</f>
        <v>698.14800000000002</v>
      </c>
      <c r="O240" s="60"/>
      <c r="S240" s="2"/>
      <c r="T240" s="2"/>
      <c r="U240" s="2"/>
      <c r="V240" s="2"/>
      <c r="W240" s="2"/>
      <c r="X240" s="2"/>
      <c r="Y240" s="38"/>
    </row>
    <row r="241" spans="2:25" ht="15.75" customHeight="1" x14ac:dyDescent="0.3">
      <c r="B241" s="2"/>
      <c r="C241" s="61" t="s">
        <v>531</v>
      </c>
      <c r="D241" s="62" t="s">
        <v>541</v>
      </c>
      <c r="E241" s="63" t="s">
        <v>542</v>
      </c>
      <c r="F241" s="64">
        <f>+'COMUNAS - HOME DELIVERY 2025'!F241*'COMUNAS - HOME DELIVERY 2025'!$Q$7</f>
        <v>4582.08</v>
      </c>
      <c r="G241" s="65">
        <f>+'COMUNAS - HOME DELIVERY 2025'!G241*'COMUNAS - HOME DELIVERY 2025'!$Q$7</f>
        <v>4894.7759999999998</v>
      </c>
      <c r="H241" s="65">
        <f>+'COMUNAS - HOME DELIVERY 2025'!H241*'COMUNAS - HOME DELIVERY 2025'!$Q$7</f>
        <v>5442.768</v>
      </c>
      <c r="I241" s="65">
        <f>+'COMUNAS - HOME DELIVERY 2025'!I241*'COMUNAS - HOME DELIVERY 2025'!$Q$7</f>
        <v>6205.4160000000002</v>
      </c>
      <c r="J241" s="65">
        <f>+'COMUNAS - HOME DELIVERY 2025'!J241*'COMUNAS - HOME DELIVERY 2025'!$Q$7</f>
        <v>7553.2080000000005</v>
      </c>
      <c r="K241" s="65">
        <f>+'COMUNAS - HOME DELIVERY 2025'!K241*'COMUNAS - HOME DELIVERY 2025'!$Q$7</f>
        <v>8922.6720000000005</v>
      </c>
      <c r="L241" s="65">
        <f>+'COMUNAS - HOME DELIVERY 2025'!L241*'COMUNAS - HOME DELIVERY 2025'!$Q$7</f>
        <v>10162.104000000001</v>
      </c>
      <c r="M241" s="66">
        <f>+'COMUNAS - HOME DELIVERY 2025'!M241*'COMUNAS - HOME DELIVERY 2025'!$Q$7</f>
        <v>567.6</v>
      </c>
      <c r="N241" s="67">
        <f>+'COMUNAS - HOME DELIVERY 2025'!N241*'COMUNAS - HOME DELIVERY 2025'!$Q$7</f>
        <v>462.33600000000001</v>
      </c>
      <c r="O241" s="60"/>
      <c r="S241" s="2"/>
      <c r="T241" s="2"/>
      <c r="U241" s="2"/>
      <c r="V241" s="2"/>
      <c r="W241" s="2"/>
      <c r="X241" s="2"/>
      <c r="Y241" s="38"/>
    </row>
    <row r="242" spans="2:25" ht="15.75" customHeight="1" x14ac:dyDescent="0.3">
      <c r="B242" s="2"/>
      <c r="C242" s="61" t="s">
        <v>531</v>
      </c>
      <c r="D242" s="62" t="s">
        <v>543</v>
      </c>
      <c r="E242" s="63" t="s">
        <v>544</v>
      </c>
      <c r="F242" s="64">
        <f>+'COMUNAS - HOME DELIVERY 2025'!F242*'COMUNAS - HOME DELIVERY 2025'!$Q$7</f>
        <v>4751.3280000000004</v>
      </c>
      <c r="G242" s="65">
        <f>+'COMUNAS - HOME DELIVERY 2025'!G242*'COMUNAS - HOME DELIVERY 2025'!$Q$7</f>
        <v>4993.848</v>
      </c>
      <c r="H242" s="65">
        <f>+'COMUNAS - HOME DELIVERY 2025'!H242*'COMUNAS - HOME DELIVERY 2025'!$Q$7</f>
        <v>5563.5119999999997</v>
      </c>
      <c r="I242" s="65">
        <f>+'COMUNAS - HOME DELIVERY 2025'!I242*'COMUNAS - HOME DELIVERY 2025'!$Q$7</f>
        <v>6304.4880000000003</v>
      </c>
      <c r="J242" s="65">
        <f>+'COMUNAS - HOME DELIVERY 2025'!J242*'COMUNAS - HOME DELIVERY 2025'!$Q$7</f>
        <v>7805.0160000000005</v>
      </c>
      <c r="K242" s="65">
        <f>+'COMUNAS - HOME DELIVERY 2025'!K242*'COMUNAS - HOME DELIVERY 2025'!$Q$7</f>
        <v>9202.344000000001</v>
      </c>
      <c r="L242" s="65">
        <f>+'COMUNAS - HOME DELIVERY 2025'!L242*'COMUNAS - HOME DELIVERY 2025'!$Q$7</f>
        <v>10444.871999999999</v>
      </c>
      <c r="M242" s="66">
        <f>+'COMUNAS - HOME DELIVERY 2025'!M242*'COMUNAS - HOME DELIVERY 2025'!$Q$7</f>
        <v>569.66399999999999</v>
      </c>
      <c r="N242" s="67">
        <f>+'COMUNAS - HOME DELIVERY 2025'!N242*'COMUNAS - HOME DELIVERY 2025'!$Q$7</f>
        <v>465.43200000000002</v>
      </c>
      <c r="O242" s="60"/>
      <c r="R242" s="2"/>
      <c r="S242" s="2"/>
      <c r="T242" s="2"/>
      <c r="U242" s="2"/>
      <c r="V242" s="2"/>
      <c r="W242" s="2"/>
      <c r="X242" s="2"/>
      <c r="Y242" s="38"/>
    </row>
    <row r="243" spans="2:25" ht="15.75" customHeight="1" x14ac:dyDescent="0.3">
      <c r="B243" s="2"/>
      <c r="C243" s="61" t="s">
        <v>531</v>
      </c>
      <c r="D243" s="62" t="s">
        <v>545</v>
      </c>
      <c r="E243" s="63" t="s">
        <v>546</v>
      </c>
      <c r="F243" s="64">
        <f>+'COMUNAS - HOME DELIVERY 2025'!F243*'COMUNAS - HOME DELIVERY 2025'!$Q$7</f>
        <v>7126.9920000000002</v>
      </c>
      <c r="G243" s="65">
        <f>+'COMUNAS - HOME DELIVERY 2025'!G243*'COMUNAS - HOME DELIVERY 2025'!$Q$7</f>
        <v>7490.7719999999999</v>
      </c>
      <c r="H243" s="65">
        <f>+'COMUNAS - HOME DELIVERY 2025'!H243*'COMUNAS - HOME DELIVERY 2025'!$Q$7</f>
        <v>8345.268</v>
      </c>
      <c r="I243" s="65">
        <f>+'COMUNAS - HOME DELIVERY 2025'!I243*'COMUNAS - HOME DELIVERY 2025'!$Q$7</f>
        <v>9456.732</v>
      </c>
      <c r="J243" s="65">
        <f>+'COMUNAS - HOME DELIVERY 2025'!J243*'COMUNAS - HOME DELIVERY 2025'!$Q$7</f>
        <v>11707.523999999999</v>
      </c>
      <c r="K243" s="65">
        <f>+'COMUNAS - HOME DELIVERY 2025'!K243*'COMUNAS - HOME DELIVERY 2025'!$Q$7</f>
        <v>13803.516</v>
      </c>
      <c r="L243" s="65">
        <f>+'COMUNAS - HOME DELIVERY 2025'!L243*'COMUNAS - HOME DELIVERY 2025'!$Q$7</f>
        <v>15667.308000000001</v>
      </c>
      <c r="M243" s="66">
        <f>+'COMUNAS - HOME DELIVERY 2025'!M243*'COMUNAS - HOME DELIVERY 2025'!$Q$7</f>
        <v>854.49599999999998</v>
      </c>
      <c r="N243" s="67">
        <f>+'COMUNAS - HOME DELIVERY 2025'!N243*'COMUNAS - HOME DELIVERY 2025'!$Q$7</f>
        <v>698.14800000000002</v>
      </c>
      <c r="O243" s="60"/>
      <c r="R243" s="2"/>
      <c r="S243" s="2"/>
      <c r="T243" s="2"/>
      <c r="U243" s="2"/>
      <c r="V243" s="2"/>
      <c r="W243" s="2"/>
      <c r="X243" s="2"/>
      <c r="Y243" s="38"/>
    </row>
    <row r="244" spans="2:25" ht="15.75" customHeight="1" x14ac:dyDescent="0.3">
      <c r="B244" s="2"/>
      <c r="C244" s="61" t="s">
        <v>531</v>
      </c>
      <c r="D244" s="62" t="s">
        <v>547</v>
      </c>
      <c r="E244" s="63" t="s">
        <v>548</v>
      </c>
      <c r="F244" s="64">
        <f>+'COMUNAS - HOME DELIVERY 2025'!F244*'COMUNAS - HOME DELIVERY 2025'!$Q$7</f>
        <v>7126.9920000000002</v>
      </c>
      <c r="G244" s="65">
        <f>+'COMUNAS - HOME DELIVERY 2025'!G244*'COMUNAS - HOME DELIVERY 2025'!$Q$7</f>
        <v>7490.7719999999999</v>
      </c>
      <c r="H244" s="65">
        <f>+'COMUNAS - HOME DELIVERY 2025'!H244*'COMUNAS - HOME DELIVERY 2025'!$Q$7</f>
        <v>8345.268</v>
      </c>
      <c r="I244" s="65">
        <f>+'COMUNAS - HOME DELIVERY 2025'!I244*'COMUNAS - HOME DELIVERY 2025'!$Q$7</f>
        <v>9456.732</v>
      </c>
      <c r="J244" s="65">
        <f>+'COMUNAS - HOME DELIVERY 2025'!J244*'COMUNAS - HOME DELIVERY 2025'!$Q$7</f>
        <v>11707.523999999999</v>
      </c>
      <c r="K244" s="65">
        <f>+'COMUNAS - HOME DELIVERY 2025'!K244*'COMUNAS - HOME DELIVERY 2025'!$Q$7</f>
        <v>13803.516</v>
      </c>
      <c r="L244" s="65">
        <f>+'COMUNAS - HOME DELIVERY 2025'!L244*'COMUNAS - HOME DELIVERY 2025'!$Q$7</f>
        <v>15667.308000000001</v>
      </c>
      <c r="M244" s="66">
        <f>+'COMUNAS - HOME DELIVERY 2025'!M244*'COMUNAS - HOME DELIVERY 2025'!$Q$7</f>
        <v>854.49599999999998</v>
      </c>
      <c r="N244" s="67">
        <f>+'COMUNAS - HOME DELIVERY 2025'!N244*'COMUNAS - HOME DELIVERY 2025'!$Q$7</f>
        <v>698.14800000000002</v>
      </c>
      <c r="O244" s="60"/>
      <c r="R244" s="2"/>
      <c r="S244" s="2"/>
      <c r="T244" s="2"/>
      <c r="U244" s="2"/>
      <c r="V244" s="2"/>
      <c r="W244" s="2"/>
      <c r="X244" s="2"/>
      <c r="Y244" s="38"/>
    </row>
    <row r="245" spans="2:25" ht="15.75" customHeight="1" x14ac:dyDescent="0.3">
      <c r="B245" s="2"/>
      <c r="C245" s="61" t="s">
        <v>531</v>
      </c>
      <c r="D245" s="62" t="s">
        <v>549</v>
      </c>
      <c r="E245" s="63" t="s">
        <v>550</v>
      </c>
      <c r="F245" s="64">
        <f>+'COMUNAS - HOME DELIVERY 2025'!F245*'COMUNAS - HOME DELIVERY 2025'!$Q$7</f>
        <v>4751.3280000000004</v>
      </c>
      <c r="G245" s="65">
        <f>+'COMUNAS - HOME DELIVERY 2025'!G245*'COMUNAS - HOME DELIVERY 2025'!$Q$7</f>
        <v>4993.848</v>
      </c>
      <c r="H245" s="65">
        <f>+'COMUNAS - HOME DELIVERY 2025'!H245*'COMUNAS - HOME DELIVERY 2025'!$Q$7</f>
        <v>5563.5119999999997</v>
      </c>
      <c r="I245" s="65">
        <f>+'COMUNAS - HOME DELIVERY 2025'!I245*'COMUNAS - HOME DELIVERY 2025'!$Q$7</f>
        <v>6304.4880000000003</v>
      </c>
      <c r="J245" s="65">
        <f>+'COMUNAS - HOME DELIVERY 2025'!J245*'COMUNAS - HOME DELIVERY 2025'!$Q$7</f>
        <v>7805.0160000000005</v>
      </c>
      <c r="K245" s="65">
        <f>+'COMUNAS - HOME DELIVERY 2025'!K245*'COMUNAS - HOME DELIVERY 2025'!$Q$7</f>
        <v>9202.344000000001</v>
      </c>
      <c r="L245" s="65">
        <f>+'COMUNAS - HOME DELIVERY 2025'!L245*'COMUNAS - HOME DELIVERY 2025'!$Q$7</f>
        <v>10444.871999999999</v>
      </c>
      <c r="M245" s="66">
        <f>+'COMUNAS - HOME DELIVERY 2025'!M245*'COMUNAS - HOME DELIVERY 2025'!$Q$7</f>
        <v>569.66399999999999</v>
      </c>
      <c r="N245" s="67">
        <f>+'COMUNAS - HOME DELIVERY 2025'!N245*'COMUNAS - HOME DELIVERY 2025'!$Q$7</f>
        <v>465.43200000000002</v>
      </c>
      <c r="O245" s="60"/>
      <c r="R245" s="2"/>
      <c r="S245" s="2"/>
      <c r="T245" s="2"/>
      <c r="U245" s="2"/>
      <c r="V245" s="2"/>
      <c r="W245" s="2"/>
      <c r="X245" s="2"/>
      <c r="Y245" s="38"/>
    </row>
    <row r="246" spans="2:25" ht="15.75" customHeight="1" x14ac:dyDescent="0.3">
      <c r="B246" s="2"/>
      <c r="C246" s="61" t="s">
        <v>531</v>
      </c>
      <c r="D246" s="62" t="s">
        <v>551</v>
      </c>
      <c r="E246" s="63" t="s">
        <v>552</v>
      </c>
      <c r="F246" s="64">
        <f>+'COMUNAS - HOME DELIVERY 2025'!F246*'COMUNAS - HOME DELIVERY 2025'!$Q$7</f>
        <v>4751.3280000000004</v>
      </c>
      <c r="G246" s="65">
        <f>+'COMUNAS - HOME DELIVERY 2025'!G246*'COMUNAS - HOME DELIVERY 2025'!$Q$7</f>
        <v>4993.848</v>
      </c>
      <c r="H246" s="65">
        <f>+'COMUNAS - HOME DELIVERY 2025'!H246*'COMUNAS - HOME DELIVERY 2025'!$Q$7</f>
        <v>5563.5119999999997</v>
      </c>
      <c r="I246" s="65">
        <f>+'COMUNAS - HOME DELIVERY 2025'!I246*'COMUNAS - HOME DELIVERY 2025'!$Q$7</f>
        <v>6304.4880000000003</v>
      </c>
      <c r="J246" s="65">
        <f>+'COMUNAS - HOME DELIVERY 2025'!J246*'COMUNAS - HOME DELIVERY 2025'!$Q$7</f>
        <v>7805.0160000000005</v>
      </c>
      <c r="K246" s="65">
        <f>+'COMUNAS - HOME DELIVERY 2025'!K246*'COMUNAS - HOME DELIVERY 2025'!$Q$7</f>
        <v>9202.344000000001</v>
      </c>
      <c r="L246" s="65">
        <f>+'COMUNAS - HOME DELIVERY 2025'!L246*'COMUNAS - HOME DELIVERY 2025'!$Q$7</f>
        <v>10444.871999999999</v>
      </c>
      <c r="M246" s="66">
        <f>+'COMUNAS - HOME DELIVERY 2025'!M246*'COMUNAS - HOME DELIVERY 2025'!$Q$7</f>
        <v>569.66399999999999</v>
      </c>
      <c r="N246" s="67">
        <f>+'COMUNAS - HOME DELIVERY 2025'!N246*'COMUNAS - HOME DELIVERY 2025'!$Q$7</f>
        <v>465.43200000000002</v>
      </c>
      <c r="O246" s="60"/>
      <c r="R246" s="2"/>
      <c r="S246" s="2"/>
      <c r="T246" s="2"/>
      <c r="U246" s="2"/>
      <c r="V246" s="2"/>
      <c r="W246" s="2"/>
      <c r="X246" s="2"/>
      <c r="Y246" s="38"/>
    </row>
    <row r="247" spans="2:25" ht="15.75" customHeight="1" x14ac:dyDescent="0.3">
      <c r="B247" s="2"/>
      <c r="C247" s="61" t="s">
        <v>531</v>
      </c>
      <c r="D247" s="62" t="s">
        <v>553</v>
      </c>
      <c r="E247" s="63" t="s">
        <v>554</v>
      </c>
      <c r="F247" s="64">
        <f>+'COMUNAS - HOME DELIVERY 2025'!F247*'COMUNAS - HOME DELIVERY 2025'!$Q$7</f>
        <v>4751.3280000000004</v>
      </c>
      <c r="G247" s="65">
        <f>+'COMUNAS - HOME DELIVERY 2025'!G247*'COMUNAS - HOME DELIVERY 2025'!$Q$7</f>
        <v>4993.848</v>
      </c>
      <c r="H247" s="65">
        <f>+'COMUNAS - HOME DELIVERY 2025'!H247*'COMUNAS - HOME DELIVERY 2025'!$Q$7</f>
        <v>5563.5119999999997</v>
      </c>
      <c r="I247" s="65">
        <f>+'COMUNAS - HOME DELIVERY 2025'!I247*'COMUNAS - HOME DELIVERY 2025'!$Q$7</f>
        <v>6304.4880000000003</v>
      </c>
      <c r="J247" s="65">
        <f>+'COMUNAS - HOME DELIVERY 2025'!J247*'COMUNAS - HOME DELIVERY 2025'!$Q$7</f>
        <v>7805.0160000000005</v>
      </c>
      <c r="K247" s="65">
        <f>+'COMUNAS - HOME DELIVERY 2025'!K247*'COMUNAS - HOME DELIVERY 2025'!$Q$7</f>
        <v>9202.344000000001</v>
      </c>
      <c r="L247" s="65">
        <f>+'COMUNAS - HOME DELIVERY 2025'!L247*'COMUNAS - HOME DELIVERY 2025'!$Q$7</f>
        <v>10444.871999999999</v>
      </c>
      <c r="M247" s="66">
        <f>+'COMUNAS - HOME DELIVERY 2025'!M247*'COMUNAS - HOME DELIVERY 2025'!$Q$7</f>
        <v>569.66399999999999</v>
      </c>
      <c r="N247" s="67">
        <f>+'COMUNAS - HOME DELIVERY 2025'!N247*'COMUNAS - HOME DELIVERY 2025'!$Q$7</f>
        <v>465.43200000000002</v>
      </c>
      <c r="O247" s="60"/>
      <c r="R247" s="2"/>
      <c r="S247" s="2"/>
      <c r="T247" s="2"/>
      <c r="U247" s="2"/>
      <c r="V247" s="2"/>
      <c r="W247" s="2"/>
      <c r="X247" s="2"/>
      <c r="Y247" s="38"/>
    </row>
    <row r="248" spans="2:25" ht="15.75" customHeight="1" x14ac:dyDescent="0.3">
      <c r="B248" s="2"/>
      <c r="C248" s="61" t="s">
        <v>531</v>
      </c>
      <c r="D248" s="62" t="s">
        <v>555</v>
      </c>
      <c r="E248" s="63" t="s">
        <v>556</v>
      </c>
      <c r="F248" s="64">
        <f>+'COMUNAS - HOME DELIVERY 2025'!F248*'COMUNAS - HOME DELIVERY 2025'!$Q$7</f>
        <v>4751.3280000000004</v>
      </c>
      <c r="G248" s="65">
        <f>+'COMUNAS - HOME DELIVERY 2025'!G248*'COMUNAS - HOME DELIVERY 2025'!$Q$7</f>
        <v>4993.848</v>
      </c>
      <c r="H248" s="65">
        <f>+'COMUNAS - HOME DELIVERY 2025'!H248*'COMUNAS - HOME DELIVERY 2025'!$Q$7</f>
        <v>5563.5119999999997</v>
      </c>
      <c r="I248" s="65">
        <f>+'COMUNAS - HOME DELIVERY 2025'!I248*'COMUNAS - HOME DELIVERY 2025'!$Q$7</f>
        <v>6304.4880000000003</v>
      </c>
      <c r="J248" s="65">
        <f>+'COMUNAS - HOME DELIVERY 2025'!J248*'COMUNAS - HOME DELIVERY 2025'!$Q$7</f>
        <v>7805.0160000000005</v>
      </c>
      <c r="K248" s="65">
        <f>+'COMUNAS - HOME DELIVERY 2025'!K248*'COMUNAS - HOME DELIVERY 2025'!$Q$7</f>
        <v>9202.344000000001</v>
      </c>
      <c r="L248" s="65">
        <f>+'COMUNAS - HOME DELIVERY 2025'!L248*'COMUNAS - HOME DELIVERY 2025'!$Q$7</f>
        <v>10444.871999999999</v>
      </c>
      <c r="M248" s="66">
        <f>+'COMUNAS - HOME DELIVERY 2025'!M248*'COMUNAS - HOME DELIVERY 2025'!$Q$7</f>
        <v>569.66399999999999</v>
      </c>
      <c r="N248" s="67">
        <f>+'COMUNAS - HOME DELIVERY 2025'!N248*'COMUNAS - HOME DELIVERY 2025'!$Q$7</f>
        <v>465.43200000000002</v>
      </c>
      <c r="O248" s="60"/>
      <c r="R248" s="2"/>
      <c r="S248" s="2"/>
      <c r="T248" s="2"/>
      <c r="U248" s="2"/>
      <c r="V248" s="2"/>
      <c r="W248" s="2"/>
      <c r="X248" s="2"/>
      <c r="Y248" s="38"/>
    </row>
    <row r="249" spans="2:25" ht="15.75" customHeight="1" x14ac:dyDescent="0.3">
      <c r="B249" s="2"/>
      <c r="C249" s="61" t="s">
        <v>531</v>
      </c>
      <c r="D249" s="62" t="s">
        <v>557</v>
      </c>
      <c r="E249" s="63" t="s">
        <v>558</v>
      </c>
      <c r="F249" s="64">
        <f>+'COMUNAS - HOME DELIVERY 2025'!F249*'COMUNAS - HOME DELIVERY 2025'!$Q$7</f>
        <v>4751.3280000000004</v>
      </c>
      <c r="G249" s="65">
        <f>+'COMUNAS - HOME DELIVERY 2025'!G249*'COMUNAS - HOME DELIVERY 2025'!$Q$7</f>
        <v>4993.848</v>
      </c>
      <c r="H249" s="65">
        <f>+'COMUNAS - HOME DELIVERY 2025'!H249*'COMUNAS - HOME DELIVERY 2025'!$Q$7</f>
        <v>5563.5119999999997</v>
      </c>
      <c r="I249" s="65">
        <f>+'COMUNAS - HOME DELIVERY 2025'!I249*'COMUNAS - HOME DELIVERY 2025'!$Q$7</f>
        <v>6304.4880000000003</v>
      </c>
      <c r="J249" s="65">
        <f>+'COMUNAS - HOME DELIVERY 2025'!J249*'COMUNAS - HOME DELIVERY 2025'!$Q$7</f>
        <v>7805.0160000000005</v>
      </c>
      <c r="K249" s="65">
        <f>+'COMUNAS - HOME DELIVERY 2025'!K249*'COMUNAS - HOME DELIVERY 2025'!$Q$7</f>
        <v>9202.344000000001</v>
      </c>
      <c r="L249" s="65">
        <f>+'COMUNAS - HOME DELIVERY 2025'!L249*'COMUNAS - HOME DELIVERY 2025'!$Q$7</f>
        <v>10444.871999999999</v>
      </c>
      <c r="M249" s="66">
        <f>+'COMUNAS - HOME DELIVERY 2025'!M249*'COMUNAS - HOME DELIVERY 2025'!$Q$7</f>
        <v>569.66399999999999</v>
      </c>
      <c r="N249" s="67">
        <f>+'COMUNAS - HOME DELIVERY 2025'!N249*'COMUNAS - HOME DELIVERY 2025'!$Q$7</f>
        <v>465.43200000000002</v>
      </c>
      <c r="R249" s="2"/>
      <c r="S249" s="2"/>
      <c r="T249" s="2"/>
      <c r="U249" s="2"/>
      <c r="V249" s="2"/>
      <c r="W249" s="2"/>
      <c r="X249" s="2"/>
      <c r="Y249" s="38"/>
    </row>
    <row r="250" spans="2:25" ht="15.75" customHeight="1" x14ac:dyDescent="0.3">
      <c r="B250" s="2"/>
      <c r="C250" s="61" t="s">
        <v>531</v>
      </c>
      <c r="D250" s="62" t="s">
        <v>559</v>
      </c>
      <c r="E250" s="63" t="s">
        <v>560</v>
      </c>
      <c r="F250" s="64">
        <f>+'COMUNAS - HOME DELIVERY 2025'!F250*'COMUNAS - HOME DELIVERY 2025'!$Q$7</f>
        <v>4751.3280000000004</v>
      </c>
      <c r="G250" s="65">
        <f>+'COMUNAS - HOME DELIVERY 2025'!G250*'COMUNAS - HOME DELIVERY 2025'!$Q$7</f>
        <v>4993.848</v>
      </c>
      <c r="H250" s="65">
        <f>+'COMUNAS - HOME DELIVERY 2025'!H250*'COMUNAS - HOME DELIVERY 2025'!$Q$7</f>
        <v>5563.5119999999997</v>
      </c>
      <c r="I250" s="65">
        <f>+'COMUNAS - HOME DELIVERY 2025'!I250*'COMUNAS - HOME DELIVERY 2025'!$Q$7</f>
        <v>6304.4880000000003</v>
      </c>
      <c r="J250" s="65">
        <f>+'COMUNAS - HOME DELIVERY 2025'!J250*'COMUNAS - HOME DELIVERY 2025'!$Q$7</f>
        <v>7805.0160000000005</v>
      </c>
      <c r="K250" s="65">
        <f>+'COMUNAS - HOME DELIVERY 2025'!K250*'COMUNAS - HOME DELIVERY 2025'!$Q$7</f>
        <v>9202.344000000001</v>
      </c>
      <c r="L250" s="65">
        <f>+'COMUNAS - HOME DELIVERY 2025'!L250*'COMUNAS - HOME DELIVERY 2025'!$Q$7</f>
        <v>10444.871999999999</v>
      </c>
      <c r="M250" s="66">
        <f>+'COMUNAS - HOME DELIVERY 2025'!M250*'COMUNAS - HOME DELIVERY 2025'!$Q$7</f>
        <v>569.66399999999999</v>
      </c>
      <c r="N250" s="67">
        <f>+'COMUNAS - HOME DELIVERY 2025'!N250*'COMUNAS - HOME DELIVERY 2025'!$Q$7</f>
        <v>465.43200000000002</v>
      </c>
      <c r="O250" s="60"/>
      <c r="R250" s="2"/>
      <c r="S250" s="2"/>
      <c r="T250" s="2"/>
      <c r="U250" s="2"/>
      <c r="V250" s="2"/>
      <c r="W250" s="2"/>
      <c r="X250" s="2"/>
      <c r="Y250" s="38"/>
    </row>
    <row r="251" spans="2:25" ht="15.75" customHeight="1" x14ac:dyDescent="0.3">
      <c r="B251" s="2"/>
      <c r="C251" s="61" t="s">
        <v>531</v>
      </c>
      <c r="D251" s="62" t="s">
        <v>561</v>
      </c>
      <c r="E251" s="63" t="s">
        <v>562</v>
      </c>
      <c r="F251" s="64">
        <f>+'COMUNAS - HOME DELIVERY 2025'!F251*'COMUNAS - HOME DELIVERY 2025'!$Q$7</f>
        <v>7126.9920000000002</v>
      </c>
      <c r="G251" s="65">
        <f>+'COMUNAS - HOME DELIVERY 2025'!G251*'COMUNAS - HOME DELIVERY 2025'!$Q$7</f>
        <v>7490.7719999999999</v>
      </c>
      <c r="H251" s="65">
        <f>+'COMUNAS - HOME DELIVERY 2025'!H251*'COMUNAS - HOME DELIVERY 2025'!$Q$7</f>
        <v>8345.268</v>
      </c>
      <c r="I251" s="65">
        <f>+'COMUNAS - HOME DELIVERY 2025'!I251*'COMUNAS - HOME DELIVERY 2025'!$Q$7</f>
        <v>9456.732</v>
      </c>
      <c r="J251" s="65">
        <f>+'COMUNAS - HOME DELIVERY 2025'!J251*'COMUNAS - HOME DELIVERY 2025'!$Q$7</f>
        <v>11707.523999999999</v>
      </c>
      <c r="K251" s="65">
        <f>+'COMUNAS - HOME DELIVERY 2025'!K251*'COMUNAS - HOME DELIVERY 2025'!$Q$7</f>
        <v>13803.516</v>
      </c>
      <c r="L251" s="65">
        <f>+'COMUNAS - HOME DELIVERY 2025'!L251*'COMUNAS - HOME DELIVERY 2025'!$Q$7</f>
        <v>15667.308000000001</v>
      </c>
      <c r="M251" s="66">
        <f>+'COMUNAS - HOME DELIVERY 2025'!M251*'COMUNAS - HOME DELIVERY 2025'!$Q$7</f>
        <v>854.49599999999998</v>
      </c>
      <c r="N251" s="67">
        <f>+'COMUNAS - HOME DELIVERY 2025'!N251*'COMUNAS - HOME DELIVERY 2025'!$Q$7</f>
        <v>698.14800000000002</v>
      </c>
      <c r="O251" s="60"/>
      <c r="R251" s="2"/>
      <c r="S251" s="2"/>
      <c r="T251" s="2"/>
      <c r="U251" s="2"/>
      <c r="V251" s="2"/>
      <c r="W251" s="2"/>
      <c r="X251" s="2"/>
      <c r="Y251" s="38"/>
    </row>
    <row r="252" spans="2:25" ht="15.75" customHeight="1" x14ac:dyDescent="0.3">
      <c r="B252" s="2"/>
      <c r="C252" s="61" t="s">
        <v>531</v>
      </c>
      <c r="D252" s="62" t="s">
        <v>563</v>
      </c>
      <c r="E252" s="63" t="s">
        <v>564</v>
      </c>
      <c r="F252" s="64">
        <f>+'COMUNAS - HOME DELIVERY 2025'!F252*'COMUNAS - HOME DELIVERY 2025'!$Q$7</f>
        <v>7126.9920000000002</v>
      </c>
      <c r="G252" s="65">
        <f>+'COMUNAS - HOME DELIVERY 2025'!G252*'COMUNAS - HOME DELIVERY 2025'!$Q$7</f>
        <v>7490.7719999999999</v>
      </c>
      <c r="H252" s="65">
        <f>+'COMUNAS - HOME DELIVERY 2025'!H252*'COMUNAS - HOME DELIVERY 2025'!$Q$7</f>
        <v>8345.268</v>
      </c>
      <c r="I252" s="65">
        <f>+'COMUNAS - HOME DELIVERY 2025'!I252*'COMUNAS - HOME DELIVERY 2025'!$Q$7</f>
        <v>9456.732</v>
      </c>
      <c r="J252" s="65">
        <f>+'COMUNAS - HOME DELIVERY 2025'!J252*'COMUNAS - HOME DELIVERY 2025'!$Q$7</f>
        <v>11707.523999999999</v>
      </c>
      <c r="K252" s="65">
        <f>+'COMUNAS - HOME DELIVERY 2025'!K252*'COMUNAS - HOME DELIVERY 2025'!$Q$7</f>
        <v>13803.516</v>
      </c>
      <c r="L252" s="65">
        <f>+'COMUNAS - HOME DELIVERY 2025'!L252*'COMUNAS - HOME DELIVERY 2025'!$Q$7</f>
        <v>15667.308000000001</v>
      </c>
      <c r="M252" s="66">
        <f>+'COMUNAS - HOME DELIVERY 2025'!M252*'COMUNAS - HOME DELIVERY 2025'!$Q$7</f>
        <v>854.49599999999998</v>
      </c>
      <c r="N252" s="67">
        <f>+'COMUNAS - HOME DELIVERY 2025'!N252*'COMUNAS - HOME DELIVERY 2025'!$Q$7</f>
        <v>698.14800000000002</v>
      </c>
      <c r="O252" s="60"/>
      <c r="R252" s="2"/>
      <c r="S252" s="2"/>
      <c r="T252" s="2"/>
      <c r="U252" s="2"/>
      <c r="V252" s="2"/>
      <c r="W252" s="2"/>
      <c r="X252" s="2"/>
      <c r="Y252" s="38"/>
    </row>
    <row r="253" spans="2:25" ht="15.75" customHeight="1" x14ac:dyDescent="0.3">
      <c r="B253" s="2"/>
      <c r="C253" s="61" t="s">
        <v>531</v>
      </c>
      <c r="D253" s="62" t="s">
        <v>565</v>
      </c>
      <c r="E253" s="63" t="s">
        <v>566</v>
      </c>
      <c r="F253" s="64">
        <f>+'COMUNAS - HOME DELIVERY 2025'!F253*'COMUNAS - HOME DELIVERY 2025'!$Q$7</f>
        <v>7126.9920000000002</v>
      </c>
      <c r="G253" s="65">
        <f>+'COMUNAS - HOME DELIVERY 2025'!G253*'COMUNAS - HOME DELIVERY 2025'!$Q$7</f>
        <v>7490.7719999999999</v>
      </c>
      <c r="H253" s="65">
        <f>+'COMUNAS - HOME DELIVERY 2025'!H253*'COMUNAS - HOME DELIVERY 2025'!$Q$7</f>
        <v>8345.268</v>
      </c>
      <c r="I253" s="65">
        <f>+'COMUNAS - HOME DELIVERY 2025'!I253*'COMUNAS - HOME DELIVERY 2025'!$Q$7</f>
        <v>9456.732</v>
      </c>
      <c r="J253" s="65">
        <f>+'COMUNAS - HOME DELIVERY 2025'!J253*'COMUNAS - HOME DELIVERY 2025'!$Q$7</f>
        <v>11707.523999999999</v>
      </c>
      <c r="K253" s="65">
        <f>+'COMUNAS - HOME DELIVERY 2025'!K253*'COMUNAS - HOME DELIVERY 2025'!$Q$7</f>
        <v>13803.516</v>
      </c>
      <c r="L253" s="65">
        <f>+'COMUNAS - HOME DELIVERY 2025'!L253*'COMUNAS - HOME DELIVERY 2025'!$Q$7</f>
        <v>15667.308000000001</v>
      </c>
      <c r="M253" s="66">
        <f>+'COMUNAS - HOME DELIVERY 2025'!M253*'COMUNAS - HOME DELIVERY 2025'!$Q$7</f>
        <v>854.49599999999998</v>
      </c>
      <c r="N253" s="67">
        <f>+'COMUNAS - HOME DELIVERY 2025'!N253*'COMUNAS - HOME DELIVERY 2025'!$Q$7</f>
        <v>698.14800000000002</v>
      </c>
      <c r="O253" s="60"/>
      <c r="P253" s="2"/>
      <c r="Q253" s="2"/>
      <c r="R253" s="2"/>
      <c r="S253" s="2"/>
      <c r="T253" s="2"/>
      <c r="U253" s="2"/>
      <c r="V253" s="2"/>
      <c r="W253" s="2"/>
      <c r="X253" s="2"/>
      <c r="Y253" s="38"/>
    </row>
    <row r="254" spans="2:25" ht="15.75" customHeight="1" x14ac:dyDescent="0.3">
      <c r="B254" s="2"/>
      <c r="C254" s="61" t="s">
        <v>531</v>
      </c>
      <c r="D254" s="62" t="s">
        <v>567</v>
      </c>
      <c r="E254" s="63" t="s">
        <v>568</v>
      </c>
      <c r="F254" s="64">
        <f>+'COMUNAS - HOME DELIVERY 2025'!F254*'COMUNAS - HOME DELIVERY 2025'!$Q$7</f>
        <v>4751.3280000000004</v>
      </c>
      <c r="G254" s="65">
        <f>+'COMUNAS - HOME DELIVERY 2025'!G254*'COMUNAS - HOME DELIVERY 2025'!$Q$7</f>
        <v>4993.848</v>
      </c>
      <c r="H254" s="65">
        <f>+'COMUNAS - HOME DELIVERY 2025'!H254*'COMUNAS - HOME DELIVERY 2025'!$Q$7</f>
        <v>5563.5119999999997</v>
      </c>
      <c r="I254" s="65">
        <f>+'COMUNAS - HOME DELIVERY 2025'!I254*'COMUNAS - HOME DELIVERY 2025'!$Q$7</f>
        <v>6304.4880000000003</v>
      </c>
      <c r="J254" s="65">
        <f>+'COMUNAS - HOME DELIVERY 2025'!J254*'COMUNAS - HOME DELIVERY 2025'!$Q$7</f>
        <v>7805.0160000000005</v>
      </c>
      <c r="K254" s="65">
        <f>+'COMUNAS - HOME DELIVERY 2025'!K254*'COMUNAS - HOME DELIVERY 2025'!$Q$7</f>
        <v>9202.344000000001</v>
      </c>
      <c r="L254" s="65">
        <f>+'COMUNAS - HOME DELIVERY 2025'!L254*'COMUNAS - HOME DELIVERY 2025'!$Q$7</f>
        <v>10444.871999999999</v>
      </c>
      <c r="M254" s="66">
        <f>+'COMUNAS - HOME DELIVERY 2025'!M254*'COMUNAS - HOME DELIVERY 2025'!$Q$7</f>
        <v>569.66399999999999</v>
      </c>
      <c r="N254" s="67">
        <f>+'COMUNAS - HOME DELIVERY 2025'!N254*'COMUNAS - HOME DELIVERY 2025'!$Q$7</f>
        <v>465.43200000000002</v>
      </c>
      <c r="O254" s="60"/>
      <c r="P254" s="2"/>
      <c r="Q254" s="2"/>
      <c r="R254" s="2"/>
      <c r="S254" s="2"/>
      <c r="T254" s="2"/>
      <c r="U254" s="2"/>
      <c r="V254" s="2"/>
      <c r="W254" s="2"/>
      <c r="X254" s="2"/>
      <c r="Y254" s="38"/>
    </row>
    <row r="255" spans="2:25" ht="15.75" customHeight="1" x14ac:dyDescent="0.3">
      <c r="B255" s="2"/>
      <c r="C255" s="61" t="s">
        <v>531</v>
      </c>
      <c r="D255" s="62" t="s">
        <v>569</v>
      </c>
      <c r="E255" s="63" t="s">
        <v>570</v>
      </c>
      <c r="F255" s="64">
        <f>+'COMUNAS - HOME DELIVERY 2025'!F255*'COMUNAS - HOME DELIVERY 2025'!$Q$7</f>
        <v>4751.3280000000004</v>
      </c>
      <c r="G255" s="65">
        <f>+'COMUNAS - HOME DELIVERY 2025'!G255*'COMUNAS - HOME DELIVERY 2025'!$Q$7</f>
        <v>4993.848</v>
      </c>
      <c r="H255" s="65">
        <f>+'COMUNAS - HOME DELIVERY 2025'!H255*'COMUNAS - HOME DELIVERY 2025'!$Q$7</f>
        <v>5563.5119999999997</v>
      </c>
      <c r="I255" s="65">
        <f>+'COMUNAS - HOME DELIVERY 2025'!I255*'COMUNAS - HOME DELIVERY 2025'!$Q$7</f>
        <v>6304.4880000000003</v>
      </c>
      <c r="J255" s="65">
        <f>+'COMUNAS - HOME DELIVERY 2025'!J255*'COMUNAS - HOME DELIVERY 2025'!$Q$7</f>
        <v>7805.0160000000005</v>
      </c>
      <c r="K255" s="65">
        <f>+'COMUNAS - HOME DELIVERY 2025'!K255*'COMUNAS - HOME DELIVERY 2025'!$Q$7</f>
        <v>9202.344000000001</v>
      </c>
      <c r="L255" s="65">
        <f>+'COMUNAS - HOME DELIVERY 2025'!L255*'COMUNAS - HOME DELIVERY 2025'!$Q$7</f>
        <v>10444.871999999999</v>
      </c>
      <c r="M255" s="66">
        <f>+'COMUNAS - HOME DELIVERY 2025'!M255*'COMUNAS - HOME DELIVERY 2025'!$Q$7</f>
        <v>569.66399999999999</v>
      </c>
      <c r="N255" s="67">
        <f>+'COMUNAS - HOME DELIVERY 2025'!N255*'COMUNAS - HOME DELIVERY 2025'!$Q$7</f>
        <v>465.43200000000002</v>
      </c>
      <c r="O255" s="60"/>
      <c r="P255" s="2"/>
      <c r="Q255" s="2"/>
      <c r="R255" s="2"/>
      <c r="S255" s="2"/>
      <c r="T255" s="2"/>
      <c r="U255" s="2"/>
      <c r="V255" s="2"/>
      <c r="W255" s="2"/>
      <c r="X255" s="2"/>
      <c r="Y255" s="38"/>
    </row>
    <row r="256" spans="2:25" ht="15.75" customHeight="1" x14ac:dyDescent="0.3">
      <c r="B256" s="2"/>
      <c r="C256" s="61" t="s">
        <v>531</v>
      </c>
      <c r="D256" s="62" t="s">
        <v>571</v>
      </c>
      <c r="E256" s="63" t="s">
        <v>572</v>
      </c>
      <c r="F256" s="64">
        <f>+'COMUNAS - HOME DELIVERY 2025'!F256*'COMUNAS - HOME DELIVERY 2025'!$Q$7</f>
        <v>4751.3280000000004</v>
      </c>
      <c r="G256" s="65">
        <f>+'COMUNAS - HOME DELIVERY 2025'!G256*'COMUNAS - HOME DELIVERY 2025'!$Q$7</f>
        <v>4993.848</v>
      </c>
      <c r="H256" s="65">
        <f>+'COMUNAS - HOME DELIVERY 2025'!H256*'COMUNAS - HOME DELIVERY 2025'!$Q$7</f>
        <v>5563.5119999999997</v>
      </c>
      <c r="I256" s="65">
        <f>+'COMUNAS - HOME DELIVERY 2025'!I256*'COMUNAS - HOME DELIVERY 2025'!$Q$7</f>
        <v>6304.4880000000003</v>
      </c>
      <c r="J256" s="65">
        <f>+'COMUNAS - HOME DELIVERY 2025'!J256*'COMUNAS - HOME DELIVERY 2025'!$Q$7</f>
        <v>7805.0160000000005</v>
      </c>
      <c r="K256" s="65">
        <f>+'COMUNAS - HOME DELIVERY 2025'!K256*'COMUNAS - HOME DELIVERY 2025'!$Q$7</f>
        <v>9202.344000000001</v>
      </c>
      <c r="L256" s="65">
        <f>+'COMUNAS - HOME DELIVERY 2025'!L256*'COMUNAS - HOME DELIVERY 2025'!$Q$7</f>
        <v>10444.871999999999</v>
      </c>
      <c r="M256" s="66">
        <f>+'COMUNAS - HOME DELIVERY 2025'!M256*'COMUNAS - HOME DELIVERY 2025'!$Q$7</f>
        <v>569.66399999999999</v>
      </c>
      <c r="N256" s="67">
        <f>+'COMUNAS - HOME DELIVERY 2025'!N256*'COMUNAS - HOME DELIVERY 2025'!$Q$7</f>
        <v>465.43200000000002</v>
      </c>
      <c r="O256" s="60"/>
      <c r="P256" s="2"/>
      <c r="Q256" s="2"/>
      <c r="R256" s="2"/>
      <c r="S256" s="2"/>
      <c r="T256" s="2"/>
      <c r="U256" s="2"/>
      <c r="V256" s="2"/>
      <c r="W256" s="2"/>
      <c r="X256" s="2"/>
      <c r="Y256" s="38"/>
    </row>
    <row r="257" spans="2:25" ht="15.75" customHeight="1" x14ac:dyDescent="0.3">
      <c r="B257" s="2"/>
      <c r="C257" s="61" t="s">
        <v>531</v>
      </c>
      <c r="D257" s="62" t="s">
        <v>573</v>
      </c>
      <c r="E257" s="63" t="s">
        <v>574</v>
      </c>
      <c r="F257" s="64">
        <f>+'COMUNAS - HOME DELIVERY 2025'!F257*'COMUNAS - HOME DELIVERY 2025'!$Q$7</f>
        <v>4751.3280000000004</v>
      </c>
      <c r="G257" s="65">
        <f>+'COMUNAS - HOME DELIVERY 2025'!G257*'COMUNAS - HOME DELIVERY 2025'!$Q$7</f>
        <v>4993.848</v>
      </c>
      <c r="H257" s="65">
        <f>+'COMUNAS - HOME DELIVERY 2025'!H257*'COMUNAS - HOME DELIVERY 2025'!$Q$7</f>
        <v>5563.5119999999997</v>
      </c>
      <c r="I257" s="65">
        <f>+'COMUNAS - HOME DELIVERY 2025'!I257*'COMUNAS - HOME DELIVERY 2025'!$Q$7</f>
        <v>6304.4880000000003</v>
      </c>
      <c r="J257" s="65">
        <f>+'COMUNAS - HOME DELIVERY 2025'!J257*'COMUNAS - HOME DELIVERY 2025'!$Q$7</f>
        <v>7805.0160000000005</v>
      </c>
      <c r="K257" s="65">
        <f>+'COMUNAS - HOME DELIVERY 2025'!K257*'COMUNAS - HOME DELIVERY 2025'!$Q$7</f>
        <v>9202.344000000001</v>
      </c>
      <c r="L257" s="65">
        <f>+'COMUNAS - HOME DELIVERY 2025'!L257*'COMUNAS - HOME DELIVERY 2025'!$Q$7</f>
        <v>10444.871999999999</v>
      </c>
      <c r="M257" s="66">
        <f>+'COMUNAS - HOME DELIVERY 2025'!M257*'COMUNAS - HOME DELIVERY 2025'!$Q$7</f>
        <v>569.66399999999999</v>
      </c>
      <c r="N257" s="67">
        <f>+'COMUNAS - HOME DELIVERY 2025'!N257*'COMUNAS - HOME DELIVERY 2025'!$Q$7</f>
        <v>465.43200000000002</v>
      </c>
      <c r="O257" s="60"/>
      <c r="P257" s="2"/>
      <c r="Q257" s="2"/>
      <c r="R257" s="2"/>
      <c r="S257" s="2"/>
      <c r="T257" s="2"/>
      <c r="U257" s="2"/>
      <c r="V257" s="2"/>
      <c r="W257" s="2"/>
      <c r="X257" s="2"/>
      <c r="Y257" s="38"/>
    </row>
    <row r="258" spans="2:25" ht="15.75" customHeight="1" x14ac:dyDescent="0.3">
      <c r="B258" s="2"/>
      <c r="C258" s="61" t="s">
        <v>531</v>
      </c>
      <c r="D258" s="62" t="s">
        <v>575</v>
      </c>
      <c r="E258" s="63" t="s">
        <v>576</v>
      </c>
      <c r="F258" s="64">
        <f>+'COMUNAS - HOME DELIVERY 2025'!F258*'COMUNAS - HOME DELIVERY 2025'!$Q$7</f>
        <v>4751.3280000000004</v>
      </c>
      <c r="G258" s="65">
        <f>+'COMUNAS - HOME DELIVERY 2025'!G258*'COMUNAS - HOME DELIVERY 2025'!$Q$7</f>
        <v>4993.848</v>
      </c>
      <c r="H258" s="65">
        <f>+'COMUNAS - HOME DELIVERY 2025'!H258*'COMUNAS - HOME DELIVERY 2025'!$Q$7</f>
        <v>5563.5119999999997</v>
      </c>
      <c r="I258" s="65">
        <f>+'COMUNAS - HOME DELIVERY 2025'!I258*'COMUNAS - HOME DELIVERY 2025'!$Q$7</f>
        <v>6304.4880000000003</v>
      </c>
      <c r="J258" s="65">
        <f>+'COMUNAS - HOME DELIVERY 2025'!J258*'COMUNAS - HOME DELIVERY 2025'!$Q$7</f>
        <v>7805.0160000000005</v>
      </c>
      <c r="K258" s="65">
        <f>+'COMUNAS - HOME DELIVERY 2025'!K258*'COMUNAS - HOME DELIVERY 2025'!$Q$7</f>
        <v>9202.344000000001</v>
      </c>
      <c r="L258" s="65">
        <f>+'COMUNAS - HOME DELIVERY 2025'!L258*'COMUNAS - HOME DELIVERY 2025'!$Q$7</f>
        <v>10444.871999999999</v>
      </c>
      <c r="M258" s="66">
        <f>+'COMUNAS - HOME DELIVERY 2025'!M258*'COMUNAS - HOME DELIVERY 2025'!$Q$7</f>
        <v>569.66399999999999</v>
      </c>
      <c r="N258" s="67">
        <f>+'COMUNAS - HOME DELIVERY 2025'!N258*'COMUNAS - HOME DELIVERY 2025'!$Q$7</f>
        <v>465.43200000000002</v>
      </c>
      <c r="O258" s="60"/>
      <c r="P258" s="3"/>
      <c r="Q258" s="3"/>
      <c r="R258" s="2"/>
      <c r="S258" s="2"/>
      <c r="T258" s="2"/>
      <c r="U258" s="2"/>
      <c r="V258" s="2"/>
      <c r="W258" s="2"/>
      <c r="X258" s="2"/>
      <c r="Y258" s="38"/>
    </row>
    <row r="259" spans="2:25" ht="15.75" customHeight="1" x14ac:dyDescent="0.3">
      <c r="B259" s="2"/>
      <c r="C259" s="61" t="s">
        <v>531</v>
      </c>
      <c r="D259" s="62" t="s">
        <v>577</v>
      </c>
      <c r="E259" s="63" t="s">
        <v>578</v>
      </c>
      <c r="F259" s="64">
        <f>+'COMUNAS - HOME DELIVERY 2025'!F259*'COMUNAS - HOME DELIVERY 2025'!$Q$7</f>
        <v>4751.3280000000004</v>
      </c>
      <c r="G259" s="65">
        <f>+'COMUNAS - HOME DELIVERY 2025'!G259*'COMUNAS - HOME DELIVERY 2025'!$Q$7</f>
        <v>4993.848</v>
      </c>
      <c r="H259" s="65">
        <f>+'COMUNAS - HOME DELIVERY 2025'!H259*'COMUNAS - HOME DELIVERY 2025'!$Q$7</f>
        <v>5563.5119999999997</v>
      </c>
      <c r="I259" s="65">
        <f>+'COMUNAS - HOME DELIVERY 2025'!I259*'COMUNAS - HOME DELIVERY 2025'!$Q$7</f>
        <v>6304.4880000000003</v>
      </c>
      <c r="J259" s="65">
        <f>+'COMUNAS - HOME DELIVERY 2025'!J259*'COMUNAS - HOME DELIVERY 2025'!$Q$7</f>
        <v>7805.0160000000005</v>
      </c>
      <c r="K259" s="65">
        <f>+'COMUNAS - HOME DELIVERY 2025'!K259*'COMUNAS - HOME DELIVERY 2025'!$Q$7</f>
        <v>9202.344000000001</v>
      </c>
      <c r="L259" s="65">
        <f>+'COMUNAS - HOME DELIVERY 2025'!L259*'COMUNAS - HOME DELIVERY 2025'!$Q$7</f>
        <v>10444.871999999999</v>
      </c>
      <c r="M259" s="66">
        <f>+'COMUNAS - HOME DELIVERY 2025'!M259*'COMUNAS - HOME DELIVERY 2025'!$Q$7</f>
        <v>569.66399999999999</v>
      </c>
      <c r="N259" s="67">
        <f>+'COMUNAS - HOME DELIVERY 2025'!N259*'COMUNAS - HOME DELIVERY 2025'!$Q$7</f>
        <v>465.43200000000002</v>
      </c>
      <c r="O259" s="60"/>
      <c r="P259" s="2"/>
      <c r="Q259" s="2"/>
      <c r="R259" s="2"/>
      <c r="S259" s="2"/>
      <c r="T259" s="2"/>
      <c r="U259" s="2"/>
      <c r="V259" s="2"/>
      <c r="W259" s="2"/>
      <c r="X259" s="2"/>
      <c r="Y259" s="38"/>
    </row>
    <row r="260" spans="2:25" ht="15.75" customHeight="1" x14ac:dyDescent="0.3">
      <c r="B260" s="2"/>
      <c r="C260" s="61" t="s">
        <v>531</v>
      </c>
      <c r="D260" s="62" t="s">
        <v>579</v>
      </c>
      <c r="E260" s="63" t="s">
        <v>580</v>
      </c>
      <c r="F260" s="64">
        <f>+'COMUNAS - HOME DELIVERY 2025'!F260*'COMUNAS - HOME DELIVERY 2025'!$Q$7</f>
        <v>7126.9920000000002</v>
      </c>
      <c r="G260" s="65">
        <f>+'COMUNAS - HOME DELIVERY 2025'!G260*'COMUNAS - HOME DELIVERY 2025'!$Q$7</f>
        <v>7490.7719999999999</v>
      </c>
      <c r="H260" s="65">
        <f>+'COMUNAS - HOME DELIVERY 2025'!H260*'COMUNAS - HOME DELIVERY 2025'!$Q$7</f>
        <v>8345.268</v>
      </c>
      <c r="I260" s="65">
        <f>+'COMUNAS - HOME DELIVERY 2025'!I260*'COMUNAS - HOME DELIVERY 2025'!$Q$7</f>
        <v>9456.732</v>
      </c>
      <c r="J260" s="65">
        <f>+'COMUNAS - HOME DELIVERY 2025'!J260*'COMUNAS - HOME DELIVERY 2025'!$Q$7</f>
        <v>11707.523999999999</v>
      </c>
      <c r="K260" s="65">
        <f>+'COMUNAS - HOME DELIVERY 2025'!K260*'COMUNAS - HOME DELIVERY 2025'!$Q$7</f>
        <v>13803.516</v>
      </c>
      <c r="L260" s="65">
        <f>+'COMUNAS - HOME DELIVERY 2025'!L260*'COMUNAS - HOME DELIVERY 2025'!$Q$7</f>
        <v>15667.308000000001</v>
      </c>
      <c r="M260" s="66">
        <f>+'COMUNAS - HOME DELIVERY 2025'!M260*'COMUNAS - HOME DELIVERY 2025'!$Q$7</f>
        <v>854.49599999999998</v>
      </c>
      <c r="N260" s="67">
        <f>+'COMUNAS - HOME DELIVERY 2025'!N260*'COMUNAS - HOME DELIVERY 2025'!$Q$7</f>
        <v>698.14800000000002</v>
      </c>
      <c r="O260" s="60"/>
      <c r="P260" s="2"/>
      <c r="Q260" s="2"/>
      <c r="R260" s="2"/>
      <c r="S260" s="2"/>
      <c r="T260" s="2"/>
      <c r="U260" s="2"/>
      <c r="V260" s="2"/>
      <c r="W260" s="2"/>
      <c r="X260" s="2"/>
      <c r="Y260" s="38"/>
    </row>
    <row r="261" spans="2:25" ht="15.75" customHeight="1" x14ac:dyDescent="0.3">
      <c r="B261" s="2"/>
      <c r="C261" s="61" t="s">
        <v>531</v>
      </c>
      <c r="D261" s="62" t="s">
        <v>581</v>
      </c>
      <c r="E261" s="63" t="s">
        <v>582</v>
      </c>
      <c r="F261" s="64">
        <f>+'COMUNAS - HOME DELIVERY 2025'!F261*'COMUNAS - HOME DELIVERY 2025'!$Q$7</f>
        <v>4582.08</v>
      </c>
      <c r="G261" s="65">
        <f>+'COMUNAS - HOME DELIVERY 2025'!G261*'COMUNAS - HOME DELIVERY 2025'!$Q$7</f>
        <v>4894.7759999999998</v>
      </c>
      <c r="H261" s="65">
        <f>+'COMUNAS - HOME DELIVERY 2025'!H261*'COMUNAS - HOME DELIVERY 2025'!$Q$7</f>
        <v>5442.768</v>
      </c>
      <c r="I261" s="65">
        <f>+'COMUNAS - HOME DELIVERY 2025'!I261*'COMUNAS - HOME DELIVERY 2025'!$Q$7</f>
        <v>6205.4160000000002</v>
      </c>
      <c r="J261" s="65">
        <f>+'COMUNAS - HOME DELIVERY 2025'!J261*'COMUNAS - HOME DELIVERY 2025'!$Q$7</f>
        <v>7553.2080000000005</v>
      </c>
      <c r="K261" s="65">
        <f>+'COMUNAS - HOME DELIVERY 2025'!K261*'COMUNAS - HOME DELIVERY 2025'!$Q$7</f>
        <v>8922.6720000000005</v>
      </c>
      <c r="L261" s="65">
        <f>+'COMUNAS - HOME DELIVERY 2025'!L261*'COMUNAS - HOME DELIVERY 2025'!$Q$7</f>
        <v>10162.104000000001</v>
      </c>
      <c r="M261" s="66">
        <f>+'COMUNAS - HOME DELIVERY 2025'!M261*'COMUNAS - HOME DELIVERY 2025'!$Q$7</f>
        <v>567.6</v>
      </c>
      <c r="N261" s="67">
        <f>+'COMUNAS - HOME DELIVERY 2025'!N261*'COMUNAS - HOME DELIVERY 2025'!$Q$7</f>
        <v>462.33600000000001</v>
      </c>
      <c r="O261" s="60"/>
      <c r="P261" s="2"/>
      <c r="Q261" s="2"/>
      <c r="R261" s="2"/>
      <c r="S261" s="2"/>
      <c r="T261" s="2"/>
      <c r="U261" s="2"/>
      <c r="V261" s="2"/>
      <c r="W261" s="2"/>
      <c r="X261" s="2"/>
      <c r="Y261" s="38"/>
    </row>
    <row r="262" spans="2:25" ht="15.75" customHeight="1" x14ac:dyDescent="0.3">
      <c r="B262" s="2"/>
      <c r="C262" s="61" t="s">
        <v>531</v>
      </c>
      <c r="D262" s="62" t="s">
        <v>583</v>
      </c>
      <c r="E262" s="63" t="s">
        <v>584</v>
      </c>
      <c r="F262" s="64">
        <f>+'COMUNAS - HOME DELIVERY 2025'!F262*'COMUNAS - HOME DELIVERY 2025'!$Q$7</f>
        <v>4751.3280000000004</v>
      </c>
      <c r="G262" s="65">
        <f>+'COMUNAS - HOME DELIVERY 2025'!G262*'COMUNAS - HOME DELIVERY 2025'!$Q$7</f>
        <v>4993.848</v>
      </c>
      <c r="H262" s="65">
        <f>+'COMUNAS - HOME DELIVERY 2025'!H262*'COMUNAS - HOME DELIVERY 2025'!$Q$7</f>
        <v>5563.5119999999997</v>
      </c>
      <c r="I262" s="65">
        <f>+'COMUNAS - HOME DELIVERY 2025'!I262*'COMUNAS - HOME DELIVERY 2025'!$Q$7</f>
        <v>6304.4880000000003</v>
      </c>
      <c r="J262" s="65">
        <f>+'COMUNAS - HOME DELIVERY 2025'!J262*'COMUNAS - HOME DELIVERY 2025'!$Q$7</f>
        <v>7805.0160000000005</v>
      </c>
      <c r="K262" s="65">
        <f>+'COMUNAS - HOME DELIVERY 2025'!K262*'COMUNAS - HOME DELIVERY 2025'!$Q$7</f>
        <v>9202.344000000001</v>
      </c>
      <c r="L262" s="65">
        <f>+'COMUNAS - HOME DELIVERY 2025'!L262*'COMUNAS - HOME DELIVERY 2025'!$Q$7</f>
        <v>10444.871999999999</v>
      </c>
      <c r="M262" s="66">
        <f>+'COMUNAS - HOME DELIVERY 2025'!M262*'COMUNAS - HOME DELIVERY 2025'!$Q$7</f>
        <v>569.66399999999999</v>
      </c>
      <c r="N262" s="67">
        <f>+'COMUNAS - HOME DELIVERY 2025'!N262*'COMUNAS - HOME DELIVERY 2025'!$Q$7</f>
        <v>465.43200000000002</v>
      </c>
      <c r="O262" s="60"/>
      <c r="P262" s="2"/>
      <c r="Q262" s="2"/>
      <c r="R262" s="2"/>
      <c r="S262" s="2"/>
      <c r="T262" s="2"/>
      <c r="U262" s="2"/>
      <c r="V262" s="2"/>
      <c r="W262" s="2"/>
      <c r="X262" s="2"/>
      <c r="Y262" s="38"/>
    </row>
    <row r="263" spans="2:25" ht="15.75" customHeight="1" x14ac:dyDescent="0.3">
      <c r="B263" s="2"/>
      <c r="C263" s="61" t="s">
        <v>531</v>
      </c>
      <c r="D263" s="62" t="s">
        <v>585</v>
      </c>
      <c r="E263" s="63" t="s">
        <v>586</v>
      </c>
      <c r="F263" s="64">
        <f>+'COMUNAS - HOME DELIVERY 2025'!F263*'COMUNAS - HOME DELIVERY 2025'!$Q$7</f>
        <v>4751.3280000000004</v>
      </c>
      <c r="G263" s="65">
        <f>+'COMUNAS - HOME DELIVERY 2025'!G263*'COMUNAS - HOME DELIVERY 2025'!$Q$7</f>
        <v>4993.848</v>
      </c>
      <c r="H263" s="65">
        <f>+'COMUNAS - HOME DELIVERY 2025'!H263*'COMUNAS - HOME DELIVERY 2025'!$Q$7</f>
        <v>5563.5119999999997</v>
      </c>
      <c r="I263" s="65">
        <f>+'COMUNAS - HOME DELIVERY 2025'!I263*'COMUNAS - HOME DELIVERY 2025'!$Q$7</f>
        <v>6304.4880000000003</v>
      </c>
      <c r="J263" s="65">
        <f>+'COMUNAS - HOME DELIVERY 2025'!J263*'COMUNAS - HOME DELIVERY 2025'!$Q$7</f>
        <v>7805.0160000000005</v>
      </c>
      <c r="K263" s="65">
        <f>+'COMUNAS - HOME DELIVERY 2025'!K263*'COMUNAS - HOME DELIVERY 2025'!$Q$7</f>
        <v>9202.344000000001</v>
      </c>
      <c r="L263" s="65">
        <f>+'COMUNAS - HOME DELIVERY 2025'!L263*'COMUNAS - HOME DELIVERY 2025'!$Q$7</f>
        <v>10444.871999999999</v>
      </c>
      <c r="M263" s="66">
        <f>+'COMUNAS - HOME DELIVERY 2025'!M263*'COMUNAS - HOME DELIVERY 2025'!$Q$7</f>
        <v>569.66399999999999</v>
      </c>
      <c r="N263" s="67">
        <f>+'COMUNAS - HOME DELIVERY 2025'!N263*'COMUNAS - HOME DELIVERY 2025'!$Q$7</f>
        <v>465.43200000000002</v>
      </c>
      <c r="O263" s="60"/>
      <c r="P263" s="2"/>
      <c r="Q263" s="2"/>
      <c r="R263" s="2"/>
      <c r="S263" s="2"/>
      <c r="T263" s="2"/>
      <c r="U263" s="2"/>
      <c r="V263" s="2"/>
      <c r="W263" s="2"/>
      <c r="X263" s="2"/>
      <c r="Y263" s="38"/>
    </row>
    <row r="264" spans="2:25" ht="15.75" customHeight="1" x14ac:dyDescent="0.3">
      <c r="B264" s="2"/>
      <c r="C264" s="61" t="s">
        <v>531</v>
      </c>
      <c r="D264" s="62" t="s">
        <v>587</v>
      </c>
      <c r="E264" s="63" t="s">
        <v>588</v>
      </c>
      <c r="F264" s="64">
        <f>+'COMUNAS - HOME DELIVERY 2025'!F264*'COMUNAS - HOME DELIVERY 2025'!$Q$7</f>
        <v>4751.3280000000004</v>
      </c>
      <c r="G264" s="65">
        <f>+'COMUNAS - HOME DELIVERY 2025'!G264*'COMUNAS - HOME DELIVERY 2025'!$Q$7</f>
        <v>4993.848</v>
      </c>
      <c r="H264" s="65">
        <f>+'COMUNAS - HOME DELIVERY 2025'!H264*'COMUNAS - HOME DELIVERY 2025'!$Q$7</f>
        <v>5563.5119999999997</v>
      </c>
      <c r="I264" s="65">
        <f>+'COMUNAS - HOME DELIVERY 2025'!I264*'COMUNAS - HOME DELIVERY 2025'!$Q$7</f>
        <v>6304.4880000000003</v>
      </c>
      <c r="J264" s="65">
        <f>+'COMUNAS - HOME DELIVERY 2025'!J264*'COMUNAS - HOME DELIVERY 2025'!$Q$7</f>
        <v>7805.0160000000005</v>
      </c>
      <c r="K264" s="65">
        <f>+'COMUNAS - HOME DELIVERY 2025'!K264*'COMUNAS - HOME DELIVERY 2025'!$Q$7</f>
        <v>9202.344000000001</v>
      </c>
      <c r="L264" s="65">
        <f>+'COMUNAS - HOME DELIVERY 2025'!L264*'COMUNAS - HOME DELIVERY 2025'!$Q$7</f>
        <v>10444.871999999999</v>
      </c>
      <c r="M264" s="66">
        <f>+'COMUNAS - HOME DELIVERY 2025'!M264*'COMUNAS - HOME DELIVERY 2025'!$Q$7</f>
        <v>569.66399999999999</v>
      </c>
      <c r="N264" s="67">
        <f>+'COMUNAS - HOME DELIVERY 2025'!N264*'COMUNAS - HOME DELIVERY 2025'!$Q$7</f>
        <v>465.43200000000002</v>
      </c>
      <c r="O264" s="60"/>
      <c r="P264" s="2"/>
      <c r="Q264" s="2"/>
      <c r="R264" s="2"/>
      <c r="S264" s="2"/>
      <c r="T264" s="2"/>
      <c r="U264" s="2"/>
      <c r="V264" s="2"/>
      <c r="W264" s="2"/>
      <c r="X264" s="2"/>
      <c r="Y264" s="38"/>
    </row>
    <row r="265" spans="2:25" ht="15.75" customHeight="1" x14ac:dyDescent="0.3">
      <c r="B265" s="2"/>
      <c r="C265" s="61" t="s">
        <v>531</v>
      </c>
      <c r="D265" s="62" t="s">
        <v>589</v>
      </c>
      <c r="E265" s="63" t="s">
        <v>590</v>
      </c>
      <c r="F265" s="64">
        <f>+'COMUNAS - HOME DELIVERY 2025'!F265*'COMUNAS - HOME DELIVERY 2025'!$Q$7</f>
        <v>7126.9920000000002</v>
      </c>
      <c r="G265" s="65">
        <f>+'COMUNAS - HOME DELIVERY 2025'!G265*'COMUNAS - HOME DELIVERY 2025'!$Q$7</f>
        <v>7490.7719999999999</v>
      </c>
      <c r="H265" s="65">
        <f>+'COMUNAS - HOME DELIVERY 2025'!H265*'COMUNAS - HOME DELIVERY 2025'!$Q$7</f>
        <v>8345.268</v>
      </c>
      <c r="I265" s="65">
        <f>+'COMUNAS - HOME DELIVERY 2025'!I265*'COMUNAS - HOME DELIVERY 2025'!$Q$7</f>
        <v>9456.732</v>
      </c>
      <c r="J265" s="65">
        <f>+'COMUNAS - HOME DELIVERY 2025'!J265*'COMUNAS - HOME DELIVERY 2025'!$Q$7</f>
        <v>11707.523999999999</v>
      </c>
      <c r="K265" s="65">
        <f>+'COMUNAS - HOME DELIVERY 2025'!K265*'COMUNAS - HOME DELIVERY 2025'!$Q$7</f>
        <v>13803.516</v>
      </c>
      <c r="L265" s="65">
        <f>+'COMUNAS - HOME DELIVERY 2025'!L265*'COMUNAS - HOME DELIVERY 2025'!$Q$7</f>
        <v>15667.308000000001</v>
      </c>
      <c r="M265" s="66">
        <f>+'COMUNAS - HOME DELIVERY 2025'!M265*'COMUNAS - HOME DELIVERY 2025'!$Q$7</f>
        <v>854.49599999999998</v>
      </c>
      <c r="N265" s="67">
        <f>+'COMUNAS - HOME DELIVERY 2025'!N265*'COMUNAS - HOME DELIVERY 2025'!$Q$7</f>
        <v>698.14800000000002</v>
      </c>
      <c r="O265" s="60"/>
      <c r="P265" s="2"/>
      <c r="Q265" s="2"/>
      <c r="R265" s="2"/>
      <c r="S265" s="2"/>
      <c r="T265" s="2"/>
      <c r="U265" s="2"/>
      <c r="V265" s="2"/>
      <c r="W265" s="2"/>
      <c r="X265" s="2"/>
      <c r="Y265" s="38"/>
    </row>
    <row r="266" spans="2:25" ht="15.75" customHeight="1" x14ac:dyDescent="0.3">
      <c r="B266" s="2"/>
      <c r="C266" s="61" t="s">
        <v>531</v>
      </c>
      <c r="D266" s="62" t="s">
        <v>591</v>
      </c>
      <c r="E266" s="63" t="s">
        <v>592</v>
      </c>
      <c r="F266" s="64">
        <f>+'COMUNAS - HOME DELIVERY 2025'!F266*'COMUNAS - HOME DELIVERY 2025'!$Q$7</f>
        <v>4751.3280000000004</v>
      </c>
      <c r="G266" s="65">
        <f>+'COMUNAS - HOME DELIVERY 2025'!G266*'COMUNAS - HOME DELIVERY 2025'!$Q$7</f>
        <v>4993.848</v>
      </c>
      <c r="H266" s="65">
        <f>+'COMUNAS - HOME DELIVERY 2025'!H266*'COMUNAS - HOME DELIVERY 2025'!$Q$7</f>
        <v>5563.5119999999997</v>
      </c>
      <c r="I266" s="65">
        <f>+'COMUNAS - HOME DELIVERY 2025'!I266*'COMUNAS - HOME DELIVERY 2025'!$Q$7</f>
        <v>6304.4880000000003</v>
      </c>
      <c r="J266" s="65">
        <f>+'COMUNAS - HOME DELIVERY 2025'!J266*'COMUNAS - HOME DELIVERY 2025'!$Q$7</f>
        <v>7805.0160000000005</v>
      </c>
      <c r="K266" s="65">
        <f>+'COMUNAS - HOME DELIVERY 2025'!K266*'COMUNAS - HOME DELIVERY 2025'!$Q$7</f>
        <v>9202.344000000001</v>
      </c>
      <c r="L266" s="65">
        <f>+'COMUNAS - HOME DELIVERY 2025'!L266*'COMUNAS - HOME DELIVERY 2025'!$Q$7</f>
        <v>10444.871999999999</v>
      </c>
      <c r="M266" s="66">
        <f>+'COMUNAS - HOME DELIVERY 2025'!M266*'COMUNAS - HOME DELIVERY 2025'!$Q$7</f>
        <v>569.66399999999999</v>
      </c>
      <c r="N266" s="67">
        <f>+'COMUNAS - HOME DELIVERY 2025'!N266*'COMUNAS - HOME DELIVERY 2025'!$Q$7</f>
        <v>465.43200000000002</v>
      </c>
      <c r="O266" s="60"/>
      <c r="P266" s="2"/>
      <c r="Q266" s="2"/>
      <c r="R266" s="2"/>
      <c r="S266" s="2"/>
      <c r="T266" s="2"/>
      <c r="U266" s="2"/>
      <c r="V266" s="2"/>
      <c r="W266" s="2"/>
      <c r="X266" s="2"/>
      <c r="Y266" s="38"/>
    </row>
    <row r="267" spans="2:25" ht="15.75" customHeight="1" x14ac:dyDescent="0.3">
      <c r="B267" s="2"/>
      <c r="C267" s="61" t="s">
        <v>531</v>
      </c>
      <c r="D267" s="62" t="s">
        <v>593</v>
      </c>
      <c r="E267" s="63" t="s">
        <v>594</v>
      </c>
      <c r="F267" s="64">
        <f>+'COMUNAS - HOME DELIVERY 2025'!F267*'COMUNAS - HOME DELIVERY 2025'!$Q$7</f>
        <v>4751.3280000000004</v>
      </c>
      <c r="G267" s="65">
        <f>+'COMUNAS - HOME DELIVERY 2025'!G267*'COMUNAS - HOME DELIVERY 2025'!$Q$7</f>
        <v>4993.848</v>
      </c>
      <c r="H267" s="65">
        <f>+'COMUNAS - HOME DELIVERY 2025'!H267*'COMUNAS - HOME DELIVERY 2025'!$Q$7</f>
        <v>5563.5119999999997</v>
      </c>
      <c r="I267" s="65">
        <f>+'COMUNAS - HOME DELIVERY 2025'!I267*'COMUNAS - HOME DELIVERY 2025'!$Q$7</f>
        <v>6304.4880000000003</v>
      </c>
      <c r="J267" s="65">
        <f>+'COMUNAS - HOME DELIVERY 2025'!J267*'COMUNAS - HOME DELIVERY 2025'!$Q$7</f>
        <v>7805.0160000000005</v>
      </c>
      <c r="K267" s="65">
        <f>+'COMUNAS - HOME DELIVERY 2025'!K267*'COMUNAS - HOME DELIVERY 2025'!$Q$7</f>
        <v>9202.344000000001</v>
      </c>
      <c r="L267" s="65">
        <f>+'COMUNAS - HOME DELIVERY 2025'!L267*'COMUNAS - HOME DELIVERY 2025'!$Q$7</f>
        <v>10444.871999999999</v>
      </c>
      <c r="M267" s="66">
        <f>+'COMUNAS - HOME DELIVERY 2025'!M267*'COMUNAS - HOME DELIVERY 2025'!$Q$7</f>
        <v>569.66399999999999</v>
      </c>
      <c r="N267" s="67">
        <f>+'COMUNAS - HOME DELIVERY 2025'!N267*'COMUNAS - HOME DELIVERY 2025'!$Q$7</f>
        <v>465.43200000000002</v>
      </c>
      <c r="O267" s="60"/>
      <c r="P267" s="2"/>
      <c r="Q267" s="2"/>
      <c r="R267" s="2"/>
      <c r="S267" s="2"/>
      <c r="T267" s="2"/>
      <c r="U267" s="2"/>
      <c r="V267" s="2"/>
      <c r="W267" s="2"/>
      <c r="X267" s="2"/>
      <c r="Y267" s="38"/>
    </row>
    <row r="268" spans="2:25" ht="15.75" customHeight="1" thickBot="1" x14ac:dyDescent="0.35">
      <c r="B268" s="2"/>
      <c r="C268" s="80" t="s">
        <v>531</v>
      </c>
      <c r="D268" s="81" t="s">
        <v>595</v>
      </c>
      <c r="E268" s="82" t="s">
        <v>596</v>
      </c>
      <c r="F268" s="64">
        <f>+'COMUNAS - HOME DELIVERY 2025'!F268*'COMUNAS - HOME DELIVERY 2025'!$Q$7</f>
        <v>4751.3280000000004</v>
      </c>
      <c r="G268" s="65">
        <f>+'COMUNAS - HOME DELIVERY 2025'!G268*'COMUNAS - HOME DELIVERY 2025'!$Q$7</f>
        <v>4993.848</v>
      </c>
      <c r="H268" s="65">
        <f>+'COMUNAS - HOME DELIVERY 2025'!H268*'COMUNAS - HOME DELIVERY 2025'!$Q$7</f>
        <v>5563.5119999999997</v>
      </c>
      <c r="I268" s="65">
        <f>+'COMUNAS - HOME DELIVERY 2025'!I268*'COMUNAS - HOME DELIVERY 2025'!$Q$7</f>
        <v>6304.4880000000003</v>
      </c>
      <c r="J268" s="65">
        <f>+'COMUNAS - HOME DELIVERY 2025'!J268*'COMUNAS - HOME DELIVERY 2025'!$Q$7</f>
        <v>7805.0160000000005</v>
      </c>
      <c r="K268" s="65">
        <f>+'COMUNAS - HOME DELIVERY 2025'!K268*'COMUNAS - HOME DELIVERY 2025'!$Q$7</f>
        <v>9202.344000000001</v>
      </c>
      <c r="L268" s="65">
        <f>+'COMUNAS - HOME DELIVERY 2025'!L268*'COMUNAS - HOME DELIVERY 2025'!$Q$7</f>
        <v>10444.871999999999</v>
      </c>
      <c r="M268" s="66">
        <f>+'COMUNAS - HOME DELIVERY 2025'!M268*'COMUNAS - HOME DELIVERY 2025'!$Q$7</f>
        <v>569.66399999999999</v>
      </c>
      <c r="N268" s="67">
        <f>+'COMUNAS - HOME DELIVERY 2025'!N268*'COMUNAS - HOME DELIVERY 2025'!$Q$7</f>
        <v>465.43200000000002</v>
      </c>
      <c r="O268" s="60"/>
      <c r="P268" s="2"/>
      <c r="Q268" s="2"/>
      <c r="R268" s="2"/>
      <c r="S268" s="2"/>
      <c r="T268" s="2"/>
      <c r="U268" s="2"/>
      <c r="V268" s="2"/>
      <c r="W268" s="2"/>
      <c r="X268" s="2"/>
      <c r="Y268" s="38"/>
    </row>
    <row r="269" spans="2:25" ht="15.75" customHeight="1" x14ac:dyDescent="0.3">
      <c r="B269" s="2"/>
      <c r="C269" s="53" t="s">
        <v>597</v>
      </c>
      <c r="D269" s="54" t="s">
        <v>598</v>
      </c>
      <c r="E269" s="55" t="s">
        <v>48</v>
      </c>
      <c r="F269" s="56">
        <f>+'COMUNAS - HOME DELIVERY 2025'!F269*'COMUNAS - HOME DELIVERY 2025'!$Q$7</f>
        <v>5114.5920000000006</v>
      </c>
      <c r="G269" s="57">
        <f>+'COMUNAS - HOME DELIVERY 2025'!G269*'COMUNAS - HOME DELIVERY 2025'!$Q$7</f>
        <v>5460.3119999999999</v>
      </c>
      <c r="H269" s="57">
        <f>+'COMUNAS - HOME DELIVERY 2025'!H269*'COMUNAS - HOME DELIVERY 2025'!$Q$7</f>
        <v>6050.616</v>
      </c>
      <c r="I269" s="57">
        <f>+'COMUNAS - HOME DELIVERY 2025'!I269*'COMUNAS - HOME DELIVERY 2025'!$Q$7</f>
        <v>6696.6480000000001</v>
      </c>
      <c r="J269" s="57">
        <f>+'COMUNAS - HOME DELIVERY 2025'!J269*'COMUNAS - HOME DELIVERY 2025'!$Q$7</f>
        <v>8517.0959999999995</v>
      </c>
      <c r="K269" s="57">
        <f>+'COMUNAS - HOME DELIVERY 2025'!K269*'COMUNAS - HOME DELIVERY 2025'!$Q$7</f>
        <v>9719.3760000000002</v>
      </c>
      <c r="L269" s="57">
        <f>+'COMUNAS - HOME DELIVERY 2025'!L269*'COMUNAS - HOME DELIVERY 2025'!$Q$7</f>
        <v>10981.512000000001</v>
      </c>
      <c r="M269" s="58">
        <f>+'COMUNAS - HOME DELIVERY 2025'!M269*'COMUNAS - HOME DELIVERY 2025'!$Q$7</f>
        <v>577.92000000000007</v>
      </c>
      <c r="N269" s="59">
        <f>+'COMUNAS - HOME DELIVERY 2025'!N269*'COMUNAS - HOME DELIVERY 2025'!$Q$7</f>
        <v>480.91200000000003</v>
      </c>
      <c r="O269" s="60"/>
      <c r="P269" s="2"/>
      <c r="Q269" s="2"/>
      <c r="R269" s="2"/>
      <c r="S269" s="2"/>
      <c r="T269" s="2"/>
      <c r="U269" s="2"/>
      <c r="V269" s="2"/>
      <c r="W269" s="2"/>
      <c r="X269" s="2"/>
      <c r="Y269" s="38"/>
    </row>
    <row r="270" spans="2:25" ht="15.75" customHeight="1" x14ac:dyDescent="0.3">
      <c r="B270" s="2"/>
      <c r="C270" s="61" t="s">
        <v>597</v>
      </c>
      <c r="D270" s="62" t="s">
        <v>599</v>
      </c>
      <c r="E270" s="63" t="s">
        <v>600</v>
      </c>
      <c r="F270" s="64">
        <f>+'COMUNAS - HOME DELIVERY 2025'!F270*'COMUNAS - HOME DELIVERY 2025'!$Q$7</f>
        <v>7671.8879999999999</v>
      </c>
      <c r="G270" s="65">
        <f>+'COMUNAS - HOME DELIVERY 2025'!G270*'COMUNAS - HOME DELIVERY 2025'!$Q$7</f>
        <v>8190.4679999999998</v>
      </c>
      <c r="H270" s="65">
        <f>+'COMUNAS - HOME DELIVERY 2025'!H270*'COMUNAS - HOME DELIVERY 2025'!$Q$7</f>
        <v>9075.9240000000009</v>
      </c>
      <c r="I270" s="65">
        <f>+'COMUNAS - HOME DELIVERY 2025'!I270*'COMUNAS - HOME DELIVERY 2025'!$Q$7</f>
        <v>10044.972</v>
      </c>
      <c r="J270" s="65">
        <f>+'COMUNAS - HOME DELIVERY 2025'!J270*'COMUNAS - HOME DELIVERY 2025'!$Q$7</f>
        <v>12775.644</v>
      </c>
      <c r="K270" s="65">
        <f>+'COMUNAS - HOME DELIVERY 2025'!K270*'COMUNAS - HOME DELIVERY 2025'!$Q$7</f>
        <v>14579.064</v>
      </c>
      <c r="L270" s="65">
        <f>+'COMUNAS - HOME DELIVERY 2025'!L270*'COMUNAS - HOME DELIVERY 2025'!$Q$7</f>
        <v>16472.268</v>
      </c>
      <c r="M270" s="66">
        <f>+'COMUNAS - HOME DELIVERY 2025'!M270*'COMUNAS - HOME DELIVERY 2025'!$Q$7</f>
        <v>866.88</v>
      </c>
      <c r="N270" s="67">
        <f>+'COMUNAS - HOME DELIVERY 2025'!N270*'COMUNAS - HOME DELIVERY 2025'!$Q$7</f>
        <v>721.36800000000005</v>
      </c>
      <c r="O270" s="60"/>
      <c r="P270" s="2"/>
      <c r="Q270" s="2"/>
      <c r="R270" s="2"/>
      <c r="S270" s="2"/>
      <c r="T270" s="2"/>
      <c r="U270" s="2"/>
      <c r="V270" s="2"/>
      <c r="W270" s="2"/>
      <c r="X270" s="2"/>
      <c r="Y270" s="38"/>
    </row>
    <row r="271" spans="2:25" ht="15.75" customHeight="1" x14ac:dyDescent="0.3">
      <c r="B271" s="2"/>
      <c r="C271" s="61" t="s">
        <v>597</v>
      </c>
      <c r="D271" s="62" t="s">
        <v>601</v>
      </c>
      <c r="E271" s="63" t="s">
        <v>602</v>
      </c>
      <c r="F271" s="64">
        <f>+'COMUNAS - HOME DELIVERY 2025'!F271*'COMUNAS - HOME DELIVERY 2025'!$Q$7</f>
        <v>7671.8879999999999</v>
      </c>
      <c r="G271" s="65">
        <f>+'COMUNAS - HOME DELIVERY 2025'!G271*'COMUNAS - HOME DELIVERY 2025'!$Q$7</f>
        <v>8190.4679999999998</v>
      </c>
      <c r="H271" s="65">
        <f>+'COMUNAS - HOME DELIVERY 2025'!H271*'COMUNAS - HOME DELIVERY 2025'!$Q$7</f>
        <v>9075.9240000000009</v>
      </c>
      <c r="I271" s="65">
        <f>+'COMUNAS - HOME DELIVERY 2025'!I271*'COMUNAS - HOME DELIVERY 2025'!$Q$7</f>
        <v>10044.972</v>
      </c>
      <c r="J271" s="65">
        <f>+'COMUNAS - HOME DELIVERY 2025'!J271*'COMUNAS - HOME DELIVERY 2025'!$Q$7</f>
        <v>12775.644</v>
      </c>
      <c r="K271" s="65">
        <f>+'COMUNAS - HOME DELIVERY 2025'!K271*'COMUNAS - HOME DELIVERY 2025'!$Q$7</f>
        <v>14579.064</v>
      </c>
      <c r="L271" s="65">
        <f>+'COMUNAS - HOME DELIVERY 2025'!L271*'COMUNAS - HOME DELIVERY 2025'!$Q$7</f>
        <v>16472.268</v>
      </c>
      <c r="M271" s="66">
        <f>+'COMUNAS - HOME DELIVERY 2025'!M271*'COMUNAS - HOME DELIVERY 2025'!$Q$7</f>
        <v>866.88</v>
      </c>
      <c r="N271" s="67">
        <f>+'COMUNAS - HOME DELIVERY 2025'!N271*'COMUNAS - HOME DELIVERY 2025'!$Q$7</f>
        <v>721.36800000000005</v>
      </c>
      <c r="O271" s="60"/>
      <c r="P271" s="2"/>
      <c r="Q271" s="2"/>
      <c r="R271" s="2"/>
      <c r="S271" s="2"/>
      <c r="T271" s="2"/>
      <c r="U271" s="2"/>
      <c r="V271" s="2"/>
      <c r="W271" s="2"/>
      <c r="X271" s="2"/>
      <c r="Y271" s="38"/>
    </row>
    <row r="272" spans="2:25" ht="15.75" customHeight="1" x14ac:dyDescent="0.3">
      <c r="B272" s="2"/>
      <c r="C272" s="61" t="s">
        <v>597</v>
      </c>
      <c r="D272" s="62" t="s">
        <v>603</v>
      </c>
      <c r="E272" s="63" t="s">
        <v>604</v>
      </c>
      <c r="F272" s="64">
        <f>+'COMUNAS - HOME DELIVERY 2025'!F272*'COMUNAS - HOME DELIVERY 2025'!$Q$7</f>
        <v>5114.5920000000006</v>
      </c>
      <c r="G272" s="65">
        <f>+'COMUNAS - HOME DELIVERY 2025'!G272*'COMUNAS - HOME DELIVERY 2025'!$Q$7</f>
        <v>5460.3119999999999</v>
      </c>
      <c r="H272" s="65">
        <f>+'COMUNAS - HOME DELIVERY 2025'!H272*'COMUNAS - HOME DELIVERY 2025'!$Q$7</f>
        <v>6050.616</v>
      </c>
      <c r="I272" s="65">
        <f>+'COMUNAS - HOME DELIVERY 2025'!I272*'COMUNAS - HOME DELIVERY 2025'!$Q$7</f>
        <v>6696.6480000000001</v>
      </c>
      <c r="J272" s="65">
        <f>+'COMUNAS - HOME DELIVERY 2025'!J272*'COMUNAS - HOME DELIVERY 2025'!$Q$7</f>
        <v>8517.0959999999995</v>
      </c>
      <c r="K272" s="65">
        <f>+'COMUNAS - HOME DELIVERY 2025'!K272*'COMUNAS - HOME DELIVERY 2025'!$Q$7</f>
        <v>9719.3760000000002</v>
      </c>
      <c r="L272" s="65">
        <f>+'COMUNAS - HOME DELIVERY 2025'!L272*'COMUNAS - HOME DELIVERY 2025'!$Q$7</f>
        <v>10981.512000000001</v>
      </c>
      <c r="M272" s="66">
        <f>+'COMUNAS - HOME DELIVERY 2025'!M272*'COMUNAS - HOME DELIVERY 2025'!$Q$7</f>
        <v>577.92000000000007</v>
      </c>
      <c r="N272" s="67">
        <f>+'COMUNAS - HOME DELIVERY 2025'!N272*'COMUNAS - HOME DELIVERY 2025'!$Q$7</f>
        <v>480.91200000000003</v>
      </c>
      <c r="O272" s="60"/>
      <c r="P272" s="2"/>
      <c r="Q272" s="2"/>
      <c r="R272" s="2"/>
      <c r="S272" s="2"/>
      <c r="T272" s="2"/>
      <c r="U272" s="2"/>
      <c r="V272" s="2"/>
      <c r="W272" s="2"/>
      <c r="X272" s="2"/>
      <c r="Y272" s="38"/>
    </row>
    <row r="273" spans="2:25" ht="15.75" customHeight="1" x14ac:dyDescent="0.3">
      <c r="B273" s="2"/>
      <c r="C273" s="61" t="s">
        <v>597</v>
      </c>
      <c r="D273" s="62" t="s">
        <v>605</v>
      </c>
      <c r="E273" s="63" t="s">
        <v>606</v>
      </c>
      <c r="F273" s="64">
        <f>+'COMUNAS - HOME DELIVERY 2025'!F273*'COMUNAS - HOME DELIVERY 2025'!$Q$7</f>
        <v>7671.8879999999999</v>
      </c>
      <c r="G273" s="65">
        <f>+'COMUNAS - HOME DELIVERY 2025'!G273*'COMUNAS - HOME DELIVERY 2025'!$Q$7</f>
        <v>8190.4679999999998</v>
      </c>
      <c r="H273" s="65">
        <f>+'COMUNAS - HOME DELIVERY 2025'!H273*'COMUNAS - HOME DELIVERY 2025'!$Q$7</f>
        <v>9075.9240000000009</v>
      </c>
      <c r="I273" s="65">
        <f>+'COMUNAS - HOME DELIVERY 2025'!I273*'COMUNAS - HOME DELIVERY 2025'!$Q$7</f>
        <v>10044.972</v>
      </c>
      <c r="J273" s="65">
        <f>+'COMUNAS - HOME DELIVERY 2025'!J273*'COMUNAS - HOME DELIVERY 2025'!$Q$7</f>
        <v>12775.644</v>
      </c>
      <c r="K273" s="65">
        <f>+'COMUNAS - HOME DELIVERY 2025'!K273*'COMUNAS - HOME DELIVERY 2025'!$Q$7</f>
        <v>14579.064</v>
      </c>
      <c r="L273" s="65">
        <f>+'COMUNAS - HOME DELIVERY 2025'!L273*'COMUNAS - HOME DELIVERY 2025'!$Q$7</f>
        <v>16472.268</v>
      </c>
      <c r="M273" s="66">
        <f>+'COMUNAS - HOME DELIVERY 2025'!M273*'COMUNAS - HOME DELIVERY 2025'!$Q$7</f>
        <v>866.88</v>
      </c>
      <c r="N273" s="67">
        <f>+'COMUNAS - HOME DELIVERY 2025'!N273*'COMUNAS - HOME DELIVERY 2025'!$Q$7</f>
        <v>721.36800000000005</v>
      </c>
      <c r="O273" s="60"/>
      <c r="P273" s="2"/>
      <c r="Q273" s="2"/>
      <c r="R273" s="2"/>
      <c r="S273" s="2"/>
      <c r="T273" s="2"/>
      <c r="U273" s="2"/>
      <c r="V273" s="2"/>
      <c r="W273" s="2"/>
      <c r="X273" s="2"/>
      <c r="Y273" s="38"/>
    </row>
    <row r="274" spans="2:25" ht="15.75" customHeight="1" x14ac:dyDescent="0.3">
      <c r="B274" s="2"/>
      <c r="C274" s="61" t="s">
        <v>597</v>
      </c>
      <c r="D274" s="62" t="s">
        <v>607</v>
      </c>
      <c r="E274" s="63" t="s">
        <v>608</v>
      </c>
      <c r="F274" s="64">
        <f>+'COMUNAS - HOME DELIVERY 2025'!F274*'COMUNAS - HOME DELIVERY 2025'!$Q$7</f>
        <v>4751.3280000000004</v>
      </c>
      <c r="G274" s="65">
        <f>+'COMUNAS - HOME DELIVERY 2025'!G274*'COMUNAS - HOME DELIVERY 2025'!$Q$7</f>
        <v>4993.848</v>
      </c>
      <c r="H274" s="65">
        <f>+'COMUNAS - HOME DELIVERY 2025'!H274*'COMUNAS - HOME DELIVERY 2025'!$Q$7</f>
        <v>5563.5119999999997</v>
      </c>
      <c r="I274" s="65">
        <f>+'COMUNAS - HOME DELIVERY 2025'!I274*'COMUNAS - HOME DELIVERY 2025'!$Q$7</f>
        <v>6304.4880000000003</v>
      </c>
      <c r="J274" s="65">
        <f>+'COMUNAS - HOME DELIVERY 2025'!J274*'COMUNAS - HOME DELIVERY 2025'!$Q$7</f>
        <v>7805.0160000000005</v>
      </c>
      <c r="K274" s="65">
        <f>+'COMUNAS - HOME DELIVERY 2025'!K274*'COMUNAS - HOME DELIVERY 2025'!$Q$7</f>
        <v>9202.344000000001</v>
      </c>
      <c r="L274" s="65">
        <f>+'COMUNAS - HOME DELIVERY 2025'!L274*'COMUNAS - HOME DELIVERY 2025'!$Q$7</f>
        <v>10444.871999999999</v>
      </c>
      <c r="M274" s="66">
        <f>+'COMUNAS - HOME DELIVERY 2025'!M274*'COMUNAS - HOME DELIVERY 2025'!$Q$7</f>
        <v>569.66399999999999</v>
      </c>
      <c r="N274" s="67">
        <f>+'COMUNAS - HOME DELIVERY 2025'!N274*'COMUNAS - HOME DELIVERY 2025'!$Q$7</f>
        <v>465.43200000000002</v>
      </c>
      <c r="O274" s="60"/>
      <c r="P274" s="2"/>
      <c r="Q274" s="2"/>
      <c r="R274" s="2"/>
      <c r="S274" s="2"/>
      <c r="T274" s="2"/>
      <c r="U274" s="2"/>
      <c r="V274" s="2"/>
      <c r="W274" s="2"/>
      <c r="X274" s="2"/>
      <c r="Y274" s="38"/>
    </row>
    <row r="275" spans="2:25" ht="15.75" customHeight="1" x14ac:dyDescent="0.3">
      <c r="B275" s="2"/>
      <c r="C275" s="61" t="s">
        <v>597</v>
      </c>
      <c r="D275" s="62" t="s">
        <v>609</v>
      </c>
      <c r="E275" s="63" t="s">
        <v>610</v>
      </c>
      <c r="F275" s="64">
        <f>+'COMUNAS - HOME DELIVERY 2025'!F275*'COMUNAS - HOME DELIVERY 2025'!$Q$7</f>
        <v>5114.5920000000006</v>
      </c>
      <c r="G275" s="65">
        <f>+'COMUNAS - HOME DELIVERY 2025'!G275*'COMUNAS - HOME DELIVERY 2025'!$Q$7</f>
        <v>5460.3119999999999</v>
      </c>
      <c r="H275" s="65">
        <f>+'COMUNAS - HOME DELIVERY 2025'!H275*'COMUNAS - HOME DELIVERY 2025'!$Q$7</f>
        <v>6050.616</v>
      </c>
      <c r="I275" s="65">
        <f>+'COMUNAS - HOME DELIVERY 2025'!I275*'COMUNAS - HOME DELIVERY 2025'!$Q$7</f>
        <v>6696.6480000000001</v>
      </c>
      <c r="J275" s="65">
        <f>+'COMUNAS - HOME DELIVERY 2025'!J275*'COMUNAS - HOME DELIVERY 2025'!$Q$7</f>
        <v>8517.0959999999995</v>
      </c>
      <c r="K275" s="65">
        <f>+'COMUNAS - HOME DELIVERY 2025'!K275*'COMUNAS - HOME DELIVERY 2025'!$Q$7</f>
        <v>9719.3760000000002</v>
      </c>
      <c r="L275" s="65">
        <f>+'COMUNAS - HOME DELIVERY 2025'!L275*'COMUNAS - HOME DELIVERY 2025'!$Q$7</f>
        <v>10981.512000000001</v>
      </c>
      <c r="M275" s="66">
        <f>+'COMUNAS - HOME DELIVERY 2025'!M275*'COMUNAS - HOME DELIVERY 2025'!$Q$7</f>
        <v>577.92000000000007</v>
      </c>
      <c r="N275" s="67">
        <f>+'COMUNAS - HOME DELIVERY 2025'!N275*'COMUNAS - HOME DELIVERY 2025'!$Q$7</f>
        <v>480.91200000000003</v>
      </c>
      <c r="O275" s="60"/>
      <c r="P275" s="2"/>
      <c r="Q275" s="2"/>
      <c r="R275" s="2"/>
      <c r="S275" s="2"/>
      <c r="T275" s="2"/>
      <c r="U275" s="2"/>
      <c r="V275" s="2"/>
      <c r="W275" s="2"/>
      <c r="X275" s="2"/>
      <c r="Y275" s="38"/>
    </row>
    <row r="276" spans="2:25" ht="15.75" customHeight="1" x14ac:dyDescent="0.3">
      <c r="B276" s="2"/>
      <c r="C276" s="61" t="s">
        <v>597</v>
      </c>
      <c r="D276" s="62" t="s">
        <v>611</v>
      </c>
      <c r="E276" s="63" t="s">
        <v>612</v>
      </c>
      <c r="F276" s="64">
        <f>+'COMUNAS - HOME DELIVERY 2025'!F276*'COMUNAS - HOME DELIVERY 2025'!$Q$7</f>
        <v>5114.5920000000006</v>
      </c>
      <c r="G276" s="65">
        <f>+'COMUNAS - HOME DELIVERY 2025'!G276*'COMUNAS - HOME DELIVERY 2025'!$Q$7</f>
        <v>5460.3119999999999</v>
      </c>
      <c r="H276" s="65">
        <f>+'COMUNAS - HOME DELIVERY 2025'!H276*'COMUNAS - HOME DELIVERY 2025'!$Q$7</f>
        <v>6050.616</v>
      </c>
      <c r="I276" s="65">
        <f>+'COMUNAS - HOME DELIVERY 2025'!I276*'COMUNAS - HOME DELIVERY 2025'!$Q$7</f>
        <v>6696.6480000000001</v>
      </c>
      <c r="J276" s="65">
        <f>+'COMUNAS - HOME DELIVERY 2025'!J276*'COMUNAS - HOME DELIVERY 2025'!$Q$7</f>
        <v>8517.0959999999995</v>
      </c>
      <c r="K276" s="65">
        <f>+'COMUNAS - HOME DELIVERY 2025'!K276*'COMUNAS - HOME DELIVERY 2025'!$Q$7</f>
        <v>9719.3760000000002</v>
      </c>
      <c r="L276" s="65">
        <f>+'COMUNAS - HOME DELIVERY 2025'!L276*'COMUNAS - HOME DELIVERY 2025'!$Q$7</f>
        <v>10981.512000000001</v>
      </c>
      <c r="M276" s="66">
        <f>+'COMUNAS - HOME DELIVERY 2025'!M276*'COMUNAS - HOME DELIVERY 2025'!$Q$7</f>
        <v>577.92000000000007</v>
      </c>
      <c r="N276" s="67">
        <f>+'COMUNAS - HOME DELIVERY 2025'!N276*'COMUNAS - HOME DELIVERY 2025'!$Q$7</f>
        <v>480.91200000000003</v>
      </c>
      <c r="O276" s="60"/>
      <c r="P276" s="2"/>
      <c r="Q276" s="2"/>
      <c r="R276" s="2"/>
      <c r="S276" s="2"/>
      <c r="T276" s="2"/>
      <c r="U276" s="2"/>
      <c r="V276" s="2"/>
      <c r="W276" s="2"/>
      <c r="X276" s="2"/>
      <c r="Y276" s="38"/>
    </row>
    <row r="277" spans="2:25" ht="15.75" customHeight="1" x14ac:dyDescent="0.3">
      <c r="B277" s="2"/>
      <c r="C277" s="61" t="s">
        <v>597</v>
      </c>
      <c r="D277" s="62" t="s">
        <v>613</v>
      </c>
      <c r="E277" s="63" t="s">
        <v>614</v>
      </c>
      <c r="F277" s="64">
        <f>+'COMUNAS - HOME DELIVERY 2025'!F277*'COMUNAS - HOME DELIVERY 2025'!$Q$7</f>
        <v>5114.5920000000006</v>
      </c>
      <c r="G277" s="65">
        <f>+'COMUNAS - HOME DELIVERY 2025'!G277*'COMUNAS - HOME DELIVERY 2025'!$Q$7</f>
        <v>5460.3119999999999</v>
      </c>
      <c r="H277" s="65">
        <f>+'COMUNAS - HOME DELIVERY 2025'!H277*'COMUNAS - HOME DELIVERY 2025'!$Q$7</f>
        <v>6050.616</v>
      </c>
      <c r="I277" s="65">
        <f>+'COMUNAS - HOME DELIVERY 2025'!I277*'COMUNAS - HOME DELIVERY 2025'!$Q$7</f>
        <v>6696.6480000000001</v>
      </c>
      <c r="J277" s="65">
        <f>+'COMUNAS - HOME DELIVERY 2025'!J277*'COMUNAS - HOME DELIVERY 2025'!$Q$7</f>
        <v>8517.0959999999995</v>
      </c>
      <c r="K277" s="65">
        <f>+'COMUNAS - HOME DELIVERY 2025'!K277*'COMUNAS - HOME DELIVERY 2025'!$Q$7</f>
        <v>9719.3760000000002</v>
      </c>
      <c r="L277" s="65">
        <f>+'COMUNAS - HOME DELIVERY 2025'!L277*'COMUNAS - HOME DELIVERY 2025'!$Q$7</f>
        <v>10981.512000000001</v>
      </c>
      <c r="M277" s="66">
        <f>+'COMUNAS - HOME DELIVERY 2025'!M277*'COMUNAS - HOME DELIVERY 2025'!$Q$7</f>
        <v>577.92000000000007</v>
      </c>
      <c r="N277" s="67">
        <f>+'COMUNAS - HOME DELIVERY 2025'!N277*'COMUNAS - HOME DELIVERY 2025'!$Q$7</f>
        <v>480.91200000000003</v>
      </c>
      <c r="O277" s="60"/>
      <c r="P277" s="2"/>
      <c r="Q277" s="2"/>
      <c r="R277" s="2"/>
      <c r="S277" s="2"/>
      <c r="T277" s="2"/>
      <c r="U277" s="2"/>
      <c r="V277" s="2"/>
      <c r="W277" s="2"/>
      <c r="X277" s="2"/>
      <c r="Y277" s="38"/>
    </row>
    <row r="278" spans="2:25" ht="15.75" customHeight="1" x14ac:dyDescent="0.3">
      <c r="B278" s="2"/>
      <c r="C278" s="61" t="s">
        <v>597</v>
      </c>
      <c r="D278" s="62" t="s">
        <v>615</v>
      </c>
      <c r="E278" s="63" t="s">
        <v>616</v>
      </c>
      <c r="F278" s="64">
        <f>+'COMUNAS - HOME DELIVERY 2025'!F278*'COMUNAS - HOME DELIVERY 2025'!$Q$7</f>
        <v>7126.9920000000002</v>
      </c>
      <c r="G278" s="65">
        <f>+'COMUNAS - HOME DELIVERY 2025'!G278*'COMUNAS - HOME DELIVERY 2025'!$Q$7</f>
        <v>7490.7719999999999</v>
      </c>
      <c r="H278" s="65">
        <f>+'COMUNAS - HOME DELIVERY 2025'!H278*'COMUNAS - HOME DELIVERY 2025'!$Q$7</f>
        <v>8345.268</v>
      </c>
      <c r="I278" s="65">
        <f>+'COMUNAS - HOME DELIVERY 2025'!I278*'COMUNAS - HOME DELIVERY 2025'!$Q$7</f>
        <v>9456.732</v>
      </c>
      <c r="J278" s="65">
        <f>+'COMUNAS - HOME DELIVERY 2025'!J278*'COMUNAS - HOME DELIVERY 2025'!$Q$7</f>
        <v>11707.523999999999</v>
      </c>
      <c r="K278" s="65">
        <f>+'COMUNAS - HOME DELIVERY 2025'!K278*'COMUNAS - HOME DELIVERY 2025'!$Q$7</f>
        <v>13803.516</v>
      </c>
      <c r="L278" s="65">
        <f>+'COMUNAS - HOME DELIVERY 2025'!L278*'COMUNAS - HOME DELIVERY 2025'!$Q$7</f>
        <v>15667.308000000001</v>
      </c>
      <c r="M278" s="66">
        <f>+'COMUNAS - HOME DELIVERY 2025'!M278*'COMUNAS - HOME DELIVERY 2025'!$Q$7</f>
        <v>854.49599999999998</v>
      </c>
      <c r="N278" s="67">
        <f>+'COMUNAS - HOME DELIVERY 2025'!N278*'COMUNAS - HOME DELIVERY 2025'!$Q$7</f>
        <v>698.14800000000002</v>
      </c>
      <c r="O278" s="60"/>
      <c r="P278" s="2"/>
      <c r="Q278" s="2"/>
      <c r="R278" s="2"/>
      <c r="S278" s="2"/>
      <c r="T278" s="2"/>
      <c r="U278" s="2"/>
      <c r="V278" s="2"/>
      <c r="W278" s="2"/>
      <c r="X278" s="2"/>
      <c r="Y278" s="38"/>
    </row>
    <row r="279" spans="2:25" ht="15.75" customHeight="1" x14ac:dyDescent="0.3">
      <c r="B279" s="2"/>
      <c r="C279" s="61" t="s">
        <v>597</v>
      </c>
      <c r="D279" s="62" t="s">
        <v>617</v>
      </c>
      <c r="E279" s="63" t="s">
        <v>618</v>
      </c>
      <c r="F279" s="64">
        <f>+'COMUNAS - HOME DELIVERY 2025'!F279*'COMUNAS - HOME DELIVERY 2025'!$Q$7</f>
        <v>5114.5920000000006</v>
      </c>
      <c r="G279" s="65">
        <f>+'COMUNAS - HOME DELIVERY 2025'!G279*'COMUNAS - HOME DELIVERY 2025'!$Q$7</f>
        <v>5460.3119999999999</v>
      </c>
      <c r="H279" s="65">
        <f>+'COMUNAS - HOME DELIVERY 2025'!H279*'COMUNAS - HOME DELIVERY 2025'!$Q$7</f>
        <v>6050.616</v>
      </c>
      <c r="I279" s="65">
        <f>+'COMUNAS - HOME DELIVERY 2025'!I279*'COMUNAS - HOME DELIVERY 2025'!$Q$7</f>
        <v>6696.6480000000001</v>
      </c>
      <c r="J279" s="65">
        <f>+'COMUNAS - HOME DELIVERY 2025'!J279*'COMUNAS - HOME DELIVERY 2025'!$Q$7</f>
        <v>8517.0959999999995</v>
      </c>
      <c r="K279" s="65">
        <f>+'COMUNAS - HOME DELIVERY 2025'!K279*'COMUNAS - HOME DELIVERY 2025'!$Q$7</f>
        <v>9719.3760000000002</v>
      </c>
      <c r="L279" s="65">
        <f>+'COMUNAS - HOME DELIVERY 2025'!L279*'COMUNAS - HOME DELIVERY 2025'!$Q$7</f>
        <v>10981.512000000001</v>
      </c>
      <c r="M279" s="66">
        <f>+'COMUNAS - HOME DELIVERY 2025'!M279*'COMUNAS - HOME DELIVERY 2025'!$Q$7</f>
        <v>577.92000000000007</v>
      </c>
      <c r="N279" s="67">
        <f>+'COMUNAS - HOME DELIVERY 2025'!N279*'COMUNAS - HOME DELIVERY 2025'!$Q$7</f>
        <v>480.91200000000003</v>
      </c>
      <c r="O279" s="60"/>
      <c r="P279" s="2"/>
      <c r="Q279" s="2"/>
      <c r="R279" s="2"/>
      <c r="S279" s="2"/>
      <c r="T279" s="2"/>
      <c r="U279" s="2"/>
      <c r="V279" s="2"/>
      <c r="W279" s="2"/>
      <c r="X279" s="2"/>
      <c r="Y279" s="38"/>
    </row>
    <row r="280" spans="2:25" ht="15.75" customHeight="1" thickBot="1" x14ac:dyDescent="0.35">
      <c r="B280" s="2"/>
      <c r="C280" s="68" t="s">
        <v>597</v>
      </c>
      <c r="D280" s="69" t="s">
        <v>619</v>
      </c>
      <c r="E280" s="70" t="s">
        <v>620</v>
      </c>
      <c r="F280" s="71">
        <f>+'COMUNAS - HOME DELIVERY 2025'!F280*'COMUNAS - HOME DELIVERY 2025'!$Q$7</f>
        <v>5114.5920000000006</v>
      </c>
      <c r="G280" s="72">
        <f>+'COMUNAS - HOME DELIVERY 2025'!G280*'COMUNAS - HOME DELIVERY 2025'!$Q$7</f>
        <v>5460.3119999999999</v>
      </c>
      <c r="H280" s="72">
        <f>+'COMUNAS - HOME DELIVERY 2025'!H280*'COMUNAS - HOME DELIVERY 2025'!$Q$7</f>
        <v>6050.616</v>
      </c>
      <c r="I280" s="72">
        <f>+'COMUNAS - HOME DELIVERY 2025'!I280*'COMUNAS - HOME DELIVERY 2025'!$Q$7</f>
        <v>6696.6480000000001</v>
      </c>
      <c r="J280" s="72">
        <f>+'COMUNAS - HOME DELIVERY 2025'!J280*'COMUNAS - HOME DELIVERY 2025'!$Q$7</f>
        <v>8517.0959999999995</v>
      </c>
      <c r="K280" s="72">
        <f>+'COMUNAS - HOME DELIVERY 2025'!K280*'COMUNAS - HOME DELIVERY 2025'!$Q$7</f>
        <v>9719.3760000000002</v>
      </c>
      <c r="L280" s="72">
        <f>+'COMUNAS - HOME DELIVERY 2025'!L280*'COMUNAS - HOME DELIVERY 2025'!$Q$7</f>
        <v>10981.512000000001</v>
      </c>
      <c r="M280" s="73">
        <f>+'COMUNAS - HOME DELIVERY 2025'!M280*'COMUNAS - HOME DELIVERY 2025'!$Q$7</f>
        <v>577.92000000000007</v>
      </c>
      <c r="N280" s="74">
        <f>+'COMUNAS - HOME DELIVERY 2025'!N280*'COMUNAS - HOME DELIVERY 2025'!$Q$7</f>
        <v>480.91200000000003</v>
      </c>
      <c r="O280" s="60"/>
      <c r="P280" s="2"/>
      <c r="Q280" s="2"/>
      <c r="R280" s="2"/>
      <c r="S280" s="2"/>
      <c r="T280" s="2"/>
      <c r="U280" s="2"/>
      <c r="V280" s="2"/>
      <c r="W280" s="2"/>
      <c r="X280" s="2"/>
      <c r="Y280" s="38"/>
    </row>
    <row r="281" spans="2:25" ht="15.75" customHeight="1" x14ac:dyDescent="0.3">
      <c r="B281" s="2"/>
      <c r="C281" s="53" t="s">
        <v>621</v>
      </c>
      <c r="D281" s="54" t="s">
        <v>622</v>
      </c>
      <c r="E281" s="55" t="s">
        <v>49</v>
      </c>
      <c r="F281" s="56">
        <f>+'COMUNAS - HOME DELIVERY 2025'!F281*'COMUNAS - HOME DELIVERY 2025'!$Q$7</f>
        <v>5114.5920000000006</v>
      </c>
      <c r="G281" s="57">
        <f>+'COMUNAS - HOME DELIVERY 2025'!G281*'COMUNAS - HOME DELIVERY 2025'!$Q$7</f>
        <v>5460.3119999999999</v>
      </c>
      <c r="H281" s="57">
        <f>+'COMUNAS - HOME DELIVERY 2025'!H281*'COMUNAS - HOME DELIVERY 2025'!$Q$7</f>
        <v>6050.616</v>
      </c>
      <c r="I281" s="57">
        <f>+'COMUNAS - HOME DELIVERY 2025'!I281*'COMUNAS - HOME DELIVERY 2025'!$Q$7</f>
        <v>6696.6480000000001</v>
      </c>
      <c r="J281" s="57">
        <f>+'COMUNAS - HOME DELIVERY 2025'!J281*'COMUNAS - HOME DELIVERY 2025'!$Q$7</f>
        <v>8517.0959999999995</v>
      </c>
      <c r="K281" s="57">
        <f>+'COMUNAS - HOME DELIVERY 2025'!K281*'COMUNAS - HOME DELIVERY 2025'!$Q$7</f>
        <v>9719.3760000000002</v>
      </c>
      <c r="L281" s="57">
        <f>+'COMUNAS - HOME DELIVERY 2025'!L281*'COMUNAS - HOME DELIVERY 2025'!$Q$7</f>
        <v>10981.512000000001</v>
      </c>
      <c r="M281" s="58">
        <f>+'COMUNAS - HOME DELIVERY 2025'!M281*'COMUNAS - HOME DELIVERY 2025'!$Q$7</f>
        <v>577.92000000000007</v>
      </c>
      <c r="N281" s="59">
        <f>+'COMUNAS - HOME DELIVERY 2025'!N281*'COMUNAS - HOME DELIVERY 2025'!$Q$7</f>
        <v>480.91200000000003</v>
      </c>
      <c r="O281" s="60"/>
      <c r="P281" s="2"/>
      <c r="Q281" s="2"/>
      <c r="R281" s="2"/>
      <c r="S281" s="2"/>
      <c r="T281" s="2"/>
      <c r="U281" s="2"/>
      <c r="V281" s="2"/>
      <c r="W281" s="2"/>
      <c r="X281" s="2"/>
      <c r="Y281" s="38"/>
    </row>
    <row r="282" spans="2:25" ht="15.75" customHeight="1" x14ac:dyDescent="0.3">
      <c r="B282" s="2"/>
      <c r="C282" s="61" t="s">
        <v>621</v>
      </c>
      <c r="D282" s="62" t="s">
        <v>623</v>
      </c>
      <c r="E282" s="63" t="s">
        <v>50</v>
      </c>
      <c r="F282" s="64">
        <f>+'COMUNAS - HOME DELIVERY 2025'!F282*'COMUNAS - HOME DELIVERY 2025'!$Q$7</f>
        <v>4999.0079999999998</v>
      </c>
      <c r="G282" s="65">
        <f>+'COMUNAS - HOME DELIVERY 2025'!G282*'COMUNAS - HOME DELIVERY 2025'!$Q$7</f>
        <v>5335.4400000000005</v>
      </c>
      <c r="H282" s="65">
        <f>+'COMUNAS - HOME DELIVERY 2025'!H282*'COMUNAS - HOME DELIVERY 2025'!$Q$7</f>
        <v>5912.3280000000004</v>
      </c>
      <c r="I282" s="65">
        <f>+'COMUNAS - HOME DELIVERY 2025'!I282*'COMUNAS - HOME DELIVERY 2025'!$Q$7</f>
        <v>6610.9920000000002</v>
      </c>
      <c r="J282" s="65">
        <f>+'COMUNAS - HOME DELIVERY 2025'!J282*'COMUNAS - HOME DELIVERY 2025'!$Q$7</f>
        <v>8296.2479999999996</v>
      </c>
      <c r="K282" s="65">
        <f>+'COMUNAS - HOME DELIVERY 2025'!K282*'COMUNAS - HOME DELIVERY 2025'!$Q$7</f>
        <v>9521.232</v>
      </c>
      <c r="L282" s="65">
        <f>+'COMUNAS - HOME DELIVERY 2025'!L282*'COMUNAS - HOME DELIVERY 2025'!$Q$7</f>
        <v>10788.528</v>
      </c>
      <c r="M282" s="66">
        <f>+'COMUNAS - HOME DELIVERY 2025'!M282*'COMUNAS - HOME DELIVERY 2025'!$Q$7</f>
        <v>579.98400000000004</v>
      </c>
      <c r="N282" s="67">
        <f>+'COMUNAS - HOME DELIVERY 2025'!N282*'COMUNAS - HOME DELIVERY 2025'!$Q$7</f>
        <v>471.62400000000002</v>
      </c>
      <c r="O282" s="60"/>
      <c r="P282" s="146"/>
      <c r="Q282" s="162"/>
      <c r="R282" s="2"/>
      <c r="S282" s="2"/>
      <c r="T282" s="2"/>
      <c r="U282" s="2"/>
      <c r="V282" s="2"/>
      <c r="W282" s="2"/>
      <c r="X282" s="2"/>
      <c r="Y282" s="38"/>
    </row>
    <row r="283" spans="2:25" ht="15.75" customHeight="1" x14ac:dyDescent="0.3">
      <c r="B283" s="2"/>
      <c r="C283" s="61" t="s">
        <v>621</v>
      </c>
      <c r="D283" s="62" t="s">
        <v>624</v>
      </c>
      <c r="E283" s="63" t="s">
        <v>625</v>
      </c>
      <c r="F283" s="64">
        <f>+'COMUNAS - HOME DELIVERY 2025'!F283*'COMUNAS - HOME DELIVERY 2025'!$Q$7</f>
        <v>7498.5120000000006</v>
      </c>
      <c r="G283" s="65">
        <f>+'COMUNAS - HOME DELIVERY 2025'!G283*'COMUNAS - HOME DELIVERY 2025'!$Q$7</f>
        <v>8003.16</v>
      </c>
      <c r="H283" s="65">
        <f>+'COMUNAS - HOME DELIVERY 2025'!H283*'COMUNAS - HOME DELIVERY 2025'!$Q$7</f>
        <v>8868.4920000000002</v>
      </c>
      <c r="I283" s="65">
        <f>+'COMUNAS - HOME DELIVERY 2025'!I283*'COMUNAS - HOME DELIVERY 2025'!$Q$7</f>
        <v>9916.4879999999994</v>
      </c>
      <c r="J283" s="65">
        <f>+'COMUNAS - HOME DELIVERY 2025'!J283*'COMUNAS - HOME DELIVERY 2025'!$Q$7</f>
        <v>12444.372000000001</v>
      </c>
      <c r="K283" s="65">
        <f>+'COMUNAS - HOME DELIVERY 2025'!K283*'COMUNAS - HOME DELIVERY 2025'!$Q$7</f>
        <v>14281.848</v>
      </c>
      <c r="L283" s="65">
        <f>+'COMUNAS - HOME DELIVERY 2025'!L283*'COMUNAS - HOME DELIVERY 2025'!$Q$7</f>
        <v>16182.792000000001</v>
      </c>
      <c r="M283" s="66">
        <f>+'COMUNAS - HOME DELIVERY 2025'!M283*'COMUNAS - HOME DELIVERY 2025'!$Q$7</f>
        <v>869.976</v>
      </c>
      <c r="N283" s="67">
        <f>+'COMUNAS - HOME DELIVERY 2025'!N283*'COMUNAS - HOME DELIVERY 2025'!$Q$7</f>
        <v>707.43600000000004</v>
      </c>
      <c r="O283" s="60"/>
      <c r="P283" s="2"/>
      <c r="Q283" s="2"/>
      <c r="R283" s="2"/>
      <c r="S283" s="2"/>
      <c r="T283" s="2"/>
      <c r="U283" s="2"/>
      <c r="V283" s="2"/>
      <c r="W283" s="2"/>
      <c r="X283" s="2"/>
      <c r="Y283" s="38"/>
    </row>
    <row r="284" spans="2:25" ht="15.75" customHeight="1" x14ac:dyDescent="0.3">
      <c r="B284" s="2"/>
      <c r="C284" s="61" t="s">
        <v>621</v>
      </c>
      <c r="D284" s="62" t="s">
        <v>626</v>
      </c>
      <c r="E284" s="63" t="s">
        <v>627</v>
      </c>
      <c r="F284" s="64">
        <f>+'COMUNAS - HOME DELIVERY 2025'!F284*'COMUNAS - HOME DELIVERY 2025'!$Q$7</f>
        <v>7498.5120000000006</v>
      </c>
      <c r="G284" s="65">
        <f>+'COMUNAS - HOME DELIVERY 2025'!G284*'COMUNAS - HOME DELIVERY 2025'!$Q$7</f>
        <v>8003.16</v>
      </c>
      <c r="H284" s="65">
        <f>+'COMUNAS - HOME DELIVERY 2025'!H284*'COMUNAS - HOME DELIVERY 2025'!$Q$7</f>
        <v>8868.4920000000002</v>
      </c>
      <c r="I284" s="65">
        <f>+'COMUNAS - HOME DELIVERY 2025'!I284*'COMUNAS - HOME DELIVERY 2025'!$Q$7</f>
        <v>9916.4879999999994</v>
      </c>
      <c r="J284" s="65">
        <f>+'COMUNAS - HOME DELIVERY 2025'!J284*'COMUNAS - HOME DELIVERY 2025'!$Q$7</f>
        <v>12444.372000000001</v>
      </c>
      <c r="K284" s="65">
        <f>+'COMUNAS - HOME DELIVERY 2025'!K284*'COMUNAS - HOME DELIVERY 2025'!$Q$7</f>
        <v>14281.848</v>
      </c>
      <c r="L284" s="65">
        <f>+'COMUNAS - HOME DELIVERY 2025'!L284*'COMUNAS - HOME DELIVERY 2025'!$Q$7</f>
        <v>16182.792000000001</v>
      </c>
      <c r="M284" s="66">
        <f>+'COMUNAS - HOME DELIVERY 2025'!M284*'COMUNAS - HOME DELIVERY 2025'!$Q$7</f>
        <v>869.976</v>
      </c>
      <c r="N284" s="67">
        <f>+'COMUNAS - HOME DELIVERY 2025'!N284*'COMUNAS - HOME DELIVERY 2025'!$Q$7</f>
        <v>707.43600000000004</v>
      </c>
      <c r="O284" s="60"/>
      <c r="P284" s="2"/>
      <c r="Q284" s="2"/>
      <c r="R284" s="2"/>
      <c r="S284" s="2"/>
      <c r="T284" s="2"/>
      <c r="U284" s="2"/>
      <c r="V284" s="2"/>
      <c r="W284" s="2"/>
      <c r="X284" s="2"/>
      <c r="Y284" s="38"/>
    </row>
    <row r="285" spans="2:25" ht="15.75" customHeight="1" x14ac:dyDescent="0.3">
      <c r="B285" s="2"/>
      <c r="C285" s="61" t="s">
        <v>621</v>
      </c>
      <c r="D285" s="62" t="s">
        <v>628</v>
      </c>
      <c r="E285" s="63" t="s">
        <v>629</v>
      </c>
      <c r="F285" s="64">
        <f>+'COMUNAS - HOME DELIVERY 2025'!F285*'COMUNAS - HOME DELIVERY 2025'!$Q$7</f>
        <v>7498.5120000000006</v>
      </c>
      <c r="G285" s="65">
        <f>+'COMUNAS - HOME DELIVERY 2025'!G285*'COMUNAS - HOME DELIVERY 2025'!$Q$7</f>
        <v>8003.16</v>
      </c>
      <c r="H285" s="65">
        <f>+'COMUNAS - HOME DELIVERY 2025'!H285*'COMUNAS - HOME DELIVERY 2025'!$Q$7</f>
        <v>8868.4920000000002</v>
      </c>
      <c r="I285" s="65">
        <f>+'COMUNAS - HOME DELIVERY 2025'!I285*'COMUNAS - HOME DELIVERY 2025'!$Q$7</f>
        <v>9916.4879999999994</v>
      </c>
      <c r="J285" s="65">
        <f>+'COMUNAS - HOME DELIVERY 2025'!J285*'COMUNAS - HOME DELIVERY 2025'!$Q$7</f>
        <v>12444.372000000001</v>
      </c>
      <c r="K285" s="65">
        <f>+'COMUNAS - HOME DELIVERY 2025'!K285*'COMUNAS - HOME DELIVERY 2025'!$Q$7</f>
        <v>14281.848</v>
      </c>
      <c r="L285" s="65">
        <f>+'COMUNAS - HOME DELIVERY 2025'!L285*'COMUNAS - HOME DELIVERY 2025'!$Q$7</f>
        <v>16182.792000000001</v>
      </c>
      <c r="M285" s="66">
        <f>+'COMUNAS - HOME DELIVERY 2025'!M285*'COMUNAS - HOME DELIVERY 2025'!$Q$7</f>
        <v>869.976</v>
      </c>
      <c r="N285" s="67">
        <f>+'COMUNAS - HOME DELIVERY 2025'!N285*'COMUNAS - HOME DELIVERY 2025'!$Q$7</f>
        <v>707.43600000000004</v>
      </c>
      <c r="O285" s="60"/>
      <c r="P285" s="2"/>
      <c r="Q285" s="2"/>
      <c r="R285" s="2"/>
      <c r="S285" s="2"/>
      <c r="T285" s="2"/>
      <c r="U285" s="2"/>
      <c r="V285" s="2"/>
      <c r="W285" s="2"/>
      <c r="X285" s="2"/>
      <c r="Y285" s="38"/>
    </row>
    <row r="286" spans="2:25" ht="15.75" customHeight="1" x14ac:dyDescent="0.3">
      <c r="B286" s="2"/>
      <c r="C286" s="61" t="s">
        <v>621</v>
      </c>
      <c r="D286" s="62" t="s">
        <v>630</v>
      </c>
      <c r="E286" s="63" t="s">
        <v>631</v>
      </c>
      <c r="F286" s="64">
        <f>+'COMUNAS - HOME DELIVERY 2025'!F286*'COMUNAS - HOME DELIVERY 2025'!$Q$7</f>
        <v>7498.5120000000006</v>
      </c>
      <c r="G286" s="65">
        <f>+'COMUNAS - HOME DELIVERY 2025'!G286*'COMUNAS - HOME DELIVERY 2025'!$Q$7</f>
        <v>8003.16</v>
      </c>
      <c r="H286" s="65">
        <f>+'COMUNAS - HOME DELIVERY 2025'!H286*'COMUNAS - HOME DELIVERY 2025'!$Q$7</f>
        <v>8868.4920000000002</v>
      </c>
      <c r="I286" s="65">
        <f>+'COMUNAS - HOME DELIVERY 2025'!I286*'COMUNAS - HOME DELIVERY 2025'!$Q$7</f>
        <v>9916.4879999999994</v>
      </c>
      <c r="J286" s="65">
        <f>+'COMUNAS - HOME DELIVERY 2025'!J286*'COMUNAS - HOME DELIVERY 2025'!$Q$7</f>
        <v>12444.372000000001</v>
      </c>
      <c r="K286" s="65">
        <f>+'COMUNAS - HOME DELIVERY 2025'!K286*'COMUNAS - HOME DELIVERY 2025'!$Q$7</f>
        <v>14281.848</v>
      </c>
      <c r="L286" s="65">
        <f>+'COMUNAS - HOME DELIVERY 2025'!L286*'COMUNAS - HOME DELIVERY 2025'!$Q$7</f>
        <v>16182.792000000001</v>
      </c>
      <c r="M286" s="66">
        <f>+'COMUNAS - HOME DELIVERY 2025'!M286*'COMUNAS - HOME DELIVERY 2025'!$Q$7</f>
        <v>869.976</v>
      </c>
      <c r="N286" s="67">
        <f>+'COMUNAS - HOME DELIVERY 2025'!N286*'COMUNAS - HOME DELIVERY 2025'!$Q$7</f>
        <v>707.43600000000004</v>
      </c>
      <c r="O286" s="60"/>
      <c r="P286" s="2"/>
      <c r="Q286" s="2"/>
      <c r="R286" s="2"/>
      <c r="S286" s="2"/>
      <c r="T286" s="2"/>
      <c r="U286" s="2"/>
      <c r="V286" s="2"/>
      <c r="W286" s="2"/>
      <c r="X286" s="2"/>
      <c r="Y286" s="38"/>
    </row>
    <row r="287" spans="2:25" ht="15.75" customHeight="1" x14ac:dyDescent="0.3">
      <c r="B287" s="2"/>
      <c r="C287" s="61" t="s">
        <v>621</v>
      </c>
      <c r="D287" s="62" t="s">
        <v>632</v>
      </c>
      <c r="E287" s="63" t="s">
        <v>633</v>
      </c>
      <c r="F287" s="64">
        <f>+'COMUNAS - HOME DELIVERY 2025'!F287*'COMUNAS - HOME DELIVERY 2025'!$Q$7</f>
        <v>7498.5120000000006</v>
      </c>
      <c r="G287" s="65">
        <f>+'COMUNAS - HOME DELIVERY 2025'!G287*'COMUNAS - HOME DELIVERY 2025'!$Q$7</f>
        <v>8003.16</v>
      </c>
      <c r="H287" s="65">
        <f>+'COMUNAS - HOME DELIVERY 2025'!H287*'COMUNAS - HOME DELIVERY 2025'!$Q$7</f>
        <v>8868.4920000000002</v>
      </c>
      <c r="I287" s="65">
        <f>+'COMUNAS - HOME DELIVERY 2025'!I287*'COMUNAS - HOME DELIVERY 2025'!$Q$7</f>
        <v>9916.4879999999994</v>
      </c>
      <c r="J287" s="65">
        <f>+'COMUNAS - HOME DELIVERY 2025'!J287*'COMUNAS - HOME DELIVERY 2025'!$Q$7</f>
        <v>12444.372000000001</v>
      </c>
      <c r="K287" s="65">
        <f>+'COMUNAS - HOME DELIVERY 2025'!K287*'COMUNAS - HOME DELIVERY 2025'!$Q$7</f>
        <v>14281.848</v>
      </c>
      <c r="L287" s="65">
        <f>+'COMUNAS - HOME DELIVERY 2025'!L287*'COMUNAS - HOME DELIVERY 2025'!$Q$7</f>
        <v>16182.792000000001</v>
      </c>
      <c r="M287" s="66">
        <f>+'COMUNAS - HOME DELIVERY 2025'!M287*'COMUNAS - HOME DELIVERY 2025'!$Q$7</f>
        <v>869.976</v>
      </c>
      <c r="N287" s="67">
        <f>+'COMUNAS - HOME DELIVERY 2025'!N287*'COMUNAS - HOME DELIVERY 2025'!$Q$7</f>
        <v>707.43600000000004</v>
      </c>
      <c r="O287" s="60"/>
      <c r="P287" s="2"/>
      <c r="Q287" s="2"/>
      <c r="R287" s="2"/>
      <c r="S287" s="2"/>
      <c r="T287" s="2"/>
      <c r="U287" s="2"/>
      <c r="V287" s="2"/>
      <c r="W287" s="2"/>
      <c r="X287" s="2"/>
      <c r="Y287" s="38"/>
    </row>
    <row r="288" spans="2:25" ht="15.75" customHeight="1" x14ac:dyDescent="0.3">
      <c r="B288" s="2"/>
      <c r="C288" s="61" t="s">
        <v>621</v>
      </c>
      <c r="D288" s="62" t="s">
        <v>634</v>
      </c>
      <c r="E288" s="63" t="s">
        <v>635</v>
      </c>
      <c r="F288" s="64">
        <f>+'COMUNAS - HOME DELIVERY 2025'!F288*'COMUNAS - HOME DELIVERY 2025'!$Q$7</f>
        <v>5114.5920000000006</v>
      </c>
      <c r="G288" s="65">
        <f>+'COMUNAS - HOME DELIVERY 2025'!G288*'COMUNAS - HOME DELIVERY 2025'!$Q$7</f>
        <v>5460.3119999999999</v>
      </c>
      <c r="H288" s="65">
        <f>+'COMUNAS - HOME DELIVERY 2025'!H288*'COMUNAS - HOME DELIVERY 2025'!$Q$7</f>
        <v>6050.616</v>
      </c>
      <c r="I288" s="65">
        <f>+'COMUNAS - HOME DELIVERY 2025'!I288*'COMUNAS - HOME DELIVERY 2025'!$Q$7</f>
        <v>6696.6480000000001</v>
      </c>
      <c r="J288" s="65">
        <f>+'COMUNAS - HOME DELIVERY 2025'!J288*'COMUNAS - HOME DELIVERY 2025'!$Q$7</f>
        <v>8517.0959999999995</v>
      </c>
      <c r="K288" s="65">
        <f>+'COMUNAS - HOME DELIVERY 2025'!K288*'COMUNAS - HOME DELIVERY 2025'!$Q$7</f>
        <v>9719.3760000000002</v>
      </c>
      <c r="L288" s="65">
        <f>+'COMUNAS - HOME DELIVERY 2025'!L288*'COMUNAS - HOME DELIVERY 2025'!$Q$7</f>
        <v>10981.512000000001</v>
      </c>
      <c r="M288" s="66">
        <f>+'COMUNAS - HOME DELIVERY 2025'!M288*'COMUNAS - HOME DELIVERY 2025'!$Q$7</f>
        <v>577.92000000000007</v>
      </c>
      <c r="N288" s="67">
        <f>+'COMUNAS - HOME DELIVERY 2025'!N288*'COMUNAS - HOME DELIVERY 2025'!$Q$7</f>
        <v>480.91200000000003</v>
      </c>
      <c r="O288" s="60"/>
      <c r="P288" s="2"/>
      <c r="Q288" s="2"/>
      <c r="R288" s="2"/>
      <c r="S288" s="2"/>
      <c r="T288" s="2"/>
      <c r="U288" s="2"/>
      <c r="V288" s="2"/>
      <c r="W288" s="2"/>
      <c r="X288" s="2"/>
      <c r="Y288" s="38"/>
    </row>
    <row r="289" spans="2:25" ht="15.75" customHeight="1" x14ac:dyDescent="0.3">
      <c r="B289" s="2"/>
      <c r="C289" s="61" t="s">
        <v>621</v>
      </c>
      <c r="D289" s="62" t="s">
        <v>636</v>
      </c>
      <c r="E289" s="63" t="s">
        <v>637</v>
      </c>
      <c r="F289" s="64">
        <f>+'COMUNAS - HOME DELIVERY 2025'!F289*'COMUNAS - HOME DELIVERY 2025'!$Q$7</f>
        <v>5586.2160000000003</v>
      </c>
      <c r="G289" s="65">
        <f>+'COMUNAS - HOME DELIVERY 2025'!G289*'COMUNAS - HOME DELIVERY 2025'!$Q$7</f>
        <v>6235.3440000000001</v>
      </c>
      <c r="H289" s="65">
        <f>+'COMUNAS - HOME DELIVERY 2025'!H289*'COMUNAS - HOME DELIVERY 2025'!$Q$7</f>
        <v>6963.9360000000006</v>
      </c>
      <c r="I289" s="65">
        <f>+'COMUNAS - HOME DELIVERY 2025'!I289*'COMUNAS - HOME DELIVERY 2025'!$Q$7</f>
        <v>8300.3760000000002</v>
      </c>
      <c r="J289" s="65">
        <f>+'COMUNAS - HOME DELIVERY 2025'!J289*'COMUNAS - HOME DELIVERY 2025'!$Q$7</f>
        <v>9679.1280000000006</v>
      </c>
      <c r="K289" s="65">
        <f>+'COMUNAS - HOME DELIVERY 2025'!K289*'COMUNAS - HOME DELIVERY 2025'!$Q$7</f>
        <v>11562.528</v>
      </c>
      <c r="L289" s="65">
        <f>+'COMUNAS - HOME DELIVERY 2025'!L289*'COMUNAS - HOME DELIVERY 2025'!$Q$7</f>
        <v>12970.175999999999</v>
      </c>
      <c r="M289" s="66">
        <f>+'COMUNAS - HOME DELIVERY 2025'!M289*'COMUNAS - HOME DELIVERY 2025'!$Q$7</f>
        <v>595.46400000000006</v>
      </c>
      <c r="N289" s="67">
        <f>+'COMUNAS - HOME DELIVERY 2025'!N289*'COMUNAS - HOME DELIVERY 2025'!$Q$7</f>
        <v>486.072</v>
      </c>
      <c r="O289" s="60"/>
      <c r="P289" s="2"/>
      <c r="Q289" s="2"/>
      <c r="R289" s="2"/>
      <c r="S289" s="2"/>
      <c r="T289" s="2"/>
      <c r="U289" s="2"/>
      <c r="V289" s="2"/>
      <c r="W289" s="2"/>
      <c r="X289" s="2"/>
      <c r="Y289" s="38"/>
    </row>
    <row r="290" spans="2:25" ht="15.75" customHeight="1" x14ac:dyDescent="0.3">
      <c r="B290" s="2"/>
      <c r="C290" s="61" t="s">
        <v>621</v>
      </c>
      <c r="D290" s="62" t="s">
        <v>638</v>
      </c>
      <c r="E290" s="63" t="s">
        <v>639</v>
      </c>
      <c r="F290" s="64">
        <f>+'COMUNAS - HOME DELIVERY 2025'!F290*'COMUNAS - HOME DELIVERY 2025'!$Q$7</f>
        <v>4999.0079999999998</v>
      </c>
      <c r="G290" s="65">
        <f>+'COMUNAS - HOME DELIVERY 2025'!G290*'COMUNAS - HOME DELIVERY 2025'!$Q$7</f>
        <v>5335.4400000000005</v>
      </c>
      <c r="H290" s="65">
        <f>+'COMUNAS - HOME DELIVERY 2025'!H290*'COMUNAS - HOME DELIVERY 2025'!$Q$7</f>
        <v>5912.3280000000004</v>
      </c>
      <c r="I290" s="65">
        <f>+'COMUNAS - HOME DELIVERY 2025'!I290*'COMUNAS - HOME DELIVERY 2025'!$Q$7</f>
        <v>6610.9920000000002</v>
      </c>
      <c r="J290" s="65">
        <f>+'COMUNAS - HOME DELIVERY 2025'!J290*'COMUNAS - HOME DELIVERY 2025'!$Q$7</f>
        <v>8296.2479999999996</v>
      </c>
      <c r="K290" s="65">
        <f>+'COMUNAS - HOME DELIVERY 2025'!K290*'COMUNAS - HOME DELIVERY 2025'!$Q$7</f>
        <v>9521.232</v>
      </c>
      <c r="L290" s="65">
        <f>+'COMUNAS - HOME DELIVERY 2025'!L290*'COMUNAS - HOME DELIVERY 2025'!$Q$7</f>
        <v>10788.528</v>
      </c>
      <c r="M290" s="66">
        <f>+'COMUNAS - HOME DELIVERY 2025'!M290*'COMUNAS - HOME DELIVERY 2025'!$Q$7</f>
        <v>579.98400000000004</v>
      </c>
      <c r="N290" s="67">
        <f>+'COMUNAS - HOME DELIVERY 2025'!N290*'COMUNAS - HOME DELIVERY 2025'!$Q$7</f>
        <v>471.62400000000002</v>
      </c>
      <c r="O290" s="60"/>
      <c r="P290" s="2"/>
      <c r="Q290" s="2"/>
      <c r="R290" s="2"/>
      <c r="S290" s="2"/>
      <c r="T290" s="2"/>
      <c r="U290" s="2"/>
      <c r="V290" s="2"/>
      <c r="W290" s="2"/>
      <c r="X290" s="2"/>
      <c r="Y290" s="38"/>
    </row>
    <row r="291" spans="2:25" ht="15.75" customHeight="1" x14ac:dyDescent="0.3">
      <c r="B291" s="2"/>
      <c r="C291" s="61" t="s">
        <v>621</v>
      </c>
      <c r="D291" s="62" t="s">
        <v>640</v>
      </c>
      <c r="E291" s="63" t="s">
        <v>53</v>
      </c>
      <c r="F291" s="64">
        <f>+'COMUNAS - HOME DELIVERY 2025'!F291*'COMUNAS - HOME DELIVERY 2025'!$Q$7</f>
        <v>5586.2160000000003</v>
      </c>
      <c r="G291" s="65">
        <f>+'COMUNAS - HOME DELIVERY 2025'!G291*'COMUNAS - HOME DELIVERY 2025'!$Q$7</f>
        <v>6235.3440000000001</v>
      </c>
      <c r="H291" s="65">
        <f>+'COMUNAS - HOME DELIVERY 2025'!H291*'COMUNAS - HOME DELIVERY 2025'!$Q$7</f>
        <v>6963.9360000000006</v>
      </c>
      <c r="I291" s="65">
        <f>+'COMUNAS - HOME DELIVERY 2025'!I291*'COMUNAS - HOME DELIVERY 2025'!$Q$7</f>
        <v>8300.3760000000002</v>
      </c>
      <c r="J291" s="65">
        <f>+'COMUNAS - HOME DELIVERY 2025'!J291*'COMUNAS - HOME DELIVERY 2025'!$Q$7</f>
        <v>9679.1280000000006</v>
      </c>
      <c r="K291" s="65">
        <f>+'COMUNAS - HOME DELIVERY 2025'!K291*'COMUNAS - HOME DELIVERY 2025'!$Q$7</f>
        <v>11562.528</v>
      </c>
      <c r="L291" s="65">
        <f>+'COMUNAS - HOME DELIVERY 2025'!L291*'COMUNAS - HOME DELIVERY 2025'!$Q$7</f>
        <v>12970.175999999999</v>
      </c>
      <c r="M291" s="66">
        <f>+'COMUNAS - HOME DELIVERY 2025'!M291*'COMUNAS - HOME DELIVERY 2025'!$Q$7</f>
        <v>595.46400000000006</v>
      </c>
      <c r="N291" s="67">
        <f>+'COMUNAS - HOME DELIVERY 2025'!N291*'COMUNAS - HOME DELIVERY 2025'!$Q$7</f>
        <v>486.072</v>
      </c>
      <c r="O291" s="60"/>
      <c r="P291" s="2"/>
      <c r="Q291" s="2"/>
      <c r="R291" s="2"/>
      <c r="S291" s="2"/>
      <c r="T291" s="2"/>
      <c r="U291" s="2"/>
      <c r="V291" s="2"/>
      <c r="W291" s="2"/>
      <c r="X291" s="2"/>
      <c r="Y291" s="38"/>
    </row>
    <row r="292" spans="2:25" ht="15.75" customHeight="1" x14ac:dyDescent="0.3">
      <c r="B292" s="2"/>
      <c r="C292" s="61" t="s">
        <v>621</v>
      </c>
      <c r="D292" s="62" t="s">
        <v>641</v>
      </c>
      <c r="E292" s="63" t="s">
        <v>642</v>
      </c>
      <c r="F292" s="64">
        <f>+'COMUNAS - HOME DELIVERY 2025'!F292*'COMUNAS - HOME DELIVERY 2025'!$Q$7</f>
        <v>8379.3240000000005</v>
      </c>
      <c r="G292" s="65">
        <f>+'COMUNAS - HOME DELIVERY 2025'!G292*'COMUNAS - HOME DELIVERY 2025'!$Q$7</f>
        <v>9353.0159999999996</v>
      </c>
      <c r="H292" s="65">
        <f>+'COMUNAS - HOME DELIVERY 2025'!H292*'COMUNAS - HOME DELIVERY 2025'!$Q$7</f>
        <v>10445.904</v>
      </c>
      <c r="I292" s="65">
        <f>+'COMUNAS - HOME DELIVERY 2025'!I292*'COMUNAS - HOME DELIVERY 2025'!$Q$7</f>
        <v>12450.564</v>
      </c>
      <c r="J292" s="65">
        <f>+'COMUNAS - HOME DELIVERY 2025'!J292*'COMUNAS - HOME DELIVERY 2025'!$Q$7</f>
        <v>14518.692000000001</v>
      </c>
      <c r="K292" s="65">
        <f>+'COMUNAS - HOME DELIVERY 2025'!K292*'COMUNAS - HOME DELIVERY 2025'!$Q$7</f>
        <v>17343.792000000001</v>
      </c>
      <c r="L292" s="65">
        <f>+'COMUNAS - HOME DELIVERY 2025'!L292*'COMUNAS - HOME DELIVERY 2025'!$Q$7</f>
        <v>19455.263999999999</v>
      </c>
      <c r="M292" s="66">
        <f>+'COMUNAS - HOME DELIVERY 2025'!M292*'COMUNAS - HOME DELIVERY 2025'!$Q$7</f>
        <v>893.19600000000003</v>
      </c>
      <c r="N292" s="67">
        <f>+'COMUNAS - HOME DELIVERY 2025'!N292*'COMUNAS - HOME DELIVERY 2025'!$Q$7</f>
        <v>729.10800000000006</v>
      </c>
      <c r="O292" s="60"/>
      <c r="P292" s="2"/>
      <c r="Q292" s="2"/>
      <c r="R292" s="2"/>
      <c r="S292" s="2"/>
      <c r="T292" s="2"/>
      <c r="U292" s="2"/>
      <c r="V292" s="2"/>
      <c r="W292" s="2"/>
      <c r="X292" s="2"/>
      <c r="Y292" s="38"/>
    </row>
    <row r="293" spans="2:25" ht="15.75" customHeight="1" x14ac:dyDescent="0.3">
      <c r="B293" s="2"/>
      <c r="C293" s="61" t="s">
        <v>621</v>
      </c>
      <c r="D293" s="62" t="s">
        <v>643</v>
      </c>
      <c r="E293" s="63" t="s">
        <v>644</v>
      </c>
      <c r="F293" s="64">
        <f>+'COMUNAS - HOME DELIVERY 2025'!F293*'COMUNAS - HOME DELIVERY 2025'!$Q$7</f>
        <v>8379.3240000000005</v>
      </c>
      <c r="G293" s="65">
        <f>+'COMUNAS - HOME DELIVERY 2025'!G293*'COMUNAS - HOME DELIVERY 2025'!$Q$7</f>
        <v>9353.0159999999996</v>
      </c>
      <c r="H293" s="65">
        <f>+'COMUNAS - HOME DELIVERY 2025'!H293*'COMUNAS - HOME DELIVERY 2025'!$Q$7</f>
        <v>10445.904</v>
      </c>
      <c r="I293" s="65">
        <f>+'COMUNAS - HOME DELIVERY 2025'!I293*'COMUNAS - HOME DELIVERY 2025'!$Q$7</f>
        <v>12450.564</v>
      </c>
      <c r="J293" s="65">
        <f>+'COMUNAS - HOME DELIVERY 2025'!J293*'COMUNAS - HOME DELIVERY 2025'!$Q$7</f>
        <v>14518.692000000001</v>
      </c>
      <c r="K293" s="65">
        <f>+'COMUNAS - HOME DELIVERY 2025'!K293*'COMUNAS - HOME DELIVERY 2025'!$Q$7</f>
        <v>17343.792000000001</v>
      </c>
      <c r="L293" s="65">
        <f>+'COMUNAS - HOME DELIVERY 2025'!L293*'COMUNAS - HOME DELIVERY 2025'!$Q$7</f>
        <v>19455.263999999999</v>
      </c>
      <c r="M293" s="66">
        <f>+'COMUNAS - HOME DELIVERY 2025'!M293*'COMUNAS - HOME DELIVERY 2025'!$Q$7</f>
        <v>893.19600000000003</v>
      </c>
      <c r="N293" s="67">
        <f>+'COMUNAS - HOME DELIVERY 2025'!N293*'COMUNAS - HOME DELIVERY 2025'!$Q$7</f>
        <v>729.10800000000006</v>
      </c>
      <c r="O293" s="60"/>
      <c r="P293" s="2"/>
      <c r="Q293" s="2"/>
      <c r="R293" s="2"/>
      <c r="S293" s="2"/>
      <c r="T293" s="2"/>
      <c r="U293" s="2"/>
      <c r="V293" s="2"/>
      <c r="W293" s="2"/>
      <c r="X293" s="2"/>
      <c r="Y293" s="38"/>
    </row>
    <row r="294" spans="2:25" ht="15.75" customHeight="1" x14ac:dyDescent="0.3">
      <c r="B294" s="2"/>
      <c r="C294" s="61" t="s">
        <v>621</v>
      </c>
      <c r="D294" s="62" t="s">
        <v>645</v>
      </c>
      <c r="E294" s="63" t="s">
        <v>646</v>
      </c>
      <c r="F294" s="64">
        <f>+'COMUNAS - HOME DELIVERY 2025'!F294*'COMUNAS - HOME DELIVERY 2025'!$Q$7</f>
        <v>8379.3240000000005</v>
      </c>
      <c r="G294" s="65">
        <f>+'COMUNAS - HOME DELIVERY 2025'!G294*'COMUNAS - HOME DELIVERY 2025'!$Q$7</f>
        <v>9353.0159999999996</v>
      </c>
      <c r="H294" s="65">
        <f>+'COMUNAS - HOME DELIVERY 2025'!H294*'COMUNAS - HOME DELIVERY 2025'!$Q$7</f>
        <v>10445.904</v>
      </c>
      <c r="I294" s="65">
        <f>+'COMUNAS - HOME DELIVERY 2025'!I294*'COMUNAS - HOME DELIVERY 2025'!$Q$7</f>
        <v>12450.564</v>
      </c>
      <c r="J294" s="65">
        <f>+'COMUNAS - HOME DELIVERY 2025'!J294*'COMUNAS - HOME DELIVERY 2025'!$Q$7</f>
        <v>14518.692000000001</v>
      </c>
      <c r="K294" s="65">
        <f>+'COMUNAS - HOME DELIVERY 2025'!K294*'COMUNAS - HOME DELIVERY 2025'!$Q$7</f>
        <v>17343.792000000001</v>
      </c>
      <c r="L294" s="65">
        <f>+'COMUNAS - HOME DELIVERY 2025'!L294*'COMUNAS - HOME DELIVERY 2025'!$Q$7</f>
        <v>19455.263999999999</v>
      </c>
      <c r="M294" s="66">
        <f>+'COMUNAS - HOME DELIVERY 2025'!M294*'COMUNAS - HOME DELIVERY 2025'!$Q$7</f>
        <v>893.19600000000003</v>
      </c>
      <c r="N294" s="67">
        <f>+'COMUNAS - HOME DELIVERY 2025'!N294*'COMUNAS - HOME DELIVERY 2025'!$Q$7</f>
        <v>729.10800000000006</v>
      </c>
      <c r="O294" s="60"/>
      <c r="P294" s="2"/>
      <c r="Q294" s="2"/>
      <c r="R294" s="2"/>
      <c r="S294" s="2"/>
      <c r="T294" s="2"/>
      <c r="U294" s="2"/>
      <c r="V294" s="2"/>
      <c r="W294" s="2"/>
      <c r="X294" s="2"/>
      <c r="Y294" s="38"/>
    </row>
    <row r="295" spans="2:25" ht="15.75" customHeight="1" x14ac:dyDescent="0.3">
      <c r="B295" s="2"/>
      <c r="C295" s="61" t="s">
        <v>621</v>
      </c>
      <c r="D295" s="62" t="s">
        <v>647</v>
      </c>
      <c r="E295" s="63" t="s">
        <v>648</v>
      </c>
      <c r="F295" s="64">
        <f>+'COMUNAS - HOME DELIVERY 2025'!F295*'COMUNAS - HOME DELIVERY 2025'!$Q$7</f>
        <v>5586.2160000000003</v>
      </c>
      <c r="G295" s="65">
        <f>+'COMUNAS - HOME DELIVERY 2025'!G295*'COMUNAS - HOME DELIVERY 2025'!$Q$7</f>
        <v>6235.3440000000001</v>
      </c>
      <c r="H295" s="65">
        <f>+'COMUNAS - HOME DELIVERY 2025'!H295*'COMUNAS - HOME DELIVERY 2025'!$Q$7</f>
        <v>6963.9360000000006</v>
      </c>
      <c r="I295" s="65">
        <f>+'COMUNAS - HOME DELIVERY 2025'!I295*'COMUNAS - HOME DELIVERY 2025'!$Q$7</f>
        <v>8300.3760000000002</v>
      </c>
      <c r="J295" s="65">
        <f>+'COMUNAS - HOME DELIVERY 2025'!J295*'COMUNAS - HOME DELIVERY 2025'!$Q$7</f>
        <v>9679.1280000000006</v>
      </c>
      <c r="K295" s="65">
        <f>+'COMUNAS - HOME DELIVERY 2025'!K295*'COMUNAS - HOME DELIVERY 2025'!$Q$7</f>
        <v>11562.528</v>
      </c>
      <c r="L295" s="65">
        <f>+'COMUNAS - HOME DELIVERY 2025'!L295*'COMUNAS - HOME DELIVERY 2025'!$Q$7</f>
        <v>12970.175999999999</v>
      </c>
      <c r="M295" s="66">
        <f>+'COMUNAS - HOME DELIVERY 2025'!M295*'COMUNAS - HOME DELIVERY 2025'!$Q$7</f>
        <v>595.46400000000006</v>
      </c>
      <c r="N295" s="67">
        <f>+'COMUNAS - HOME DELIVERY 2025'!N295*'COMUNAS - HOME DELIVERY 2025'!$Q$7</f>
        <v>486.072</v>
      </c>
      <c r="O295" s="60"/>
      <c r="P295" s="2"/>
      <c r="Q295" s="2"/>
      <c r="R295" s="2"/>
      <c r="S295" s="2"/>
      <c r="T295" s="2"/>
      <c r="U295" s="2"/>
      <c r="V295" s="2"/>
      <c r="W295" s="2"/>
      <c r="X295" s="2"/>
      <c r="Y295" s="38"/>
    </row>
    <row r="296" spans="2:25" ht="15.75" customHeight="1" x14ac:dyDescent="0.3">
      <c r="B296" s="2"/>
      <c r="C296" s="61" t="s">
        <v>621</v>
      </c>
      <c r="D296" s="62" t="s">
        <v>649</v>
      </c>
      <c r="E296" s="63" t="s">
        <v>650</v>
      </c>
      <c r="F296" s="64">
        <f>+'COMUNAS - HOME DELIVERY 2025'!F296*'COMUNAS - HOME DELIVERY 2025'!$Q$7</f>
        <v>8379.3240000000005</v>
      </c>
      <c r="G296" s="65">
        <f>+'COMUNAS - HOME DELIVERY 2025'!G296*'COMUNAS - HOME DELIVERY 2025'!$Q$7</f>
        <v>9353.0159999999996</v>
      </c>
      <c r="H296" s="65">
        <f>+'COMUNAS - HOME DELIVERY 2025'!H296*'COMUNAS - HOME DELIVERY 2025'!$Q$7</f>
        <v>10445.904</v>
      </c>
      <c r="I296" s="65">
        <f>+'COMUNAS - HOME DELIVERY 2025'!I296*'COMUNAS - HOME DELIVERY 2025'!$Q$7</f>
        <v>12450.564</v>
      </c>
      <c r="J296" s="65">
        <f>+'COMUNAS - HOME DELIVERY 2025'!J296*'COMUNAS - HOME DELIVERY 2025'!$Q$7</f>
        <v>14518.692000000001</v>
      </c>
      <c r="K296" s="65">
        <f>+'COMUNAS - HOME DELIVERY 2025'!K296*'COMUNAS - HOME DELIVERY 2025'!$Q$7</f>
        <v>17343.792000000001</v>
      </c>
      <c r="L296" s="65">
        <f>+'COMUNAS - HOME DELIVERY 2025'!L296*'COMUNAS - HOME DELIVERY 2025'!$Q$7</f>
        <v>19455.263999999999</v>
      </c>
      <c r="M296" s="66">
        <f>+'COMUNAS - HOME DELIVERY 2025'!M296*'COMUNAS - HOME DELIVERY 2025'!$Q$7</f>
        <v>893.19600000000003</v>
      </c>
      <c r="N296" s="67">
        <f>+'COMUNAS - HOME DELIVERY 2025'!N296*'COMUNAS - HOME DELIVERY 2025'!$Q$7</f>
        <v>729.10800000000006</v>
      </c>
      <c r="O296" s="60"/>
      <c r="P296" s="2"/>
      <c r="Q296" s="2"/>
      <c r="R296" s="2"/>
      <c r="S296" s="2"/>
      <c r="T296" s="2"/>
      <c r="U296" s="2"/>
      <c r="V296" s="2"/>
      <c r="W296" s="2"/>
      <c r="X296" s="2"/>
      <c r="Y296" s="38"/>
    </row>
    <row r="297" spans="2:25" ht="15.75" customHeight="1" x14ac:dyDescent="0.3">
      <c r="B297" s="2"/>
      <c r="C297" s="61" t="s">
        <v>621</v>
      </c>
      <c r="D297" s="62" t="s">
        <v>651</v>
      </c>
      <c r="E297" s="63" t="s">
        <v>652</v>
      </c>
      <c r="F297" s="64">
        <f>+'COMUNAS - HOME DELIVERY 2025'!F297*'COMUNAS - HOME DELIVERY 2025'!$Q$7</f>
        <v>5586.2160000000003</v>
      </c>
      <c r="G297" s="65">
        <f>+'COMUNAS - HOME DELIVERY 2025'!G297*'COMUNAS - HOME DELIVERY 2025'!$Q$7</f>
        <v>6235.3440000000001</v>
      </c>
      <c r="H297" s="65">
        <f>+'COMUNAS - HOME DELIVERY 2025'!H297*'COMUNAS - HOME DELIVERY 2025'!$Q$7</f>
        <v>6963.9360000000006</v>
      </c>
      <c r="I297" s="65">
        <f>+'COMUNAS - HOME DELIVERY 2025'!I297*'COMUNAS - HOME DELIVERY 2025'!$Q$7</f>
        <v>8300.3760000000002</v>
      </c>
      <c r="J297" s="65">
        <f>+'COMUNAS - HOME DELIVERY 2025'!J297*'COMUNAS - HOME DELIVERY 2025'!$Q$7</f>
        <v>9679.1280000000006</v>
      </c>
      <c r="K297" s="65">
        <f>+'COMUNAS - HOME DELIVERY 2025'!K297*'COMUNAS - HOME DELIVERY 2025'!$Q$7</f>
        <v>11562.528</v>
      </c>
      <c r="L297" s="65">
        <f>+'COMUNAS - HOME DELIVERY 2025'!L297*'COMUNAS - HOME DELIVERY 2025'!$Q$7</f>
        <v>12970.175999999999</v>
      </c>
      <c r="M297" s="66">
        <f>+'COMUNAS - HOME DELIVERY 2025'!M297*'COMUNAS - HOME DELIVERY 2025'!$Q$7</f>
        <v>595.46400000000006</v>
      </c>
      <c r="N297" s="67">
        <f>+'COMUNAS - HOME DELIVERY 2025'!N297*'COMUNAS - HOME DELIVERY 2025'!$Q$7</f>
        <v>486.072</v>
      </c>
      <c r="O297" s="60"/>
      <c r="P297" s="2"/>
      <c r="Q297" s="2"/>
      <c r="R297" s="2"/>
      <c r="S297" s="2"/>
      <c r="T297" s="2"/>
      <c r="U297" s="2"/>
      <c r="V297" s="2"/>
      <c r="W297" s="2"/>
      <c r="X297" s="2"/>
      <c r="Y297" s="38"/>
    </row>
    <row r="298" spans="2:25" ht="15.75" customHeight="1" x14ac:dyDescent="0.3">
      <c r="B298" s="2"/>
      <c r="C298" s="61" t="s">
        <v>621</v>
      </c>
      <c r="D298" s="62" t="s">
        <v>653</v>
      </c>
      <c r="E298" s="63" t="s">
        <v>654</v>
      </c>
      <c r="F298" s="64">
        <f>+'COMUNAS - HOME DELIVERY 2025'!F298*'COMUNAS - HOME DELIVERY 2025'!$Q$7</f>
        <v>5586.2160000000003</v>
      </c>
      <c r="G298" s="65">
        <f>+'COMUNAS - HOME DELIVERY 2025'!G298*'COMUNAS - HOME DELIVERY 2025'!$Q$7</f>
        <v>6235.3440000000001</v>
      </c>
      <c r="H298" s="65">
        <f>+'COMUNAS - HOME DELIVERY 2025'!H298*'COMUNAS - HOME DELIVERY 2025'!$Q$7</f>
        <v>6963.9360000000006</v>
      </c>
      <c r="I298" s="65">
        <f>+'COMUNAS - HOME DELIVERY 2025'!I298*'COMUNAS - HOME DELIVERY 2025'!$Q$7</f>
        <v>8300.3760000000002</v>
      </c>
      <c r="J298" s="65">
        <f>+'COMUNAS - HOME DELIVERY 2025'!J298*'COMUNAS - HOME DELIVERY 2025'!$Q$7</f>
        <v>9679.1280000000006</v>
      </c>
      <c r="K298" s="65">
        <f>+'COMUNAS - HOME DELIVERY 2025'!K298*'COMUNAS - HOME DELIVERY 2025'!$Q$7</f>
        <v>11562.528</v>
      </c>
      <c r="L298" s="65">
        <f>+'COMUNAS - HOME DELIVERY 2025'!L298*'COMUNAS - HOME DELIVERY 2025'!$Q$7</f>
        <v>12970.175999999999</v>
      </c>
      <c r="M298" s="66">
        <f>+'COMUNAS - HOME DELIVERY 2025'!M298*'COMUNAS - HOME DELIVERY 2025'!$Q$7</f>
        <v>595.46400000000006</v>
      </c>
      <c r="N298" s="67">
        <f>+'COMUNAS - HOME DELIVERY 2025'!N298*'COMUNAS - HOME DELIVERY 2025'!$Q$7</f>
        <v>486.072</v>
      </c>
      <c r="O298" s="60"/>
      <c r="P298" s="2"/>
      <c r="Q298" s="2"/>
      <c r="R298" s="2"/>
      <c r="S298" s="2"/>
      <c r="T298" s="2"/>
      <c r="U298" s="2"/>
      <c r="V298" s="2"/>
      <c r="W298" s="2"/>
      <c r="X298" s="2"/>
      <c r="Y298" s="38"/>
    </row>
    <row r="299" spans="2:25" ht="15.75" customHeight="1" x14ac:dyDescent="0.3">
      <c r="B299" s="2"/>
      <c r="C299" s="61" t="s">
        <v>621</v>
      </c>
      <c r="D299" s="62" t="s">
        <v>655</v>
      </c>
      <c r="E299" s="63" t="s">
        <v>656</v>
      </c>
      <c r="F299" s="64">
        <f>+'COMUNAS - HOME DELIVERY 2025'!F299*'COMUNAS - HOME DELIVERY 2025'!$Q$7</f>
        <v>4999.0079999999998</v>
      </c>
      <c r="G299" s="65">
        <f>+'COMUNAS - HOME DELIVERY 2025'!G299*'COMUNAS - HOME DELIVERY 2025'!$Q$7</f>
        <v>5335.4400000000005</v>
      </c>
      <c r="H299" s="65">
        <f>+'COMUNAS - HOME DELIVERY 2025'!H299*'COMUNAS - HOME DELIVERY 2025'!$Q$7</f>
        <v>5912.3280000000004</v>
      </c>
      <c r="I299" s="65">
        <f>+'COMUNAS - HOME DELIVERY 2025'!I299*'COMUNAS - HOME DELIVERY 2025'!$Q$7</f>
        <v>6610.9920000000002</v>
      </c>
      <c r="J299" s="65">
        <f>+'COMUNAS - HOME DELIVERY 2025'!J299*'COMUNAS - HOME DELIVERY 2025'!$Q$7</f>
        <v>8296.2479999999996</v>
      </c>
      <c r="K299" s="65">
        <f>+'COMUNAS - HOME DELIVERY 2025'!K299*'COMUNAS - HOME DELIVERY 2025'!$Q$7</f>
        <v>9521.232</v>
      </c>
      <c r="L299" s="65">
        <f>+'COMUNAS - HOME DELIVERY 2025'!L299*'COMUNAS - HOME DELIVERY 2025'!$Q$7</f>
        <v>10788.528</v>
      </c>
      <c r="M299" s="66">
        <f>+'COMUNAS - HOME DELIVERY 2025'!M299*'COMUNAS - HOME DELIVERY 2025'!$Q$7</f>
        <v>579.98400000000004</v>
      </c>
      <c r="N299" s="67">
        <f>+'COMUNAS - HOME DELIVERY 2025'!N299*'COMUNAS - HOME DELIVERY 2025'!$Q$7</f>
        <v>471.62400000000002</v>
      </c>
      <c r="O299" s="60"/>
      <c r="P299" s="2"/>
      <c r="Q299" s="2"/>
      <c r="R299" s="2"/>
      <c r="S299" s="2"/>
      <c r="T299" s="2"/>
      <c r="U299" s="2"/>
      <c r="V299" s="2"/>
      <c r="W299" s="2"/>
      <c r="X299" s="2"/>
      <c r="Y299" s="38"/>
    </row>
    <row r="300" spans="2:25" ht="15.75" customHeight="1" x14ac:dyDescent="0.3">
      <c r="B300" s="2"/>
      <c r="C300" s="61" t="s">
        <v>621</v>
      </c>
      <c r="D300" s="62" t="s">
        <v>657</v>
      </c>
      <c r="E300" s="63" t="s">
        <v>658</v>
      </c>
      <c r="F300" s="64">
        <f>+'COMUNAS - HOME DELIVERY 2025'!F300*'COMUNAS - HOME DELIVERY 2025'!$Q$7</f>
        <v>5114.5920000000006</v>
      </c>
      <c r="G300" s="65">
        <f>+'COMUNAS - HOME DELIVERY 2025'!G300*'COMUNAS - HOME DELIVERY 2025'!$Q$7</f>
        <v>5460.3119999999999</v>
      </c>
      <c r="H300" s="65">
        <f>+'COMUNAS - HOME DELIVERY 2025'!H300*'COMUNAS - HOME DELIVERY 2025'!$Q$7</f>
        <v>6050.616</v>
      </c>
      <c r="I300" s="65">
        <f>+'COMUNAS - HOME DELIVERY 2025'!I300*'COMUNAS - HOME DELIVERY 2025'!$Q$7</f>
        <v>6696.6480000000001</v>
      </c>
      <c r="J300" s="65">
        <f>+'COMUNAS - HOME DELIVERY 2025'!J300*'COMUNAS - HOME DELIVERY 2025'!$Q$7</f>
        <v>8517.0959999999995</v>
      </c>
      <c r="K300" s="65">
        <f>+'COMUNAS - HOME DELIVERY 2025'!K300*'COMUNAS - HOME DELIVERY 2025'!$Q$7</f>
        <v>9719.3760000000002</v>
      </c>
      <c r="L300" s="65">
        <f>+'COMUNAS - HOME DELIVERY 2025'!L300*'COMUNAS - HOME DELIVERY 2025'!$Q$7</f>
        <v>10981.512000000001</v>
      </c>
      <c r="M300" s="66">
        <f>+'COMUNAS - HOME DELIVERY 2025'!M300*'COMUNAS - HOME DELIVERY 2025'!$Q$7</f>
        <v>577.92000000000007</v>
      </c>
      <c r="N300" s="67">
        <f>+'COMUNAS - HOME DELIVERY 2025'!N300*'COMUNAS - HOME DELIVERY 2025'!$Q$7</f>
        <v>480.91200000000003</v>
      </c>
      <c r="O300" s="60"/>
      <c r="P300" s="2"/>
      <c r="Q300" s="2"/>
      <c r="R300" s="2"/>
      <c r="S300" s="2"/>
      <c r="T300" s="2"/>
      <c r="U300" s="2"/>
      <c r="V300" s="2"/>
      <c r="W300" s="2"/>
      <c r="X300" s="2"/>
      <c r="Y300" s="38"/>
    </row>
    <row r="301" spans="2:25" ht="15.75" customHeight="1" x14ac:dyDescent="0.3">
      <c r="B301" s="2"/>
      <c r="C301" s="61" t="s">
        <v>621</v>
      </c>
      <c r="D301" s="62" t="s">
        <v>659</v>
      </c>
      <c r="E301" s="63" t="s">
        <v>660</v>
      </c>
      <c r="F301" s="64">
        <f>+'COMUNAS - HOME DELIVERY 2025'!F301*'COMUNAS - HOME DELIVERY 2025'!$Q$7</f>
        <v>4999.0079999999998</v>
      </c>
      <c r="G301" s="65">
        <f>+'COMUNAS - HOME DELIVERY 2025'!G301*'COMUNAS - HOME DELIVERY 2025'!$Q$7</f>
        <v>5335.4400000000005</v>
      </c>
      <c r="H301" s="65">
        <f>+'COMUNAS - HOME DELIVERY 2025'!H301*'COMUNAS - HOME DELIVERY 2025'!$Q$7</f>
        <v>5912.3280000000004</v>
      </c>
      <c r="I301" s="65">
        <f>+'COMUNAS - HOME DELIVERY 2025'!I301*'COMUNAS - HOME DELIVERY 2025'!$Q$7</f>
        <v>6610.9920000000002</v>
      </c>
      <c r="J301" s="65">
        <f>+'COMUNAS - HOME DELIVERY 2025'!J301*'COMUNAS - HOME DELIVERY 2025'!$Q$7</f>
        <v>8296.2479999999996</v>
      </c>
      <c r="K301" s="65">
        <f>+'COMUNAS - HOME DELIVERY 2025'!K301*'COMUNAS - HOME DELIVERY 2025'!$Q$7</f>
        <v>9521.232</v>
      </c>
      <c r="L301" s="65">
        <f>+'COMUNAS - HOME DELIVERY 2025'!L301*'COMUNAS - HOME DELIVERY 2025'!$Q$7</f>
        <v>10788.528</v>
      </c>
      <c r="M301" s="66">
        <f>+'COMUNAS - HOME DELIVERY 2025'!M301*'COMUNAS - HOME DELIVERY 2025'!$Q$7</f>
        <v>579.98400000000004</v>
      </c>
      <c r="N301" s="67">
        <f>+'COMUNAS - HOME DELIVERY 2025'!N301*'COMUNAS - HOME DELIVERY 2025'!$Q$7</f>
        <v>471.62400000000002</v>
      </c>
      <c r="O301" s="60"/>
      <c r="P301" s="2"/>
      <c r="Q301" s="2"/>
      <c r="R301" s="2"/>
      <c r="S301" s="2"/>
      <c r="T301" s="2"/>
      <c r="U301" s="2"/>
      <c r="V301" s="2"/>
      <c r="W301" s="2"/>
      <c r="X301" s="2"/>
      <c r="Y301" s="38"/>
    </row>
    <row r="302" spans="2:25" ht="15.75" customHeight="1" x14ac:dyDescent="0.3">
      <c r="B302" s="2"/>
      <c r="C302" s="61" t="s">
        <v>621</v>
      </c>
      <c r="D302" s="62" t="s">
        <v>661</v>
      </c>
      <c r="E302" s="63" t="s">
        <v>662</v>
      </c>
      <c r="F302" s="64">
        <f>+'COMUNAS - HOME DELIVERY 2025'!F302*'COMUNAS - HOME DELIVERY 2025'!$Q$7</f>
        <v>4999.0079999999998</v>
      </c>
      <c r="G302" s="65">
        <f>+'COMUNAS - HOME DELIVERY 2025'!G302*'COMUNAS - HOME DELIVERY 2025'!$Q$7</f>
        <v>5335.4400000000005</v>
      </c>
      <c r="H302" s="65">
        <f>+'COMUNAS - HOME DELIVERY 2025'!H302*'COMUNAS - HOME DELIVERY 2025'!$Q$7</f>
        <v>5912.3280000000004</v>
      </c>
      <c r="I302" s="65">
        <f>+'COMUNAS - HOME DELIVERY 2025'!I302*'COMUNAS - HOME DELIVERY 2025'!$Q$7</f>
        <v>6610.9920000000002</v>
      </c>
      <c r="J302" s="65">
        <f>+'COMUNAS - HOME DELIVERY 2025'!J302*'COMUNAS - HOME DELIVERY 2025'!$Q$7</f>
        <v>8296.2479999999996</v>
      </c>
      <c r="K302" s="65">
        <f>+'COMUNAS - HOME DELIVERY 2025'!K302*'COMUNAS - HOME DELIVERY 2025'!$Q$7</f>
        <v>9521.232</v>
      </c>
      <c r="L302" s="65">
        <f>+'COMUNAS - HOME DELIVERY 2025'!L302*'COMUNAS - HOME DELIVERY 2025'!$Q$7</f>
        <v>10788.528</v>
      </c>
      <c r="M302" s="66">
        <f>+'COMUNAS - HOME DELIVERY 2025'!M302*'COMUNAS - HOME DELIVERY 2025'!$Q$7</f>
        <v>579.98400000000004</v>
      </c>
      <c r="N302" s="67">
        <f>+'COMUNAS - HOME DELIVERY 2025'!N302*'COMUNAS - HOME DELIVERY 2025'!$Q$7</f>
        <v>471.62400000000002</v>
      </c>
      <c r="O302" s="60"/>
      <c r="P302" s="2"/>
      <c r="Q302" s="2"/>
      <c r="R302" s="2"/>
      <c r="S302" s="2"/>
      <c r="T302" s="2"/>
      <c r="U302" s="2"/>
      <c r="V302" s="2"/>
      <c r="W302" s="2"/>
      <c r="X302" s="2"/>
      <c r="Y302" s="38"/>
    </row>
    <row r="303" spans="2:25" ht="15.75" customHeight="1" x14ac:dyDescent="0.3">
      <c r="B303" s="2"/>
      <c r="C303" s="61" t="s">
        <v>621</v>
      </c>
      <c r="D303" s="62" t="s">
        <v>663</v>
      </c>
      <c r="E303" s="63" t="s">
        <v>664</v>
      </c>
      <c r="F303" s="64">
        <f>+'COMUNAS - HOME DELIVERY 2025'!F303*'COMUNAS - HOME DELIVERY 2025'!$Q$7</f>
        <v>4999.0079999999998</v>
      </c>
      <c r="G303" s="65">
        <f>+'COMUNAS - HOME DELIVERY 2025'!G303*'COMUNAS - HOME DELIVERY 2025'!$Q$7</f>
        <v>5335.4400000000005</v>
      </c>
      <c r="H303" s="65">
        <f>+'COMUNAS - HOME DELIVERY 2025'!H303*'COMUNAS - HOME DELIVERY 2025'!$Q$7</f>
        <v>5912.3280000000004</v>
      </c>
      <c r="I303" s="65">
        <f>+'COMUNAS - HOME DELIVERY 2025'!I303*'COMUNAS - HOME DELIVERY 2025'!$Q$7</f>
        <v>6610.9920000000002</v>
      </c>
      <c r="J303" s="65">
        <f>+'COMUNAS - HOME DELIVERY 2025'!J303*'COMUNAS - HOME DELIVERY 2025'!$Q$7</f>
        <v>8296.2479999999996</v>
      </c>
      <c r="K303" s="65">
        <f>+'COMUNAS - HOME DELIVERY 2025'!K303*'COMUNAS - HOME DELIVERY 2025'!$Q$7</f>
        <v>9521.232</v>
      </c>
      <c r="L303" s="65">
        <f>+'COMUNAS - HOME DELIVERY 2025'!L303*'COMUNAS - HOME DELIVERY 2025'!$Q$7</f>
        <v>10788.528</v>
      </c>
      <c r="M303" s="66">
        <f>+'COMUNAS - HOME DELIVERY 2025'!M303*'COMUNAS - HOME DELIVERY 2025'!$Q$7</f>
        <v>579.98400000000004</v>
      </c>
      <c r="N303" s="67">
        <f>+'COMUNAS - HOME DELIVERY 2025'!N303*'COMUNAS - HOME DELIVERY 2025'!$Q$7</f>
        <v>471.62400000000002</v>
      </c>
      <c r="O303" s="60"/>
      <c r="P303" s="2"/>
      <c r="Q303" s="2"/>
      <c r="R303" s="2"/>
      <c r="S303" s="2"/>
      <c r="T303" s="2"/>
      <c r="U303" s="2"/>
      <c r="V303" s="2"/>
      <c r="W303" s="2"/>
      <c r="X303" s="2"/>
      <c r="Y303" s="38"/>
    </row>
    <row r="304" spans="2:25" ht="15.75" customHeight="1" x14ac:dyDescent="0.3">
      <c r="B304" s="2"/>
      <c r="C304" s="61" t="s">
        <v>621</v>
      </c>
      <c r="D304" s="62" t="s">
        <v>665</v>
      </c>
      <c r="E304" s="63" t="s">
        <v>666</v>
      </c>
      <c r="F304" s="64">
        <f>+'COMUNAS - HOME DELIVERY 2025'!F304*'COMUNAS - HOME DELIVERY 2025'!$Q$7</f>
        <v>7671.8879999999999</v>
      </c>
      <c r="G304" s="65">
        <f>+'COMUNAS - HOME DELIVERY 2025'!G304*'COMUNAS - HOME DELIVERY 2025'!$Q$7</f>
        <v>8190.4679999999998</v>
      </c>
      <c r="H304" s="65">
        <f>+'COMUNAS - HOME DELIVERY 2025'!H304*'COMUNAS - HOME DELIVERY 2025'!$Q$7</f>
        <v>9075.9240000000009</v>
      </c>
      <c r="I304" s="65">
        <f>+'COMUNAS - HOME DELIVERY 2025'!I304*'COMUNAS - HOME DELIVERY 2025'!$Q$7</f>
        <v>10044.972</v>
      </c>
      <c r="J304" s="65">
        <f>+'COMUNAS - HOME DELIVERY 2025'!J304*'COMUNAS - HOME DELIVERY 2025'!$Q$7</f>
        <v>12775.644</v>
      </c>
      <c r="K304" s="65">
        <f>+'COMUNAS - HOME DELIVERY 2025'!K304*'COMUNAS - HOME DELIVERY 2025'!$Q$7</f>
        <v>14579.064</v>
      </c>
      <c r="L304" s="65">
        <f>+'COMUNAS - HOME DELIVERY 2025'!L304*'COMUNAS - HOME DELIVERY 2025'!$Q$7</f>
        <v>16472.268</v>
      </c>
      <c r="M304" s="66">
        <f>+'COMUNAS - HOME DELIVERY 2025'!M304*'COMUNAS - HOME DELIVERY 2025'!$Q$7</f>
        <v>866.88</v>
      </c>
      <c r="N304" s="67">
        <f>+'COMUNAS - HOME DELIVERY 2025'!N304*'COMUNAS - HOME DELIVERY 2025'!$Q$7</f>
        <v>721.36800000000005</v>
      </c>
      <c r="O304" s="60"/>
      <c r="P304" s="2"/>
      <c r="Q304" s="2"/>
      <c r="R304" s="2"/>
      <c r="S304" s="2"/>
      <c r="T304" s="2"/>
      <c r="U304" s="2"/>
      <c r="V304" s="2"/>
      <c r="W304" s="2"/>
      <c r="X304" s="2"/>
      <c r="Y304" s="38"/>
    </row>
    <row r="305" spans="2:25" ht="15.75" customHeight="1" x14ac:dyDescent="0.3">
      <c r="B305" s="2"/>
      <c r="C305" s="61" t="s">
        <v>621</v>
      </c>
      <c r="D305" s="62" t="s">
        <v>667</v>
      </c>
      <c r="E305" s="63" t="s">
        <v>668</v>
      </c>
      <c r="F305" s="64">
        <f>+'COMUNAS - HOME DELIVERY 2025'!F305*'COMUNAS - HOME DELIVERY 2025'!$Q$7</f>
        <v>5114.5920000000006</v>
      </c>
      <c r="G305" s="65">
        <f>+'COMUNAS - HOME DELIVERY 2025'!G305*'COMUNAS - HOME DELIVERY 2025'!$Q$7</f>
        <v>5460.3119999999999</v>
      </c>
      <c r="H305" s="65">
        <f>+'COMUNAS - HOME DELIVERY 2025'!H305*'COMUNAS - HOME DELIVERY 2025'!$Q$7</f>
        <v>6050.616</v>
      </c>
      <c r="I305" s="65">
        <f>+'COMUNAS - HOME DELIVERY 2025'!I305*'COMUNAS - HOME DELIVERY 2025'!$Q$7</f>
        <v>6696.6480000000001</v>
      </c>
      <c r="J305" s="65">
        <f>+'COMUNAS - HOME DELIVERY 2025'!J305*'COMUNAS - HOME DELIVERY 2025'!$Q$7</f>
        <v>8517.0959999999995</v>
      </c>
      <c r="K305" s="65">
        <f>+'COMUNAS - HOME DELIVERY 2025'!K305*'COMUNAS - HOME DELIVERY 2025'!$Q$7</f>
        <v>9719.3760000000002</v>
      </c>
      <c r="L305" s="65">
        <f>+'COMUNAS - HOME DELIVERY 2025'!L305*'COMUNAS - HOME DELIVERY 2025'!$Q$7</f>
        <v>10981.512000000001</v>
      </c>
      <c r="M305" s="66">
        <f>+'COMUNAS - HOME DELIVERY 2025'!M305*'COMUNAS - HOME DELIVERY 2025'!$Q$7</f>
        <v>577.92000000000007</v>
      </c>
      <c r="N305" s="67">
        <f>+'COMUNAS - HOME DELIVERY 2025'!N305*'COMUNAS - HOME DELIVERY 2025'!$Q$7</f>
        <v>480.91200000000003</v>
      </c>
      <c r="O305" s="60"/>
      <c r="P305" s="2"/>
      <c r="Q305" s="2"/>
      <c r="R305" s="2"/>
      <c r="S305" s="2"/>
      <c r="T305" s="2"/>
      <c r="U305" s="2"/>
      <c r="V305" s="2"/>
      <c r="W305" s="2"/>
      <c r="X305" s="2"/>
      <c r="Y305" s="38"/>
    </row>
    <row r="306" spans="2:25" ht="15.75" customHeight="1" x14ac:dyDescent="0.3">
      <c r="B306" s="2"/>
      <c r="C306" s="61" t="s">
        <v>621</v>
      </c>
      <c r="D306" s="62" t="s">
        <v>669</v>
      </c>
      <c r="E306" s="63" t="s">
        <v>670</v>
      </c>
      <c r="F306" s="64">
        <f>+'COMUNAS - HOME DELIVERY 2025'!F306*'COMUNAS - HOME DELIVERY 2025'!$Q$7</f>
        <v>4999.0079999999998</v>
      </c>
      <c r="G306" s="65">
        <f>+'COMUNAS - HOME DELIVERY 2025'!G306*'COMUNAS - HOME DELIVERY 2025'!$Q$7</f>
        <v>5335.4400000000005</v>
      </c>
      <c r="H306" s="65">
        <f>+'COMUNAS - HOME DELIVERY 2025'!H306*'COMUNAS - HOME DELIVERY 2025'!$Q$7</f>
        <v>5912.3280000000004</v>
      </c>
      <c r="I306" s="65">
        <f>+'COMUNAS - HOME DELIVERY 2025'!I306*'COMUNAS - HOME DELIVERY 2025'!$Q$7</f>
        <v>6610.9920000000002</v>
      </c>
      <c r="J306" s="65">
        <f>+'COMUNAS - HOME DELIVERY 2025'!J306*'COMUNAS - HOME DELIVERY 2025'!$Q$7</f>
        <v>8296.2479999999996</v>
      </c>
      <c r="K306" s="65">
        <f>+'COMUNAS - HOME DELIVERY 2025'!K306*'COMUNAS - HOME DELIVERY 2025'!$Q$7</f>
        <v>9521.232</v>
      </c>
      <c r="L306" s="65">
        <f>+'COMUNAS - HOME DELIVERY 2025'!L306*'COMUNAS - HOME DELIVERY 2025'!$Q$7</f>
        <v>10788.528</v>
      </c>
      <c r="M306" s="66">
        <f>+'COMUNAS - HOME DELIVERY 2025'!M306*'COMUNAS - HOME DELIVERY 2025'!$Q$7</f>
        <v>579.98400000000004</v>
      </c>
      <c r="N306" s="67">
        <f>+'COMUNAS - HOME DELIVERY 2025'!N306*'COMUNAS - HOME DELIVERY 2025'!$Q$7</f>
        <v>471.62400000000002</v>
      </c>
      <c r="O306" s="60"/>
      <c r="P306" s="2"/>
      <c r="Q306" s="2"/>
      <c r="R306" s="2"/>
      <c r="S306" s="2"/>
      <c r="T306" s="2"/>
      <c r="U306" s="2"/>
      <c r="V306" s="2"/>
      <c r="W306" s="2"/>
      <c r="X306" s="2"/>
      <c r="Y306" s="38"/>
    </row>
    <row r="307" spans="2:25" ht="15.75" customHeight="1" x14ac:dyDescent="0.3">
      <c r="B307" s="2"/>
      <c r="C307" s="61" t="s">
        <v>621</v>
      </c>
      <c r="D307" s="62" t="s">
        <v>671</v>
      </c>
      <c r="E307" s="63" t="s">
        <v>672</v>
      </c>
      <c r="F307" s="64">
        <f>+'COMUNAS - HOME DELIVERY 2025'!F307*'COMUNAS - HOME DELIVERY 2025'!$Q$7</f>
        <v>5114.5920000000006</v>
      </c>
      <c r="G307" s="65">
        <f>+'COMUNAS - HOME DELIVERY 2025'!G307*'COMUNAS - HOME DELIVERY 2025'!$Q$7</f>
        <v>5460.3119999999999</v>
      </c>
      <c r="H307" s="65">
        <f>+'COMUNAS - HOME DELIVERY 2025'!H307*'COMUNAS - HOME DELIVERY 2025'!$Q$7</f>
        <v>6050.616</v>
      </c>
      <c r="I307" s="65">
        <f>+'COMUNAS - HOME DELIVERY 2025'!I307*'COMUNAS - HOME DELIVERY 2025'!$Q$7</f>
        <v>6696.6480000000001</v>
      </c>
      <c r="J307" s="65">
        <f>+'COMUNAS - HOME DELIVERY 2025'!J307*'COMUNAS - HOME DELIVERY 2025'!$Q$7</f>
        <v>8517.0959999999995</v>
      </c>
      <c r="K307" s="65">
        <f>+'COMUNAS - HOME DELIVERY 2025'!K307*'COMUNAS - HOME DELIVERY 2025'!$Q$7</f>
        <v>9719.3760000000002</v>
      </c>
      <c r="L307" s="65">
        <f>+'COMUNAS - HOME DELIVERY 2025'!L307*'COMUNAS - HOME DELIVERY 2025'!$Q$7</f>
        <v>10981.512000000001</v>
      </c>
      <c r="M307" s="66">
        <f>+'COMUNAS - HOME DELIVERY 2025'!M307*'COMUNAS - HOME DELIVERY 2025'!$Q$7</f>
        <v>577.92000000000007</v>
      </c>
      <c r="N307" s="67">
        <f>+'COMUNAS - HOME DELIVERY 2025'!N307*'COMUNAS - HOME DELIVERY 2025'!$Q$7</f>
        <v>480.91200000000003</v>
      </c>
      <c r="O307" s="60"/>
      <c r="P307" s="2"/>
      <c r="Q307" s="2"/>
      <c r="R307" s="2"/>
      <c r="S307" s="2"/>
      <c r="T307" s="2"/>
      <c r="U307" s="2"/>
      <c r="V307" s="2"/>
      <c r="W307" s="2"/>
      <c r="X307" s="2"/>
      <c r="Y307" s="38"/>
    </row>
    <row r="308" spans="2:25" ht="15.75" customHeight="1" x14ac:dyDescent="0.3">
      <c r="B308" s="2"/>
      <c r="C308" s="61" t="s">
        <v>621</v>
      </c>
      <c r="D308" s="62" t="s">
        <v>673</v>
      </c>
      <c r="E308" s="63" t="s">
        <v>674</v>
      </c>
      <c r="F308" s="64">
        <f>+'COMUNAS - HOME DELIVERY 2025'!F308*'COMUNAS - HOME DELIVERY 2025'!$Q$7</f>
        <v>8379.3240000000005</v>
      </c>
      <c r="G308" s="65">
        <f>+'COMUNAS - HOME DELIVERY 2025'!G308*'COMUNAS - HOME DELIVERY 2025'!$Q$7</f>
        <v>9353.0159999999996</v>
      </c>
      <c r="H308" s="65">
        <f>+'COMUNAS - HOME DELIVERY 2025'!H308*'COMUNAS - HOME DELIVERY 2025'!$Q$7</f>
        <v>10445.904</v>
      </c>
      <c r="I308" s="65">
        <f>+'COMUNAS - HOME DELIVERY 2025'!I308*'COMUNAS - HOME DELIVERY 2025'!$Q$7</f>
        <v>12450.564</v>
      </c>
      <c r="J308" s="65">
        <f>+'COMUNAS - HOME DELIVERY 2025'!J308*'COMUNAS - HOME DELIVERY 2025'!$Q$7</f>
        <v>14518.692000000001</v>
      </c>
      <c r="K308" s="65">
        <f>+'COMUNAS - HOME DELIVERY 2025'!K308*'COMUNAS - HOME DELIVERY 2025'!$Q$7</f>
        <v>17343.792000000001</v>
      </c>
      <c r="L308" s="65">
        <f>+'COMUNAS - HOME DELIVERY 2025'!L308*'COMUNAS - HOME DELIVERY 2025'!$Q$7</f>
        <v>19455.263999999999</v>
      </c>
      <c r="M308" s="66">
        <f>+'COMUNAS - HOME DELIVERY 2025'!M308*'COMUNAS - HOME DELIVERY 2025'!$Q$7</f>
        <v>893.19600000000003</v>
      </c>
      <c r="N308" s="67">
        <f>+'COMUNAS - HOME DELIVERY 2025'!N308*'COMUNAS - HOME DELIVERY 2025'!$Q$7</f>
        <v>729.10800000000006</v>
      </c>
      <c r="O308" s="60"/>
      <c r="P308" s="2"/>
      <c r="Q308" s="2"/>
      <c r="R308" s="2"/>
      <c r="S308" s="2"/>
      <c r="T308" s="2"/>
      <c r="U308" s="2"/>
      <c r="V308" s="2"/>
      <c r="W308" s="2"/>
      <c r="X308" s="2"/>
      <c r="Y308" s="38"/>
    </row>
    <row r="309" spans="2:25" ht="15.75" customHeight="1" x14ac:dyDescent="0.3">
      <c r="B309" s="2"/>
      <c r="C309" s="61" t="s">
        <v>621</v>
      </c>
      <c r="D309" s="62" t="s">
        <v>675</v>
      </c>
      <c r="E309" s="63" t="s">
        <v>676</v>
      </c>
      <c r="F309" s="64">
        <f>+'COMUNAS - HOME DELIVERY 2025'!F309*'COMUNAS - HOME DELIVERY 2025'!$Q$7</f>
        <v>5114.5920000000006</v>
      </c>
      <c r="G309" s="65">
        <f>+'COMUNAS - HOME DELIVERY 2025'!G309*'COMUNAS - HOME DELIVERY 2025'!$Q$7</f>
        <v>5460.3119999999999</v>
      </c>
      <c r="H309" s="65">
        <f>+'COMUNAS - HOME DELIVERY 2025'!H309*'COMUNAS - HOME DELIVERY 2025'!$Q$7</f>
        <v>6050.616</v>
      </c>
      <c r="I309" s="65">
        <f>+'COMUNAS - HOME DELIVERY 2025'!I309*'COMUNAS - HOME DELIVERY 2025'!$Q$7</f>
        <v>6696.6480000000001</v>
      </c>
      <c r="J309" s="65">
        <f>+'COMUNAS - HOME DELIVERY 2025'!J309*'COMUNAS - HOME DELIVERY 2025'!$Q$7</f>
        <v>8517.0959999999995</v>
      </c>
      <c r="K309" s="65">
        <f>+'COMUNAS - HOME DELIVERY 2025'!K309*'COMUNAS - HOME DELIVERY 2025'!$Q$7</f>
        <v>9719.3760000000002</v>
      </c>
      <c r="L309" s="65">
        <f>+'COMUNAS - HOME DELIVERY 2025'!L309*'COMUNAS - HOME DELIVERY 2025'!$Q$7</f>
        <v>10981.512000000001</v>
      </c>
      <c r="M309" s="66">
        <f>+'COMUNAS - HOME DELIVERY 2025'!M309*'COMUNAS - HOME DELIVERY 2025'!$Q$7</f>
        <v>577.92000000000007</v>
      </c>
      <c r="N309" s="67">
        <f>+'COMUNAS - HOME DELIVERY 2025'!N309*'COMUNAS - HOME DELIVERY 2025'!$Q$7</f>
        <v>480.91200000000003</v>
      </c>
      <c r="O309" s="60"/>
      <c r="P309" s="2"/>
      <c r="Q309" s="2"/>
      <c r="R309" s="2"/>
      <c r="S309" s="2"/>
      <c r="T309" s="2"/>
      <c r="U309" s="2"/>
      <c r="V309" s="2"/>
      <c r="W309" s="2"/>
      <c r="X309" s="2"/>
      <c r="Y309" s="38"/>
    </row>
    <row r="310" spans="2:25" ht="15.75" customHeight="1" thickBot="1" x14ac:dyDescent="0.35">
      <c r="B310" s="2"/>
      <c r="C310" s="68" t="s">
        <v>621</v>
      </c>
      <c r="D310" s="69" t="s">
        <v>677</v>
      </c>
      <c r="E310" s="70" t="s">
        <v>678</v>
      </c>
      <c r="F310" s="71">
        <f>+'COMUNAS - HOME DELIVERY 2025'!F310*'COMUNAS - HOME DELIVERY 2025'!$Q$7</f>
        <v>5114.5920000000006</v>
      </c>
      <c r="G310" s="72">
        <f>+'COMUNAS - HOME DELIVERY 2025'!G310*'COMUNAS - HOME DELIVERY 2025'!$Q$7</f>
        <v>5460.3119999999999</v>
      </c>
      <c r="H310" s="72">
        <f>+'COMUNAS - HOME DELIVERY 2025'!H310*'COMUNAS - HOME DELIVERY 2025'!$Q$7</f>
        <v>6050.616</v>
      </c>
      <c r="I310" s="72">
        <f>+'COMUNAS - HOME DELIVERY 2025'!I310*'COMUNAS - HOME DELIVERY 2025'!$Q$7</f>
        <v>6696.6480000000001</v>
      </c>
      <c r="J310" s="72">
        <f>+'COMUNAS - HOME DELIVERY 2025'!J310*'COMUNAS - HOME DELIVERY 2025'!$Q$7</f>
        <v>8517.0959999999995</v>
      </c>
      <c r="K310" s="72">
        <f>+'COMUNAS - HOME DELIVERY 2025'!K310*'COMUNAS - HOME DELIVERY 2025'!$Q$7</f>
        <v>9719.3760000000002</v>
      </c>
      <c r="L310" s="72">
        <f>+'COMUNAS - HOME DELIVERY 2025'!L310*'COMUNAS - HOME DELIVERY 2025'!$Q$7</f>
        <v>10981.512000000001</v>
      </c>
      <c r="M310" s="73">
        <f>+'COMUNAS - HOME DELIVERY 2025'!M310*'COMUNAS - HOME DELIVERY 2025'!$Q$7</f>
        <v>577.92000000000007</v>
      </c>
      <c r="N310" s="74">
        <f>+'COMUNAS - HOME DELIVERY 2025'!N310*'COMUNAS - HOME DELIVERY 2025'!$Q$7</f>
        <v>480.91200000000003</v>
      </c>
      <c r="O310" s="60"/>
      <c r="P310" s="2"/>
      <c r="Q310" s="2"/>
      <c r="R310" s="2"/>
      <c r="S310" s="2"/>
      <c r="T310" s="2"/>
      <c r="U310" s="2"/>
      <c r="V310" s="2"/>
      <c r="W310" s="2"/>
      <c r="X310" s="2"/>
      <c r="Y310" s="38"/>
    </row>
    <row r="311" spans="2:25" ht="18" thickBot="1" x14ac:dyDescent="0.35">
      <c r="B311" s="2"/>
      <c r="C311" s="210" t="s">
        <v>65</v>
      </c>
      <c r="D311" s="211"/>
      <c r="E311" s="128"/>
      <c r="F311" s="128"/>
      <c r="G311" s="128"/>
      <c r="H311" s="128"/>
      <c r="I311" s="128"/>
      <c r="J311" s="128"/>
      <c r="K311" s="128"/>
      <c r="L311" s="128"/>
      <c r="M311" s="156"/>
      <c r="N311" s="15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38"/>
    </row>
    <row r="312" spans="2:25" ht="15.75" customHeight="1" thickBot="1" x14ac:dyDescent="0.35">
      <c r="B312" s="2"/>
      <c r="C312" s="84" t="s">
        <v>70</v>
      </c>
      <c r="D312" s="85" t="s">
        <v>71</v>
      </c>
      <c r="E312" s="48" t="s">
        <v>72</v>
      </c>
      <c r="F312" s="48" t="s">
        <v>10</v>
      </c>
      <c r="G312" s="48" t="s">
        <v>11</v>
      </c>
      <c r="H312" s="48" t="s">
        <v>12</v>
      </c>
      <c r="I312" s="49" t="s">
        <v>13</v>
      </c>
      <c r="J312" s="49" t="s">
        <v>14</v>
      </c>
      <c r="K312" s="50" t="s">
        <v>15</v>
      </c>
      <c r="L312" s="50" t="s">
        <v>16</v>
      </c>
      <c r="M312" s="48" t="s">
        <v>17</v>
      </c>
      <c r="N312" s="51" t="s">
        <v>18</v>
      </c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38"/>
    </row>
    <row r="313" spans="2:25" ht="15.75" customHeight="1" x14ac:dyDescent="0.3">
      <c r="B313" s="2"/>
      <c r="C313" s="53" t="s">
        <v>679</v>
      </c>
      <c r="D313" s="54" t="s">
        <v>680</v>
      </c>
      <c r="E313" s="55" t="s">
        <v>57</v>
      </c>
      <c r="F313" s="56">
        <f>+'COMUNAS - HOME DELIVERY 2025'!F313*'COMUNAS - HOME DELIVERY 2025'!$Q$7</f>
        <v>6294.1680000000006</v>
      </c>
      <c r="G313" s="57">
        <f>+'COMUNAS - HOME DELIVERY 2025'!G313*'COMUNAS - HOME DELIVERY 2025'!$Q$7</f>
        <v>7419.0479999999998</v>
      </c>
      <c r="H313" s="57">
        <f>+'COMUNAS - HOME DELIVERY 2025'!H313*'COMUNAS - HOME DELIVERY 2025'!$Q$7</f>
        <v>8981.496000000001</v>
      </c>
      <c r="I313" s="57">
        <f>+'COMUNAS - HOME DELIVERY 2025'!I313*'COMUNAS - HOME DELIVERY 2025'!$Q$7</f>
        <v>10623.407999999999</v>
      </c>
      <c r="J313" s="57">
        <f>+'COMUNAS - HOME DELIVERY 2025'!J313*'COMUNAS - HOME DELIVERY 2025'!$Q$7</f>
        <v>17714.28</v>
      </c>
      <c r="K313" s="57">
        <f>+'COMUNAS - HOME DELIVERY 2025'!K313*'COMUNAS - HOME DELIVERY 2025'!$Q$7</f>
        <v>27794.856</v>
      </c>
      <c r="L313" s="57">
        <f>+'COMUNAS - HOME DELIVERY 2025'!L313*'COMUNAS - HOME DELIVERY 2025'!$Q$7</f>
        <v>32588.495999999999</v>
      </c>
      <c r="M313" s="58">
        <f>+'COMUNAS - HOME DELIVERY 2025'!M313*'COMUNAS - HOME DELIVERY 2025'!$Q$7</f>
        <v>1608.8880000000001</v>
      </c>
      <c r="N313" s="59">
        <f>+'COMUNAS - HOME DELIVERY 2025'!N313*'COMUNAS - HOME DELIVERY 2025'!$Q$7</f>
        <v>1553.16</v>
      </c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38"/>
    </row>
    <row r="314" spans="2:25" ht="15.75" customHeight="1" x14ac:dyDescent="0.3">
      <c r="B314" s="2"/>
      <c r="C314" s="61" t="s">
        <v>679</v>
      </c>
      <c r="D314" s="62" t="s">
        <v>681</v>
      </c>
      <c r="E314" s="63" t="s">
        <v>682</v>
      </c>
      <c r="F314" s="64">
        <f>+'COMUNAS - HOME DELIVERY 2025'!F314*'COMUNAS - HOME DELIVERY 2025'!$Q$7</f>
        <v>24921.252</v>
      </c>
      <c r="G314" s="65">
        <f>+'COMUNAS - HOME DELIVERY 2025'!G314*'COMUNAS - HOME DELIVERY 2025'!$Q$7</f>
        <v>26608.572</v>
      </c>
      <c r="H314" s="65">
        <f>+'COMUNAS - HOME DELIVERY 2025'!H314*'COMUNAS - HOME DELIVERY 2025'!$Q$7</f>
        <v>28952.244000000002</v>
      </c>
      <c r="I314" s="65">
        <f>+'COMUNAS - HOME DELIVERY 2025'!I314*'COMUNAS - HOME DELIVERY 2025'!$Q$7</f>
        <v>31415.112000000001</v>
      </c>
      <c r="J314" s="65">
        <f>+'COMUNAS - HOME DELIVERY 2025'!J314*'COMUNAS - HOME DELIVERY 2025'!$Q$7</f>
        <v>42051.42</v>
      </c>
      <c r="K314" s="65">
        <f>+'COMUNAS - HOME DELIVERY 2025'!K314*'COMUNAS - HOME DELIVERY 2025'!$Q$7</f>
        <v>57172.284</v>
      </c>
      <c r="L314" s="65">
        <f>+'COMUNAS - HOME DELIVERY 2025'!L314*'COMUNAS - HOME DELIVERY 2025'!$Q$7</f>
        <v>64362.743999999999</v>
      </c>
      <c r="M314" s="66">
        <f>+'COMUNAS - HOME DELIVERY 2025'!M314*'COMUNAS - HOME DELIVERY 2025'!$Q$7</f>
        <v>2413.3319999999999</v>
      </c>
      <c r="N314" s="67">
        <f>+'COMUNAS - HOME DELIVERY 2025'!N314*'COMUNAS - HOME DELIVERY 2025'!$Q$7</f>
        <v>2329.7400000000002</v>
      </c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38"/>
    </row>
    <row r="315" spans="2:25" ht="15.75" customHeight="1" x14ac:dyDescent="0.3">
      <c r="B315" s="2"/>
      <c r="C315" s="61" t="s">
        <v>679</v>
      </c>
      <c r="D315" s="62" t="s">
        <v>683</v>
      </c>
      <c r="E315" s="63" t="s">
        <v>684</v>
      </c>
      <c r="F315" s="64">
        <f>+'COMUNAS - HOME DELIVERY 2025'!F315*'COMUNAS - HOME DELIVERY 2025'!$Q$7</f>
        <v>24921.252</v>
      </c>
      <c r="G315" s="65">
        <f>+'COMUNAS - HOME DELIVERY 2025'!G315*'COMUNAS - HOME DELIVERY 2025'!$Q$7</f>
        <v>26608.572</v>
      </c>
      <c r="H315" s="65">
        <f>+'COMUNAS - HOME DELIVERY 2025'!H315*'COMUNAS - HOME DELIVERY 2025'!$Q$7</f>
        <v>28952.244000000002</v>
      </c>
      <c r="I315" s="65">
        <f>+'COMUNAS - HOME DELIVERY 2025'!I315*'COMUNAS - HOME DELIVERY 2025'!$Q$7</f>
        <v>31415.112000000001</v>
      </c>
      <c r="J315" s="65">
        <f>+'COMUNAS - HOME DELIVERY 2025'!J315*'COMUNAS - HOME DELIVERY 2025'!$Q$7</f>
        <v>42051.42</v>
      </c>
      <c r="K315" s="65">
        <f>+'COMUNAS - HOME DELIVERY 2025'!K315*'COMUNAS - HOME DELIVERY 2025'!$Q$7</f>
        <v>57172.284</v>
      </c>
      <c r="L315" s="65">
        <f>+'COMUNAS - HOME DELIVERY 2025'!L315*'COMUNAS - HOME DELIVERY 2025'!$Q$7</f>
        <v>64362.743999999999</v>
      </c>
      <c r="M315" s="66">
        <f>+'COMUNAS - HOME DELIVERY 2025'!M315*'COMUNAS - HOME DELIVERY 2025'!$Q$7</f>
        <v>2413.3319999999999</v>
      </c>
      <c r="N315" s="67">
        <f>+'COMUNAS - HOME DELIVERY 2025'!N315*'COMUNAS - HOME DELIVERY 2025'!$Q$7</f>
        <v>2329.7400000000002</v>
      </c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38"/>
    </row>
    <row r="316" spans="2:25" ht="15.75" customHeight="1" thickBot="1" x14ac:dyDescent="0.35">
      <c r="B316" s="2"/>
      <c r="C316" s="68" t="s">
        <v>679</v>
      </c>
      <c r="D316" s="69" t="s">
        <v>685</v>
      </c>
      <c r="E316" s="70" t="s">
        <v>686</v>
      </c>
      <c r="F316" s="71">
        <f>+'COMUNAS - HOME DELIVERY 2025'!F316*'COMUNAS - HOME DELIVERY 2025'!$Q$7</f>
        <v>24921.252</v>
      </c>
      <c r="G316" s="72">
        <f>+'COMUNAS - HOME DELIVERY 2025'!G316*'COMUNAS - HOME DELIVERY 2025'!$Q$7</f>
        <v>26608.572</v>
      </c>
      <c r="H316" s="72">
        <f>+'COMUNAS - HOME DELIVERY 2025'!H316*'COMUNAS - HOME DELIVERY 2025'!$Q$7</f>
        <v>28952.244000000002</v>
      </c>
      <c r="I316" s="72">
        <f>+'COMUNAS - HOME DELIVERY 2025'!I316*'COMUNAS - HOME DELIVERY 2025'!$Q$7</f>
        <v>31415.112000000001</v>
      </c>
      <c r="J316" s="72">
        <f>+'COMUNAS - HOME DELIVERY 2025'!J316*'COMUNAS - HOME DELIVERY 2025'!$Q$7</f>
        <v>42051.42</v>
      </c>
      <c r="K316" s="72">
        <f>+'COMUNAS - HOME DELIVERY 2025'!K316*'COMUNAS - HOME DELIVERY 2025'!$Q$7</f>
        <v>57172.284</v>
      </c>
      <c r="L316" s="72">
        <f>+'COMUNAS - HOME DELIVERY 2025'!L316*'COMUNAS - HOME DELIVERY 2025'!$Q$7</f>
        <v>64362.743999999999</v>
      </c>
      <c r="M316" s="73">
        <f>+'COMUNAS - HOME DELIVERY 2025'!M316*'COMUNAS - HOME DELIVERY 2025'!$Q$7</f>
        <v>2413.3319999999999</v>
      </c>
      <c r="N316" s="74">
        <f>+'COMUNAS - HOME DELIVERY 2025'!N316*'COMUNAS - HOME DELIVERY 2025'!$Q$7</f>
        <v>2329.7400000000002</v>
      </c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38"/>
    </row>
    <row r="317" spans="2:25" ht="15.75" customHeight="1" x14ac:dyDescent="0.3">
      <c r="B317" s="2"/>
      <c r="C317" s="53" t="s">
        <v>687</v>
      </c>
      <c r="D317" s="54" t="s">
        <v>688</v>
      </c>
      <c r="E317" s="55" t="s">
        <v>58</v>
      </c>
      <c r="F317" s="56">
        <f>+'COMUNAS - HOME DELIVERY 2025'!F317*'COMUNAS - HOME DELIVERY 2025'!$Q$7</f>
        <v>5883.4319999999998</v>
      </c>
      <c r="G317" s="57">
        <f>+'COMUNAS - HOME DELIVERY 2025'!G317*'COMUNAS - HOME DELIVERY 2025'!$Q$7</f>
        <v>6934.0079999999998</v>
      </c>
      <c r="H317" s="57">
        <f>+'COMUNAS - HOME DELIVERY 2025'!H317*'COMUNAS - HOME DELIVERY 2025'!$Q$7</f>
        <v>8395.32</v>
      </c>
      <c r="I317" s="57">
        <f>+'COMUNAS - HOME DELIVERY 2025'!I317*'COMUNAS - HOME DELIVERY 2025'!$Q$7</f>
        <v>9927.84</v>
      </c>
      <c r="J317" s="57">
        <f>+'COMUNAS - HOME DELIVERY 2025'!J317*'COMUNAS - HOME DELIVERY 2025'!$Q$7</f>
        <v>16554.312000000002</v>
      </c>
      <c r="K317" s="57">
        <f>+'COMUNAS - HOME DELIVERY 2025'!K317*'COMUNAS - HOME DELIVERY 2025'!$Q$7</f>
        <v>25979.567999999999</v>
      </c>
      <c r="L317" s="57">
        <f>+'COMUNAS - HOME DELIVERY 2025'!L317*'COMUNAS - HOME DELIVERY 2025'!$Q$7</f>
        <v>30662.784</v>
      </c>
      <c r="M317" s="58">
        <f>+'COMUNAS - HOME DELIVERY 2025'!M317*'COMUNAS - HOME DELIVERY 2025'!$Q$7</f>
        <v>1560.384</v>
      </c>
      <c r="N317" s="59">
        <f>+'COMUNAS - HOME DELIVERY 2025'!N317*'COMUNAS - HOME DELIVERY 2025'!$Q$7</f>
        <v>1467.5040000000001</v>
      </c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38"/>
    </row>
    <row r="318" spans="2:25" ht="15.75" customHeight="1" x14ac:dyDescent="0.3">
      <c r="B318" s="2"/>
      <c r="C318" s="61" t="s">
        <v>687</v>
      </c>
      <c r="D318" s="62" t="s">
        <v>689</v>
      </c>
      <c r="E318" s="63" t="s">
        <v>690</v>
      </c>
      <c r="F318" s="64">
        <f>+'COMUNAS - HOME DELIVERY 2025'!F318*'COMUNAS - HOME DELIVERY 2025'!$Q$7</f>
        <v>5883.4319999999998</v>
      </c>
      <c r="G318" s="65">
        <f>+'COMUNAS - HOME DELIVERY 2025'!G318*'COMUNAS - HOME DELIVERY 2025'!$Q$7</f>
        <v>6934.0079999999998</v>
      </c>
      <c r="H318" s="65">
        <f>+'COMUNAS - HOME DELIVERY 2025'!H318*'COMUNAS - HOME DELIVERY 2025'!$Q$7</f>
        <v>8395.32</v>
      </c>
      <c r="I318" s="65">
        <f>+'COMUNAS - HOME DELIVERY 2025'!I318*'COMUNAS - HOME DELIVERY 2025'!$Q$7</f>
        <v>9927.84</v>
      </c>
      <c r="J318" s="65">
        <f>+'COMUNAS - HOME DELIVERY 2025'!J318*'COMUNAS - HOME DELIVERY 2025'!$Q$7</f>
        <v>16554.312000000002</v>
      </c>
      <c r="K318" s="65">
        <f>+'COMUNAS - HOME DELIVERY 2025'!K318*'COMUNAS - HOME DELIVERY 2025'!$Q$7</f>
        <v>25979.567999999999</v>
      </c>
      <c r="L318" s="65">
        <f>+'COMUNAS - HOME DELIVERY 2025'!L318*'COMUNAS - HOME DELIVERY 2025'!$Q$7</f>
        <v>30662.784</v>
      </c>
      <c r="M318" s="66">
        <f>+'COMUNAS - HOME DELIVERY 2025'!M318*'COMUNAS - HOME DELIVERY 2025'!$Q$7</f>
        <v>1560.384</v>
      </c>
      <c r="N318" s="67">
        <f>+'COMUNAS - HOME DELIVERY 2025'!N318*'COMUNAS - HOME DELIVERY 2025'!$Q$7</f>
        <v>1467.5040000000001</v>
      </c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38"/>
    </row>
    <row r="319" spans="2:25" ht="15.75" customHeight="1" x14ac:dyDescent="0.3">
      <c r="B319" s="2"/>
      <c r="C319" s="61" t="s">
        <v>687</v>
      </c>
      <c r="D319" s="62" t="s">
        <v>691</v>
      </c>
      <c r="E319" s="63" t="s">
        <v>692</v>
      </c>
      <c r="F319" s="64">
        <f>+'COMUNAS - HOME DELIVERY 2025'!F319*'COMUNAS - HOME DELIVERY 2025'!$Q$7</f>
        <v>24305.148000000001</v>
      </c>
      <c r="G319" s="65">
        <f>+'COMUNAS - HOME DELIVERY 2025'!G319*'COMUNAS - HOME DELIVERY 2025'!$Q$7</f>
        <v>25881.012000000002</v>
      </c>
      <c r="H319" s="65">
        <f>+'COMUNAS - HOME DELIVERY 2025'!H319*'COMUNAS - HOME DELIVERY 2025'!$Q$7</f>
        <v>28072.98</v>
      </c>
      <c r="I319" s="65">
        <f>+'COMUNAS - HOME DELIVERY 2025'!I319*'COMUNAS - HOME DELIVERY 2025'!$Q$7</f>
        <v>30371.760000000002</v>
      </c>
      <c r="J319" s="65">
        <f>+'COMUNAS - HOME DELIVERY 2025'!J319*'COMUNAS - HOME DELIVERY 2025'!$Q$7</f>
        <v>40311.468000000001</v>
      </c>
      <c r="K319" s="65">
        <f>+'COMUNAS - HOME DELIVERY 2025'!K319*'COMUNAS - HOME DELIVERY 2025'!$Q$7</f>
        <v>54449.351999999999</v>
      </c>
      <c r="L319" s="65">
        <f>+'COMUNAS - HOME DELIVERY 2025'!L319*'COMUNAS - HOME DELIVERY 2025'!$Q$7</f>
        <v>61474.175999999999</v>
      </c>
      <c r="M319" s="66">
        <f>+'COMUNAS - HOME DELIVERY 2025'!M319*'COMUNAS - HOME DELIVERY 2025'!$Q$7</f>
        <v>2340.576</v>
      </c>
      <c r="N319" s="67">
        <f>+'COMUNAS - HOME DELIVERY 2025'!N319*'COMUNAS - HOME DELIVERY 2025'!$Q$7</f>
        <v>2201.2559999999999</v>
      </c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38"/>
    </row>
    <row r="320" spans="2:25" ht="15.75" customHeight="1" x14ac:dyDescent="0.3">
      <c r="B320" s="2"/>
      <c r="C320" s="61" t="s">
        <v>687</v>
      </c>
      <c r="D320" s="62" t="s">
        <v>693</v>
      </c>
      <c r="E320" s="63" t="s">
        <v>694</v>
      </c>
      <c r="F320" s="64">
        <f>+'COMUNAS - HOME DELIVERY 2025'!F320*'COMUNAS - HOME DELIVERY 2025'!$Q$7</f>
        <v>24305.148000000001</v>
      </c>
      <c r="G320" s="65">
        <f>+'COMUNAS - HOME DELIVERY 2025'!G320*'COMUNAS - HOME DELIVERY 2025'!$Q$7</f>
        <v>25881.012000000002</v>
      </c>
      <c r="H320" s="65">
        <f>+'COMUNAS - HOME DELIVERY 2025'!H320*'COMUNAS - HOME DELIVERY 2025'!$Q$7</f>
        <v>28072.98</v>
      </c>
      <c r="I320" s="65">
        <f>+'COMUNAS - HOME DELIVERY 2025'!I320*'COMUNAS - HOME DELIVERY 2025'!$Q$7</f>
        <v>30371.760000000002</v>
      </c>
      <c r="J320" s="65">
        <f>+'COMUNAS - HOME DELIVERY 2025'!J320*'COMUNAS - HOME DELIVERY 2025'!$Q$7</f>
        <v>40311.468000000001</v>
      </c>
      <c r="K320" s="65">
        <f>+'COMUNAS - HOME DELIVERY 2025'!K320*'COMUNAS - HOME DELIVERY 2025'!$Q$7</f>
        <v>54449.351999999999</v>
      </c>
      <c r="L320" s="65">
        <f>+'COMUNAS - HOME DELIVERY 2025'!L320*'COMUNAS - HOME DELIVERY 2025'!$Q$7</f>
        <v>61474.175999999999</v>
      </c>
      <c r="M320" s="66">
        <f>+'COMUNAS - HOME DELIVERY 2025'!M320*'COMUNAS - HOME DELIVERY 2025'!$Q$7</f>
        <v>2340.576</v>
      </c>
      <c r="N320" s="67">
        <f>+'COMUNAS - HOME DELIVERY 2025'!N320*'COMUNAS - HOME DELIVERY 2025'!$Q$7</f>
        <v>2201.2559999999999</v>
      </c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38"/>
    </row>
    <row r="321" spans="2:25" ht="15.75" customHeight="1" x14ac:dyDescent="0.3">
      <c r="B321" s="2"/>
      <c r="C321" s="61" t="s">
        <v>687</v>
      </c>
      <c r="D321" s="62" t="s">
        <v>695</v>
      </c>
      <c r="E321" s="63" t="s">
        <v>696</v>
      </c>
      <c r="F321" s="64">
        <f>+'COMUNAS - HOME DELIVERY 2025'!F321*'COMUNAS - HOME DELIVERY 2025'!$Q$7</f>
        <v>8825.148000000001</v>
      </c>
      <c r="G321" s="65">
        <f>+'COMUNAS - HOME DELIVERY 2025'!G321*'COMUNAS - HOME DELIVERY 2025'!$Q$7</f>
        <v>10401.012000000001</v>
      </c>
      <c r="H321" s="65">
        <f>+'COMUNAS - HOME DELIVERY 2025'!H321*'COMUNAS - HOME DELIVERY 2025'!$Q$7</f>
        <v>12592.98</v>
      </c>
      <c r="I321" s="65">
        <f>+'COMUNAS - HOME DELIVERY 2025'!I321*'COMUNAS - HOME DELIVERY 2025'!$Q$7</f>
        <v>14891.76</v>
      </c>
      <c r="J321" s="65">
        <f>+'COMUNAS - HOME DELIVERY 2025'!J321*'COMUNAS - HOME DELIVERY 2025'!$Q$7</f>
        <v>24831.468000000001</v>
      </c>
      <c r="K321" s="65">
        <f>+'COMUNAS - HOME DELIVERY 2025'!K321*'COMUNAS - HOME DELIVERY 2025'!$Q$7</f>
        <v>38969.351999999999</v>
      </c>
      <c r="L321" s="65">
        <f>+'COMUNAS - HOME DELIVERY 2025'!L321*'COMUNAS - HOME DELIVERY 2025'!$Q$7</f>
        <v>45994.175999999999</v>
      </c>
      <c r="M321" s="66">
        <f>+'COMUNAS - HOME DELIVERY 2025'!M321*'COMUNAS - HOME DELIVERY 2025'!$Q$7</f>
        <v>2340.576</v>
      </c>
      <c r="N321" s="67">
        <f>+'COMUNAS - HOME DELIVERY 2025'!N321*'COMUNAS - HOME DELIVERY 2025'!$Q$7</f>
        <v>2201.2559999999999</v>
      </c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38"/>
    </row>
    <row r="322" spans="2:25" ht="15.75" customHeight="1" x14ac:dyDescent="0.3">
      <c r="B322" s="2"/>
      <c r="C322" s="61" t="s">
        <v>687</v>
      </c>
      <c r="D322" s="62" t="s">
        <v>697</v>
      </c>
      <c r="E322" s="63" t="s">
        <v>698</v>
      </c>
      <c r="F322" s="64">
        <f>+'COMUNAS - HOME DELIVERY 2025'!F322*'COMUNAS - HOME DELIVERY 2025'!$Q$7</f>
        <v>8825.148000000001</v>
      </c>
      <c r="G322" s="65">
        <f>+'COMUNAS - HOME DELIVERY 2025'!G322*'COMUNAS - HOME DELIVERY 2025'!$Q$7</f>
        <v>10401.012000000001</v>
      </c>
      <c r="H322" s="65">
        <f>+'COMUNAS - HOME DELIVERY 2025'!H322*'COMUNAS - HOME DELIVERY 2025'!$Q$7</f>
        <v>12592.98</v>
      </c>
      <c r="I322" s="65">
        <f>+'COMUNAS - HOME DELIVERY 2025'!I322*'COMUNAS - HOME DELIVERY 2025'!$Q$7</f>
        <v>14891.76</v>
      </c>
      <c r="J322" s="65">
        <f>+'COMUNAS - HOME DELIVERY 2025'!J322*'COMUNAS - HOME DELIVERY 2025'!$Q$7</f>
        <v>24831.468000000001</v>
      </c>
      <c r="K322" s="65">
        <f>+'COMUNAS - HOME DELIVERY 2025'!K322*'COMUNAS - HOME DELIVERY 2025'!$Q$7</f>
        <v>38969.351999999999</v>
      </c>
      <c r="L322" s="65">
        <f>+'COMUNAS - HOME DELIVERY 2025'!L322*'COMUNAS - HOME DELIVERY 2025'!$Q$7</f>
        <v>45994.175999999999</v>
      </c>
      <c r="M322" s="66">
        <f>+'COMUNAS - HOME DELIVERY 2025'!M322*'COMUNAS - HOME DELIVERY 2025'!$Q$7</f>
        <v>2340.576</v>
      </c>
      <c r="N322" s="67">
        <f>+'COMUNAS - HOME DELIVERY 2025'!N322*'COMUNAS - HOME DELIVERY 2025'!$Q$7</f>
        <v>2201.2559999999999</v>
      </c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38"/>
    </row>
    <row r="323" spans="2:25" ht="15.75" customHeight="1" thickBot="1" x14ac:dyDescent="0.35">
      <c r="B323" s="2"/>
      <c r="C323" s="68" t="s">
        <v>687</v>
      </c>
      <c r="D323" s="69" t="s">
        <v>699</v>
      </c>
      <c r="E323" s="70" t="s">
        <v>700</v>
      </c>
      <c r="F323" s="71">
        <f>+'COMUNAS - HOME DELIVERY 2025'!F323*'COMUNAS - HOME DELIVERY 2025'!$Q$7</f>
        <v>8825.148000000001</v>
      </c>
      <c r="G323" s="72">
        <f>+'COMUNAS - HOME DELIVERY 2025'!G323*'COMUNAS - HOME DELIVERY 2025'!$Q$7</f>
        <v>10401.012000000001</v>
      </c>
      <c r="H323" s="72">
        <f>+'COMUNAS - HOME DELIVERY 2025'!H323*'COMUNAS - HOME DELIVERY 2025'!$Q$7</f>
        <v>12592.98</v>
      </c>
      <c r="I323" s="72">
        <f>+'COMUNAS - HOME DELIVERY 2025'!I323*'COMUNAS - HOME DELIVERY 2025'!$Q$7</f>
        <v>14891.76</v>
      </c>
      <c r="J323" s="72">
        <f>+'COMUNAS - HOME DELIVERY 2025'!J323*'COMUNAS - HOME DELIVERY 2025'!$Q$7</f>
        <v>24831.468000000001</v>
      </c>
      <c r="K323" s="72">
        <f>+'COMUNAS - HOME DELIVERY 2025'!K323*'COMUNAS - HOME DELIVERY 2025'!$Q$7</f>
        <v>38969.351999999999</v>
      </c>
      <c r="L323" s="72">
        <f>+'COMUNAS - HOME DELIVERY 2025'!L323*'COMUNAS - HOME DELIVERY 2025'!$Q$7</f>
        <v>45994.175999999999</v>
      </c>
      <c r="M323" s="73">
        <f>+'COMUNAS - HOME DELIVERY 2025'!M323*'COMUNAS - HOME DELIVERY 2025'!$Q$7</f>
        <v>2340.576</v>
      </c>
      <c r="N323" s="74">
        <f>+'COMUNAS - HOME DELIVERY 2025'!N323*'COMUNAS - HOME DELIVERY 2025'!$Q$7</f>
        <v>2201.2559999999999</v>
      </c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38"/>
    </row>
    <row r="324" spans="2:25" ht="15.75" customHeight="1" x14ac:dyDescent="0.3">
      <c r="B324" s="2"/>
      <c r="C324" s="53" t="s">
        <v>701</v>
      </c>
      <c r="D324" s="54" t="s">
        <v>702</v>
      </c>
      <c r="E324" s="55" t="s">
        <v>60</v>
      </c>
      <c r="F324" s="56">
        <f>+'COMUNAS - HOME DELIVERY 2025'!F324*'COMUNAS - HOME DELIVERY 2025'!$Q$7</f>
        <v>5693.5439999999999</v>
      </c>
      <c r="G324" s="57">
        <f>+'COMUNAS - HOME DELIVERY 2025'!G324*'COMUNAS - HOME DELIVERY 2025'!$Q$7</f>
        <v>6585.192</v>
      </c>
      <c r="H324" s="57">
        <f>+'COMUNAS - HOME DELIVERY 2025'!H324*'COMUNAS - HOME DELIVERY 2025'!$Q$7</f>
        <v>7975.2960000000003</v>
      </c>
      <c r="I324" s="57">
        <f>+'COMUNAS - HOME DELIVERY 2025'!I324*'COMUNAS - HOME DELIVERY 2025'!$Q$7</f>
        <v>9431.4480000000003</v>
      </c>
      <c r="J324" s="57">
        <f>+'COMUNAS - HOME DELIVERY 2025'!J324*'COMUNAS - HOME DELIVERY 2025'!$Q$7</f>
        <v>15727.68</v>
      </c>
      <c r="K324" s="57">
        <f>+'COMUNAS - HOME DELIVERY 2025'!K324*'COMUNAS - HOME DELIVERY 2025'!$Q$7</f>
        <v>24679.248</v>
      </c>
      <c r="L324" s="57">
        <f>+'COMUNAS - HOME DELIVERY 2025'!L324*'COMUNAS - HOME DELIVERY 2025'!$Q$7</f>
        <v>29201.472000000002</v>
      </c>
      <c r="M324" s="58">
        <f>+'COMUNAS - HOME DELIVERY 2025'!M324*'COMUNAS - HOME DELIVERY 2025'!$Q$7</f>
        <v>1489.1759999999999</v>
      </c>
      <c r="N324" s="59">
        <f>+'COMUNAS - HOME DELIVERY 2025'!N324*'COMUNAS - HOME DELIVERY 2025'!$Q$7</f>
        <v>1389.0720000000001</v>
      </c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38"/>
    </row>
    <row r="325" spans="2:25" ht="15.75" customHeight="1" x14ac:dyDescent="0.3">
      <c r="B325" s="2"/>
      <c r="C325" s="61" t="s">
        <v>701</v>
      </c>
      <c r="D325" s="62" t="s">
        <v>703</v>
      </c>
      <c r="E325" s="63" t="s">
        <v>59</v>
      </c>
      <c r="F325" s="64">
        <f>+'COMUNAS - HOME DELIVERY 2025'!F325*'COMUNAS - HOME DELIVERY 2025'!$Q$7</f>
        <v>5883.4319999999998</v>
      </c>
      <c r="G325" s="65">
        <f>+'COMUNAS - HOME DELIVERY 2025'!G325*'COMUNAS - HOME DELIVERY 2025'!$Q$7</f>
        <v>6934.0079999999998</v>
      </c>
      <c r="H325" s="65">
        <f>+'COMUNAS - HOME DELIVERY 2025'!H325*'COMUNAS - HOME DELIVERY 2025'!$Q$7</f>
        <v>8395.32</v>
      </c>
      <c r="I325" s="65">
        <f>+'COMUNAS - HOME DELIVERY 2025'!I325*'COMUNAS - HOME DELIVERY 2025'!$Q$7</f>
        <v>9927.84</v>
      </c>
      <c r="J325" s="65">
        <f>+'COMUNAS - HOME DELIVERY 2025'!J325*'COMUNAS - HOME DELIVERY 2025'!$Q$7</f>
        <v>16554.312000000002</v>
      </c>
      <c r="K325" s="65">
        <f>+'COMUNAS - HOME DELIVERY 2025'!K325*'COMUNAS - HOME DELIVERY 2025'!$Q$7</f>
        <v>25979.567999999999</v>
      </c>
      <c r="L325" s="65">
        <f>+'COMUNAS - HOME DELIVERY 2025'!L325*'COMUNAS - HOME DELIVERY 2025'!$Q$7</f>
        <v>30662.784</v>
      </c>
      <c r="M325" s="66">
        <f>+'COMUNAS - HOME DELIVERY 2025'!M325*'COMUNAS - HOME DELIVERY 2025'!$Q$7</f>
        <v>1560.384</v>
      </c>
      <c r="N325" s="67">
        <f>+'COMUNAS - HOME DELIVERY 2025'!N325*'COMUNAS - HOME DELIVERY 2025'!$Q$7</f>
        <v>1467.5040000000001</v>
      </c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38"/>
    </row>
    <row r="326" spans="2:25" ht="15.75" customHeight="1" x14ac:dyDescent="0.3">
      <c r="B326" s="2"/>
      <c r="C326" s="61" t="s">
        <v>701</v>
      </c>
      <c r="D326" s="62" t="s">
        <v>704</v>
      </c>
      <c r="E326" s="63" t="s">
        <v>705</v>
      </c>
      <c r="F326" s="64">
        <f>+'COMUNAS - HOME DELIVERY 2025'!F326*'COMUNAS - HOME DELIVERY 2025'!$Q$7</f>
        <v>8540.3160000000007</v>
      </c>
      <c r="G326" s="65">
        <f>+'COMUNAS - HOME DELIVERY 2025'!G326*'COMUNAS - HOME DELIVERY 2025'!$Q$7</f>
        <v>9877.7880000000005</v>
      </c>
      <c r="H326" s="65">
        <f>+'COMUNAS - HOME DELIVERY 2025'!H326*'COMUNAS - HOME DELIVERY 2025'!$Q$7</f>
        <v>11962.944</v>
      </c>
      <c r="I326" s="65">
        <f>+'COMUNAS - HOME DELIVERY 2025'!I326*'COMUNAS - HOME DELIVERY 2025'!$Q$7</f>
        <v>14147.172</v>
      </c>
      <c r="J326" s="65">
        <f>+'COMUNAS - HOME DELIVERY 2025'!J326*'COMUNAS - HOME DELIVERY 2025'!$Q$7</f>
        <v>23591.52</v>
      </c>
      <c r="K326" s="65">
        <f>+'COMUNAS - HOME DELIVERY 2025'!K326*'COMUNAS - HOME DELIVERY 2025'!$Q$7</f>
        <v>37018.872000000003</v>
      </c>
      <c r="L326" s="65">
        <f>+'COMUNAS - HOME DELIVERY 2025'!L326*'COMUNAS - HOME DELIVERY 2025'!$Q$7</f>
        <v>43802.207999999999</v>
      </c>
      <c r="M326" s="66">
        <f>+'COMUNAS - HOME DELIVERY 2025'!M326*'COMUNAS - HOME DELIVERY 2025'!$Q$7</f>
        <v>2233.7640000000001</v>
      </c>
      <c r="N326" s="67">
        <f>+'COMUNAS - HOME DELIVERY 2025'!N326*'COMUNAS - HOME DELIVERY 2025'!$Q$7</f>
        <v>2083.6080000000002</v>
      </c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38"/>
    </row>
    <row r="327" spans="2:25" ht="15.75" customHeight="1" x14ac:dyDescent="0.3">
      <c r="B327" s="2"/>
      <c r="C327" s="61" t="s">
        <v>701</v>
      </c>
      <c r="D327" s="62" t="s">
        <v>706</v>
      </c>
      <c r="E327" s="63" t="s">
        <v>707</v>
      </c>
      <c r="F327" s="64">
        <f>+'COMUNAS - HOME DELIVERY 2025'!F327*'COMUNAS - HOME DELIVERY 2025'!$Q$7</f>
        <v>8540.3160000000007</v>
      </c>
      <c r="G327" s="65">
        <f>+'COMUNAS - HOME DELIVERY 2025'!G327*'COMUNAS - HOME DELIVERY 2025'!$Q$7</f>
        <v>9877.7880000000005</v>
      </c>
      <c r="H327" s="65">
        <f>+'COMUNAS - HOME DELIVERY 2025'!H327*'COMUNAS - HOME DELIVERY 2025'!$Q$7</f>
        <v>11962.944</v>
      </c>
      <c r="I327" s="65">
        <f>+'COMUNAS - HOME DELIVERY 2025'!I327*'COMUNAS - HOME DELIVERY 2025'!$Q$7</f>
        <v>14147.172</v>
      </c>
      <c r="J327" s="65">
        <f>+'COMUNAS - HOME DELIVERY 2025'!J327*'COMUNAS - HOME DELIVERY 2025'!$Q$7</f>
        <v>23591.52</v>
      </c>
      <c r="K327" s="65">
        <f>+'COMUNAS - HOME DELIVERY 2025'!K327*'COMUNAS - HOME DELIVERY 2025'!$Q$7</f>
        <v>37018.872000000003</v>
      </c>
      <c r="L327" s="65">
        <f>+'COMUNAS - HOME DELIVERY 2025'!L327*'COMUNAS - HOME DELIVERY 2025'!$Q$7</f>
        <v>43802.207999999999</v>
      </c>
      <c r="M327" s="66">
        <f>+'COMUNAS - HOME DELIVERY 2025'!M327*'COMUNAS - HOME DELIVERY 2025'!$Q$7</f>
        <v>2233.7640000000001</v>
      </c>
      <c r="N327" s="67">
        <f>+'COMUNAS - HOME DELIVERY 2025'!N327*'COMUNAS - HOME DELIVERY 2025'!$Q$7</f>
        <v>2083.6080000000002</v>
      </c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38"/>
    </row>
    <row r="328" spans="2:25" ht="15.75" customHeight="1" x14ac:dyDescent="0.3">
      <c r="B328" s="2"/>
      <c r="C328" s="61" t="s">
        <v>701</v>
      </c>
      <c r="D328" s="62" t="s">
        <v>708</v>
      </c>
      <c r="E328" s="63" t="s">
        <v>709</v>
      </c>
      <c r="F328" s="64">
        <f>+'COMUNAS - HOME DELIVERY 2025'!F328*'COMUNAS - HOME DELIVERY 2025'!$Q$7</f>
        <v>24305.148000000001</v>
      </c>
      <c r="G328" s="65">
        <f>+'COMUNAS - HOME DELIVERY 2025'!G328*'COMUNAS - HOME DELIVERY 2025'!$Q$7</f>
        <v>25881.012000000002</v>
      </c>
      <c r="H328" s="65">
        <f>+'COMUNAS - HOME DELIVERY 2025'!H328*'COMUNAS - HOME DELIVERY 2025'!$Q$7</f>
        <v>28072.98</v>
      </c>
      <c r="I328" s="65">
        <f>+'COMUNAS - HOME DELIVERY 2025'!I328*'COMUNAS - HOME DELIVERY 2025'!$Q$7</f>
        <v>30371.760000000002</v>
      </c>
      <c r="J328" s="65">
        <f>+'COMUNAS - HOME DELIVERY 2025'!J328*'COMUNAS - HOME DELIVERY 2025'!$Q$7</f>
        <v>40311.468000000001</v>
      </c>
      <c r="K328" s="65">
        <f>+'COMUNAS - HOME DELIVERY 2025'!K328*'COMUNAS - HOME DELIVERY 2025'!$Q$7</f>
        <v>54449.351999999999</v>
      </c>
      <c r="L328" s="65">
        <f>+'COMUNAS - HOME DELIVERY 2025'!L328*'COMUNAS - HOME DELIVERY 2025'!$Q$7</f>
        <v>61474.175999999999</v>
      </c>
      <c r="M328" s="66">
        <f>+'COMUNAS - HOME DELIVERY 2025'!M328*'COMUNAS - HOME DELIVERY 2025'!$Q$7</f>
        <v>2340.576</v>
      </c>
      <c r="N328" s="67">
        <f>+'COMUNAS - HOME DELIVERY 2025'!N328*'COMUNAS - HOME DELIVERY 2025'!$Q$7</f>
        <v>2201.2559999999999</v>
      </c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38"/>
    </row>
    <row r="329" spans="2:25" ht="15.75" customHeight="1" x14ac:dyDescent="0.3">
      <c r="B329" s="2"/>
      <c r="C329" s="61" t="s">
        <v>701</v>
      </c>
      <c r="D329" s="62" t="s">
        <v>710</v>
      </c>
      <c r="E329" s="63" t="s">
        <v>711</v>
      </c>
      <c r="F329" s="64">
        <f>+'COMUNAS - HOME DELIVERY 2025'!F329*'COMUNAS - HOME DELIVERY 2025'!$Q$7</f>
        <v>8825.148000000001</v>
      </c>
      <c r="G329" s="65">
        <f>+'COMUNAS - HOME DELIVERY 2025'!G329*'COMUNAS - HOME DELIVERY 2025'!$Q$7</f>
        <v>10401.012000000001</v>
      </c>
      <c r="H329" s="65">
        <f>+'COMUNAS - HOME DELIVERY 2025'!H329*'COMUNAS - HOME DELIVERY 2025'!$Q$7</f>
        <v>12592.98</v>
      </c>
      <c r="I329" s="65">
        <f>+'COMUNAS - HOME DELIVERY 2025'!I329*'COMUNAS - HOME DELIVERY 2025'!$Q$7</f>
        <v>14891.76</v>
      </c>
      <c r="J329" s="65">
        <f>+'COMUNAS - HOME DELIVERY 2025'!J329*'COMUNAS - HOME DELIVERY 2025'!$Q$7</f>
        <v>24831.468000000001</v>
      </c>
      <c r="K329" s="65">
        <f>+'COMUNAS - HOME DELIVERY 2025'!K329*'COMUNAS - HOME DELIVERY 2025'!$Q$7</f>
        <v>38969.351999999999</v>
      </c>
      <c r="L329" s="65">
        <f>+'COMUNAS - HOME DELIVERY 2025'!L329*'COMUNAS - HOME DELIVERY 2025'!$Q$7</f>
        <v>45994.175999999999</v>
      </c>
      <c r="M329" s="66">
        <f>+'COMUNAS - HOME DELIVERY 2025'!M329*'COMUNAS - HOME DELIVERY 2025'!$Q$7</f>
        <v>2340.576</v>
      </c>
      <c r="N329" s="67">
        <f>+'COMUNAS - HOME DELIVERY 2025'!N329*'COMUNAS - HOME DELIVERY 2025'!$Q$7</f>
        <v>2201.2559999999999</v>
      </c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38"/>
    </row>
    <row r="330" spans="2:25" ht="15.75" customHeight="1" x14ac:dyDescent="0.3">
      <c r="B330" s="2"/>
      <c r="C330" s="61" t="s">
        <v>701</v>
      </c>
      <c r="D330" s="62" t="s">
        <v>712</v>
      </c>
      <c r="E330" s="63" t="s">
        <v>713</v>
      </c>
      <c r="F330" s="64">
        <f>+'COMUNAS - HOME DELIVERY 2025'!F330*'COMUNAS - HOME DELIVERY 2025'!$Q$7</f>
        <v>8825.148000000001</v>
      </c>
      <c r="G330" s="65">
        <f>+'COMUNAS - HOME DELIVERY 2025'!G330*'COMUNAS - HOME DELIVERY 2025'!$Q$7</f>
        <v>10401.012000000001</v>
      </c>
      <c r="H330" s="65">
        <f>+'COMUNAS - HOME DELIVERY 2025'!H330*'COMUNAS - HOME DELIVERY 2025'!$Q$7</f>
        <v>12592.98</v>
      </c>
      <c r="I330" s="65">
        <f>+'COMUNAS - HOME DELIVERY 2025'!I330*'COMUNAS - HOME DELIVERY 2025'!$Q$7</f>
        <v>14891.76</v>
      </c>
      <c r="J330" s="65">
        <f>+'COMUNAS - HOME DELIVERY 2025'!J330*'COMUNAS - HOME DELIVERY 2025'!$Q$7</f>
        <v>24831.468000000001</v>
      </c>
      <c r="K330" s="65">
        <f>+'COMUNAS - HOME DELIVERY 2025'!K330*'COMUNAS - HOME DELIVERY 2025'!$Q$7</f>
        <v>38969.351999999999</v>
      </c>
      <c r="L330" s="65">
        <f>+'COMUNAS - HOME DELIVERY 2025'!L330*'COMUNAS - HOME DELIVERY 2025'!$Q$7</f>
        <v>45994.175999999999</v>
      </c>
      <c r="M330" s="66">
        <f>+'COMUNAS - HOME DELIVERY 2025'!M330*'COMUNAS - HOME DELIVERY 2025'!$Q$7</f>
        <v>2340.576</v>
      </c>
      <c r="N330" s="67">
        <f>+'COMUNAS - HOME DELIVERY 2025'!N330*'COMUNAS - HOME DELIVERY 2025'!$Q$7</f>
        <v>2201.2559999999999</v>
      </c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38"/>
    </row>
    <row r="331" spans="2:25" ht="15.75" customHeight="1" x14ac:dyDescent="0.3">
      <c r="B331" s="2"/>
      <c r="C331" s="61" t="s">
        <v>701</v>
      </c>
      <c r="D331" s="62" t="s">
        <v>714</v>
      </c>
      <c r="E331" s="63" t="s">
        <v>715</v>
      </c>
      <c r="F331" s="64">
        <f>+'COMUNAS - HOME DELIVERY 2025'!F331*'COMUNAS - HOME DELIVERY 2025'!$Q$7</f>
        <v>8540.3160000000007</v>
      </c>
      <c r="G331" s="65">
        <f>+'COMUNAS - HOME DELIVERY 2025'!G331*'COMUNAS - HOME DELIVERY 2025'!$Q$7</f>
        <v>9877.7880000000005</v>
      </c>
      <c r="H331" s="65">
        <f>+'COMUNAS - HOME DELIVERY 2025'!H331*'COMUNAS - HOME DELIVERY 2025'!$Q$7</f>
        <v>11962.944</v>
      </c>
      <c r="I331" s="65">
        <f>+'COMUNAS - HOME DELIVERY 2025'!I331*'COMUNAS - HOME DELIVERY 2025'!$Q$7</f>
        <v>14147.172</v>
      </c>
      <c r="J331" s="65">
        <f>+'COMUNAS - HOME DELIVERY 2025'!J331*'COMUNAS - HOME DELIVERY 2025'!$Q$7</f>
        <v>23591.52</v>
      </c>
      <c r="K331" s="65">
        <f>+'COMUNAS - HOME DELIVERY 2025'!K331*'COMUNAS - HOME DELIVERY 2025'!$Q$7</f>
        <v>37018.872000000003</v>
      </c>
      <c r="L331" s="65">
        <f>+'COMUNAS - HOME DELIVERY 2025'!L331*'COMUNAS - HOME DELIVERY 2025'!$Q$7</f>
        <v>43802.207999999999</v>
      </c>
      <c r="M331" s="66">
        <f>+'COMUNAS - HOME DELIVERY 2025'!M331*'COMUNAS - HOME DELIVERY 2025'!$Q$7</f>
        <v>2233.7640000000001</v>
      </c>
      <c r="N331" s="67">
        <f>+'COMUNAS - HOME DELIVERY 2025'!N331*'COMUNAS - HOME DELIVERY 2025'!$Q$7</f>
        <v>2083.6080000000002</v>
      </c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38"/>
    </row>
    <row r="332" spans="2:25" ht="15.75" customHeight="1" thickBot="1" x14ac:dyDescent="0.35">
      <c r="B332" s="2"/>
      <c r="C332" s="68" t="s">
        <v>701</v>
      </c>
      <c r="D332" s="69" t="s">
        <v>716</v>
      </c>
      <c r="E332" s="70" t="s">
        <v>717</v>
      </c>
      <c r="F332" s="71">
        <f>+'COMUNAS - HOME DELIVERY 2025'!F332*'COMUNAS - HOME DELIVERY 2025'!$Q$7</f>
        <v>8540.3160000000007</v>
      </c>
      <c r="G332" s="72">
        <f>+'COMUNAS - HOME DELIVERY 2025'!G332*'COMUNAS - HOME DELIVERY 2025'!$Q$7</f>
        <v>9877.7880000000005</v>
      </c>
      <c r="H332" s="72">
        <f>+'COMUNAS - HOME DELIVERY 2025'!H332*'COMUNAS - HOME DELIVERY 2025'!$Q$7</f>
        <v>11962.944</v>
      </c>
      <c r="I332" s="72">
        <f>+'COMUNAS - HOME DELIVERY 2025'!I332*'COMUNAS - HOME DELIVERY 2025'!$Q$7</f>
        <v>14147.172</v>
      </c>
      <c r="J332" s="72">
        <f>+'COMUNAS - HOME DELIVERY 2025'!J332*'COMUNAS - HOME DELIVERY 2025'!$Q$7</f>
        <v>23591.52</v>
      </c>
      <c r="K332" s="72">
        <f>+'COMUNAS - HOME DELIVERY 2025'!K332*'COMUNAS - HOME DELIVERY 2025'!$Q$7</f>
        <v>37018.872000000003</v>
      </c>
      <c r="L332" s="72">
        <f>+'COMUNAS - HOME DELIVERY 2025'!L332*'COMUNAS - HOME DELIVERY 2025'!$Q$7</f>
        <v>43802.207999999999</v>
      </c>
      <c r="M332" s="73">
        <f>+'COMUNAS - HOME DELIVERY 2025'!M332*'COMUNAS - HOME DELIVERY 2025'!$Q$7</f>
        <v>2233.7640000000001</v>
      </c>
      <c r="N332" s="74">
        <f>+'COMUNAS - HOME DELIVERY 2025'!N332*'COMUNAS - HOME DELIVERY 2025'!$Q$7</f>
        <v>2083.6080000000002</v>
      </c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38"/>
    </row>
    <row r="333" spans="2:25" ht="15.75" customHeight="1" x14ac:dyDescent="0.3">
      <c r="B333" s="2"/>
      <c r="C333" s="53" t="s">
        <v>718</v>
      </c>
      <c r="D333" s="54" t="s">
        <v>719</v>
      </c>
      <c r="E333" s="55" t="s">
        <v>62</v>
      </c>
      <c r="F333" s="56">
        <f>+'COMUNAS - HOME DELIVERY 2025'!F333*'COMUNAS - HOME DELIVERY 2025'!$Q$7</f>
        <v>6397.3680000000004</v>
      </c>
      <c r="G333" s="57">
        <f>+'COMUNAS - HOME DELIVERY 2025'!G333*'COMUNAS - HOME DELIVERY 2025'!$Q$7</f>
        <v>7483.0320000000002</v>
      </c>
      <c r="H333" s="57">
        <f>+'COMUNAS - HOME DELIVERY 2025'!H333*'COMUNAS - HOME DELIVERY 2025'!$Q$7</f>
        <v>9054.768</v>
      </c>
      <c r="I333" s="57">
        <f>+'COMUNAS - HOME DELIVERY 2025'!I333*'COMUNAS - HOME DELIVERY 2025'!$Q$7</f>
        <v>10301.424000000001</v>
      </c>
      <c r="J333" s="57">
        <f>+'COMUNAS - HOME DELIVERY 2025'!J333*'COMUNAS - HOME DELIVERY 2025'!$Q$7</f>
        <v>17558.448</v>
      </c>
      <c r="K333" s="57">
        <f>+'COMUNAS - HOME DELIVERY 2025'!K333*'COMUNAS - HOME DELIVERY 2025'!$Q$7</f>
        <v>29102.400000000001</v>
      </c>
      <c r="L333" s="57">
        <f>+'COMUNAS - HOME DELIVERY 2025'!L333*'COMUNAS - HOME DELIVERY 2025'!$Q$7</f>
        <v>34271.688000000002</v>
      </c>
      <c r="M333" s="58">
        <f>+'COMUNAS - HOME DELIVERY 2025'!M333*'COMUNAS - HOME DELIVERY 2025'!$Q$7</f>
        <v>1772.9760000000001</v>
      </c>
      <c r="N333" s="59">
        <f>+'COMUNAS - HOME DELIVERY 2025'!N333*'COMUNAS - HOME DELIVERY 2025'!$Q$7</f>
        <v>1671.8400000000001</v>
      </c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38"/>
    </row>
    <row r="334" spans="2:25" ht="15.75" customHeight="1" x14ac:dyDescent="0.3">
      <c r="B334" s="2"/>
      <c r="C334" s="61" t="s">
        <v>718</v>
      </c>
      <c r="D334" s="62" t="s">
        <v>720</v>
      </c>
      <c r="E334" s="63" t="s">
        <v>721</v>
      </c>
      <c r="F334" s="64">
        <f>+'COMUNAS - HOME DELIVERY 2025'!F334*'COMUNAS - HOME DELIVERY 2025'!$Q$7</f>
        <v>9596.0519999999997</v>
      </c>
      <c r="G334" s="65">
        <f>+'COMUNAS - HOME DELIVERY 2025'!G334*'COMUNAS - HOME DELIVERY 2025'!$Q$7</f>
        <v>11224.548000000001</v>
      </c>
      <c r="H334" s="65">
        <f>+'COMUNAS - HOME DELIVERY 2025'!H334*'COMUNAS - HOME DELIVERY 2025'!$Q$7</f>
        <v>13582.152</v>
      </c>
      <c r="I334" s="65">
        <f>+'COMUNAS - HOME DELIVERY 2025'!I334*'COMUNAS - HOME DELIVERY 2025'!$Q$7</f>
        <v>15452.136</v>
      </c>
      <c r="J334" s="65">
        <f>+'COMUNAS - HOME DELIVERY 2025'!J334*'COMUNAS - HOME DELIVERY 2025'!$Q$7</f>
        <v>26337.672000000002</v>
      </c>
      <c r="K334" s="65">
        <f>+'COMUNAS - HOME DELIVERY 2025'!K334*'COMUNAS - HOME DELIVERY 2025'!$Q$7</f>
        <v>43653.599999999999</v>
      </c>
      <c r="L334" s="65">
        <f>+'COMUNAS - HOME DELIVERY 2025'!L334*'COMUNAS - HOME DELIVERY 2025'!$Q$7</f>
        <v>51407.531999999999</v>
      </c>
      <c r="M334" s="66">
        <f>+'COMUNAS - HOME DELIVERY 2025'!M334*'COMUNAS - HOME DELIVERY 2025'!$Q$7</f>
        <v>2659.4639999999999</v>
      </c>
      <c r="N334" s="67">
        <f>+'COMUNAS - HOME DELIVERY 2025'!N334*'COMUNAS - HOME DELIVERY 2025'!$Q$7</f>
        <v>2507.7600000000002</v>
      </c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38"/>
    </row>
    <row r="335" spans="2:25" ht="15.75" customHeight="1" x14ac:dyDescent="0.3">
      <c r="B335" s="2"/>
      <c r="C335" s="61" t="s">
        <v>718</v>
      </c>
      <c r="D335" s="62" t="s">
        <v>722</v>
      </c>
      <c r="E335" s="63" t="s">
        <v>723</v>
      </c>
      <c r="F335" s="64">
        <f>+'COMUNAS - HOME DELIVERY 2025'!F335*'COMUNAS - HOME DELIVERY 2025'!$Q$7</f>
        <v>9596.0519999999997</v>
      </c>
      <c r="G335" s="65">
        <f>+'COMUNAS - HOME DELIVERY 2025'!G335*'COMUNAS - HOME DELIVERY 2025'!$Q$7</f>
        <v>11224.548000000001</v>
      </c>
      <c r="H335" s="65">
        <f>+'COMUNAS - HOME DELIVERY 2025'!H335*'COMUNAS - HOME DELIVERY 2025'!$Q$7</f>
        <v>13582.152</v>
      </c>
      <c r="I335" s="65">
        <f>+'COMUNAS - HOME DELIVERY 2025'!I335*'COMUNAS - HOME DELIVERY 2025'!$Q$7</f>
        <v>15452.136</v>
      </c>
      <c r="J335" s="65">
        <f>+'COMUNAS - HOME DELIVERY 2025'!J335*'COMUNAS - HOME DELIVERY 2025'!$Q$7</f>
        <v>26337.672000000002</v>
      </c>
      <c r="K335" s="65">
        <f>+'COMUNAS - HOME DELIVERY 2025'!K335*'COMUNAS - HOME DELIVERY 2025'!$Q$7</f>
        <v>43653.599999999999</v>
      </c>
      <c r="L335" s="65">
        <f>+'COMUNAS - HOME DELIVERY 2025'!L335*'COMUNAS - HOME DELIVERY 2025'!$Q$7</f>
        <v>51407.531999999999</v>
      </c>
      <c r="M335" s="66">
        <f>+'COMUNAS - HOME DELIVERY 2025'!M335*'COMUNAS - HOME DELIVERY 2025'!$Q$7</f>
        <v>2659.4639999999999</v>
      </c>
      <c r="N335" s="67">
        <f>+'COMUNAS - HOME DELIVERY 2025'!N335*'COMUNAS - HOME DELIVERY 2025'!$Q$7</f>
        <v>2507.7600000000002</v>
      </c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38"/>
    </row>
    <row r="336" spans="2:25" ht="15.75" customHeight="1" x14ac:dyDescent="0.3">
      <c r="B336" s="2"/>
      <c r="C336" s="61" t="s">
        <v>718</v>
      </c>
      <c r="D336" s="62" t="s">
        <v>724</v>
      </c>
      <c r="E336" s="63" t="s">
        <v>725</v>
      </c>
      <c r="F336" s="64">
        <f>+'COMUNAS - HOME DELIVERY 2025'!F336*'COMUNAS - HOME DELIVERY 2025'!$Q$7</f>
        <v>9596.0519999999997</v>
      </c>
      <c r="G336" s="65">
        <f>+'COMUNAS - HOME DELIVERY 2025'!G336*'COMUNAS - HOME DELIVERY 2025'!$Q$7</f>
        <v>11224.548000000001</v>
      </c>
      <c r="H336" s="65">
        <f>+'COMUNAS - HOME DELIVERY 2025'!H336*'COMUNAS - HOME DELIVERY 2025'!$Q$7</f>
        <v>13582.152</v>
      </c>
      <c r="I336" s="65">
        <f>+'COMUNAS - HOME DELIVERY 2025'!I336*'COMUNAS - HOME DELIVERY 2025'!$Q$7</f>
        <v>15452.136</v>
      </c>
      <c r="J336" s="65">
        <f>+'COMUNAS - HOME DELIVERY 2025'!J336*'COMUNAS - HOME DELIVERY 2025'!$Q$7</f>
        <v>26337.672000000002</v>
      </c>
      <c r="K336" s="65">
        <f>+'COMUNAS - HOME DELIVERY 2025'!K336*'COMUNAS - HOME DELIVERY 2025'!$Q$7</f>
        <v>43653.599999999999</v>
      </c>
      <c r="L336" s="65">
        <f>+'COMUNAS - HOME DELIVERY 2025'!L336*'COMUNAS - HOME DELIVERY 2025'!$Q$7</f>
        <v>51407.531999999999</v>
      </c>
      <c r="M336" s="66">
        <f>+'COMUNAS - HOME DELIVERY 2025'!M336*'COMUNAS - HOME DELIVERY 2025'!$Q$7</f>
        <v>2659.4639999999999</v>
      </c>
      <c r="N336" s="67">
        <f>+'COMUNAS - HOME DELIVERY 2025'!N336*'COMUNAS - HOME DELIVERY 2025'!$Q$7</f>
        <v>2507.7600000000002</v>
      </c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38"/>
    </row>
    <row r="337" spans="2:25" ht="15.75" customHeight="1" x14ac:dyDescent="0.3">
      <c r="B337" s="2"/>
      <c r="C337" s="61" t="s">
        <v>718</v>
      </c>
      <c r="D337" s="62" t="s">
        <v>726</v>
      </c>
      <c r="E337" s="63" t="s">
        <v>727</v>
      </c>
      <c r="F337" s="64">
        <f>+'COMUNAS - HOME DELIVERY 2025'!F337*'COMUNAS - HOME DELIVERY 2025'!$Q$7</f>
        <v>25076.052</v>
      </c>
      <c r="G337" s="65">
        <f>+'COMUNAS - HOME DELIVERY 2025'!G337*'COMUNAS - HOME DELIVERY 2025'!$Q$7</f>
        <v>26704.548000000003</v>
      </c>
      <c r="H337" s="65">
        <f>+'COMUNAS - HOME DELIVERY 2025'!H337*'COMUNAS - HOME DELIVERY 2025'!$Q$7</f>
        <v>29062.152000000002</v>
      </c>
      <c r="I337" s="65">
        <f>+'COMUNAS - HOME DELIVERY 2025'!I337*'COMUNAS - HOME DELIVERY 2025'!$Q$7</f>
        <v>30932.136000000002</v>
      </c>
      <c r="J337" s="65">
        <f>+'COMUNAS - HOME DELIVERY 2025'!J337*'COMUNAS - HOME DELIVERY 2025'!$Q$7</f>
        <v>41817.671999999999</v>
      </c>
      <c r="K337" s="65">
        <f>+'COMUNAS - HOME DELIVERY 2025'!K337*'COMUNAS - HOME DELIVERY 2025'!$Q$7</f>
        <v>59133.599999999999</v>
      </c>
      <c r="L337" s="65">
        <f>+'COMUNAS - HOME DELIVERY 2025'!L337*'COMUNAS - HOME DELIVERY 2025'!$Q$7</f>
        <v>66887.532000000007</v>
      </c>
      <c r="M337" s="66">
        <f>+'COMUNAS - HOME DELIVERY 2025'!M337*'COMUNAS - HOME DELIVERY 2025'!$Q$7</f>
        <v>2659.4639999999999</v>
      </c>
      <c r="N337" s="67">
        <f>+'COMUNAS - HOME DELIVERY 2025'!N337*'COMUNAS - HOME DELIVERY 2025'!$Q$7</f>
        <v>2507.7600000000002</v>
      </c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38"/>
    </row>
    <row r="338" spans="2:25" ht="15.75" customHeight="1" x14ac:dyDescent="0.3">
      <c r="B338" s="2"/>
      <c r="C338" s="61" t="s">
        <v>718</v>
      </c>
      <c r="D338" s="62" t="s">
        <v>728</v>
      </c>
      <c r="E338" s="63" t="s">
        <v>729</v>
      </c>
      <c r="F338" s="64">
        <f>+'COMUNAS - HOME DELIVERY 2025'!F338*'COMUNAS - HOME DELIVERY 2025'!$Q$7</f>
        <v>25076.052</v>
      </c>
      <c r="G338" s="65">
        <f>+'COMUNAS - HOME DELIVERY 2025'!G338*'COMUNAS - HOME DELIVERY 2025'!$Q$7</f>
        <v>26704.548000000003</v>
      </c>
      <c r="H338" s="65">
        <f>+'COMUNAS - HOME DELIVERY 2025'!H338*'COMUNAS - HOME DELIVERY 2025'!$Q$7</f>
        <v>29062.152000000002</v>
      </c>
      <c r="I338" s="65">
        <f>+'COMUNAS - HOME DELIVERY 2025'!I338*'COMUNAS - HOME DELIVERY 2025'!$Q$7</f>
        <v>30932.136000000002</v>
      </c>
      <c r="J338" s="65">
        <f>+'COMUNAS - HOME DELIVERY 2025'!J338*'COMUNAS - HOME DELIVERY 2025'!$Q$7</f>
        <v>41817.671999999999</v>
      </c>
      <c r="K338" s="65">
        <f>+'COMUNAS - HOME DELIVERY 2025'!K338*'COMUNAS - HOME DELIVERY 2025'!$Q$7</f>
        <v>59133.599999999999</v>
      </c>
      <c r="L338" s="65">
        <f>+'COMUNAS - HOME DELIVERY 2025'!L338*'COMUNAS - HOME DELIVERY 2025'!$Q$7</f>
        <v>66887.532000000007</v>
      </c>
      <c r="M338" s="66">
        <f>+'COMUNAS - HOME DELIVERY 2025'!M338*'COMUNAS - HOME DELIVERY 2025'!$Q$7</f>
        <v>2659.4639999999999</v>
      </c>
      <c r="N338" s="67">
        <f>+'COMUNAS - HOME DELIVERY 2025'!N338*'COMUNAS - HOME DELIVERY 2025'!$Q$7</f>
        <v>2507.7600000000002</v>
      </c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38"/>
    </row>
    <row r="339" spans="2:25" ht="15.75" customHeight="1" x14ac:dyDescent="0.3">
      <c r="B339" s="2"/>
      <c r="C339" s="61" t="s">
        <v>718</v>
      </c>
      <c r="D339" s="62" t="s">
        <v>730</v>
      </c>
      <c r="E339" s="63" t="s">
        <v>731</v>
      </c>
      <c r="F339" s="64">
        <f>+'COMUNAS - HOME DELIVERY 2025'!F339*'COMUNAS - HOME DELIVERY 2025'!$Q$7</f>
        <v>25076.052</v>
      </c>
      <c r="G339" s="65">
        <f>+'COMUNAS - HOME DELIVERY 2025'!G339*'COMUNAS - HOME DELIVERY 2025'!$Q$7</f>
        <v>26704.548000000003</v>
      </c>
      <c r="H339" s="65">
        <f>+'COMUNAS - HOME DELIVERY 2025'!H339*'COMUNAS - HOME DELIVERY 2025'!$Q$7</f>
        <v>29062.152000000002</v>
      </c>
      <c r="I339" s="65">
        <f>+'COMUNAS - HOME DELIVERY 2025'!I339*'COMUNAS - HOME DELIVERY 2025'!$Q$7</f>
        <v>30932.136000000002</v>
      </c>
      <c r="J339" s="65">
        <f>+'COMUNAS - HOME DELIVERY 2025'!J339*'COMUNAS - HOME DELIVERY 2025'!$Q$7</f>
        <v>41817.671999999999</v>
      </c>
      <c r="K339" s="65">
        <f>+'COMUNAS - HOME DELIVERY 2025'!K339*'COMUNAS - HOME DELIVERY 2025'!$Q$7</f>
        <v>59133.599999999999</v>
      </c>
      <c r="L339" s="65">
        <f>+'COMUNAS - HOME DELIVERY 2025'!L339*'COMUNAS - HOME DELIVERY 2025'!$Q$7</f>
        <v>66887.532000000007</v>
      </c>
      <c r="M339" s="66">
        <f>+'COMUNAS - HOME DELIVERY 2025'!M339*'COMUNAS - HOME DELIVERY 2025'!$Q$7</f>
        <v>2659.4639999999999</v>
      </c>
      <c r="N339" s="67">
        <f>+'COMUNAS - HOME DELIVERY 2025'!N339*'COMUNAS - HOME DELIVERY 2025'!$Q$7</f>
        <v>2507.7600000000002</v>
      </c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38"/>
    </row>
    <row r="340" spans="2:25" ht="15.75" customHeight="1" x14ac:dyDescent="0.3">
      <c r="B340" s="2"/>
      <c r="C340" s="61" t="s">
        <v>718</v>
      </c>
      <c r="D340" s="62" t="s">
        <v>732</v>
      </c>
      <c r="E340" s="63" t="s">
        <v>733</v>
      </c>
      <c r="F340" s="64">
        <f>+'COMUNAS - HOME DELIVERY 2025'!F340*'COMUNAS - HOME DELIVERY 2025'!$Q$7</f>
        <v>9596.0519999999997</v>
      </c>
      <c r="G340" s="65">
        <f>+'COMUNAS - HOME DELIVERY 2025'!G340*'COMUNAS - HOME DELIVERY 2025'!$Q$7</f>
        <v>11224.548000000001</v>
      </c>
      <c r="H340" s="65">
        <f>+'COMUNAS - HOME DELIVERY 2025'!H340*'COMUNAS - HOME DELIVERY 2025'!$Q$7</f>
        <v>13582.152</v>
      </c>
      <c r="I340" s="65">
        <f>+'COMUNAS - HOME DELIVERY 2025'!I340*'COMUNAS - HOME DELIVERY 2025'!$Q$7</f>
        <v>15452.136</v>
      </c>
      <c r="J340" s="65">
        <f>+'COMUNAS - HOME DELIVERY 2025'!J340*'COMUNAS - HOME DELIVERY 2025'!$Q$7</f>
        <v>26337.672000000002</v>
      </c>
      <c r="K340" s="65">
        <f>+'COMUNAS - HOME DELIVERY 2025'!K340*'COMUNAS - HOME DELIVERY 2025'!$Q$7</f>
        <v>43653.599999999999</v>
      </c>
      <c r="L340" s="65">
        <f>+'COMUNAS - HOME DELIVERY 2025'!L340*'COMUNAS - HOME DELIVERY 2025'!$Q$7</f>
        <v>51407.531999999999</v>
      </c>
      <c r="M340" s="66">
        <f>+'COMUNAS - HOME DELIVERY 2025'!M340*'COMUNAS - HOME DELIVERY 2025'!$Q$7</f>
        <v>2659.4639999999999</v>
      </c>
      <c r="N340" s="67">
        <f>+'COMUNAS - HOME DELIVERY 2025'!N340*'COMUNAS - HOME DELIVERY 2025'!$Q$7</f>
        <v>2507.7600000000002</v>
      </c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38"/>
    </row>
    <row r="341" spans="2:25" ht="15.75" customHeight="1" x14ac:dyDescent="0.3">
      <c r="B341" s="2"/>
      <c r="C341" s="61" t="s">
        <v>718</v>
      </c>
      <c r="D341" s="62" t="s">
        <v>734</v>
      </c>
      <c r="E341" s="63" t="s">
        <v>735</v>
      </c>
      <c r="F341" s="64">
        <f>+'COMUNAS - HOME DELIVERY 2025'!F341*'COMUNAS - HOME DELIVERY 2025'!$Q$7</f>
        <v>9596.0519999999997</v>
      </c>
      <c r="G341" s="65">
        <f>+'COMUNAS - HOME DELIVERY 2025'!G341*'COMUNAS - HOME DELIVERY 2025'!$Q$7</f>
        <v>11224.548000000001</v>
      </c>
      <c r="H341" s="65">
        <f>+'COMUNAS - HOME DELIVERY 2025'!H341*'COMUNAS - HOME DELIVERY 2025'!$Q$7</f>
        <v>13582.152</v>
      </c>
      <c r="I341" s="65">
        <f>+'COMUNAS - HOME DELIVERY 2025'!I341*'COMUNAS - HOME DELIVERY 2025'!$Q$7</f>
        <v>15452.136</v>
      </c>
      <c r="J341" s="65">
        <f>+'COMUNAS - HOME DELIVERY 2025'!J341*'COMUNAS - HOME DELIVERY 2025'!$Q$7</f>
        <v>26337.672000000002</v>
      </c>
      <c r="K341" s="65">
        <f>+'COMUNAS - HOME DELIVERY 2025'!K341*'COMUNAS - HOME DELIVERY 2025'!$Q$7</f>
        <v>43653.599999999999</v>
      </c>
      <c r="L341" s="65">
        <f>+'COMUNAS - HOME DELIVERY 2025'!L341*'COMUNAS - HOME DELIVERY 2025'!$Q$7</f>
        <v>51407.531999999999</v>
      </c>
      <c r="M341" s="66">
        <f>+'COMUNAS - HOME DELIVERY 2025'!M341*'COMUNAS - HOME DELIVERY 2025'!$Q$7</f>
        <v>2659.4639999999999</v>
      </c>
      <c r="N341" s="67">
        <f>+'COMUNAS - HOME DELIVERY 2025'!N341*'COMUNAS - HOME DELIVERY 2025'!$Q$7</f>
        <v>2507.7600000000002</v>
      </c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38"/>
    </row>
    <row r="342" spans="2:25" ht="15.75" customHeight="1" thickBot="1" x14ac:dyDescent="0.35">
      <c r="B342" s="2"/>
      <c r="C342" s="68" t="s">
        <v>718</v>
      </c>
      <c r="D342" s="69" t="s">
        <v>736</v>
      </c>
      <c r="E342" s="70" t="s">
        <v>737</v>
      </c>
      <c r="F342" s="71">
        <f>+'COMUNAS - HOME DELIVERY 2025'!F342*'COMUNAS - HOME DELIVERY 2025'!$Q$7</f>
        <v>9596.0519999999997</v>
      </c>
      <c r="G342" s="72">
        <f>+'COMUNAS - HOME DELIVERY 2025'!G342*'COMUNAS - HOME DELIVERY 2025'!$Q$7</f>
        <v>11224.548000000001</v>
      </c>
      <c r="H342" s="72">
        <f>+'COMUNAS - HOME DELIVERY 2025'!H342*'COMUNAS - HOME DELIVERY 2025'!$Q$7</f>
        <v>13582.152</v>
      </c>
      <c r="I342" s="72">
        <f>+'COMUNAS - HOME DELIVERY 2025'!I342*'COMUNAS - HOME DELIVERY 2025'!$Q$7</f>
        <v>15452.136</v>
      </c>
      <c r="J342" s="72">
        <f>+'COMUNAS - HOME DELIVERY 2025'!J342*'COMUNAS - HOME DELIVERY 2025'!$Q$7</f>
        <v>26337.672000000002</v>
      </c>
      <c r="K342" s="72">
        <f>+'COMUNAS - HOME DELIVERY 2025'!K342*'COMUNAS - HOME DELIVERY 2025'!$Q$7</f>
        <v>43653.599999999999</v>
      </c>
      <c r="L342" s="72">
        <f>+'COMUNAS - HOME DELIVERY 2025'!L342*'COMUNAS - HOME DELIVERY 2025'!$Q$7</f>
        <v>51407.531999999999</v>
      </c>
      <c r="M342" s="73">
        <f>+'COMUNAS - HOME DELIVERY 2025'!M342*'COMUNAS - HOME DELIVERY 2025'!$Q$7</f>
        <v>2659.4639999999999</v>
      </c>
      <c r="N342" s="74">
        <f>+'COMUNAS - HOME DELIVERY 2025'!N342*'COMUNAS - HOME DELIVERY 2025'!$Q$7</f>
        <v>2507.7600000000002</v>
      </c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38"/>
    </row>
    <row r="343" spans="2:25" ht="15.75" customHeight="1" x14ac:dyDescent="0.3">
      <c r="B343" s="2"/>
      <c r="C343" s="75" t="s">
        <v>738</v>
      </c>
      <c r="D343" s="76" t="s">
        <v>739</v>
      </c>
      <c r="E343" s="77" t="s">
        <v>64</v>
      </c>
      <c r="F343" s="64">
        <f>+'COMUNAS - HOME DELIVERY 2025'!F343*'COMUNAS - HOME DELIVERY 2025'!$Q$7</f>
        <v>6397.3680000000004</v>
      </c>
      <c r="G343" s="65">
        <f>+'COMUNAS - HOME DELIVERY 2025'!G343*'COMUNAS - HOME DELIVERY 2025'!$Q$7</f>
        <v>7483.0320000000002</v>
      </c>
      <c r="H343" s="65">
        <f>+'COMUNAS - HOME DELIVERY 2025'!H343*'COMUNAS - HOME DELIVERY 2025'!$Q$7</f>
        <v>9054.768</v>
      </c>
      <c r="I343" s="65">
        <f>+'COMUNAS - HOME DELIVERY 2025'!I343*'COMUNAS - HOME DELIVERY 2025'!$Q$7</f>
        <v>10301.424000000001</v>
      </c>
      <c r="J343" s="65">
        <f>+'COMUNAS - HOME DELIVERY 2025'!J343*'COMUNAS - HOME DELIVERY 2025'!$Q$7</f>
        <v>17558.448</v>
      </c>
      <c r="K343" s="65">
        <f>+'COMUNAS - HOME DELIVERY 2025'!K343*'COMUNAS - HOME DELIVERY 2025'!$Q$7</f>
        <v>29102.400000000001</v>
      </c>
      <c r="L343" s="65">
        <f>+'COMUNAS - HOME DELIVERY 2025'!L343*'COMUNAS - HOME DELIVERY 2025'!$Q$7</f>
        <v>34271.688000000002</v>
      </c>
      <c r="M343" s="66">
        <f>+'COMUNAS - HOME DELIVERY 2025'!M343*'COMUNAS - HOME DELIVERY 2025'!$Q$7</f>
        <v>1772.9760000000001</v>
      </c>
      <c r="N343" s="67">
        <f>+'COMUNAS - HOME DELIVERY 2025'!N343*'COMUNAS - HOME DELIVERY 2025'!$Q$7</f>
        <v>1671.8400000000001</v>
      </c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38"/>
    </row>
    <row r="344" spans="2:25" ht="15.75" customHeight="1" x14ac:dyDescent="0.3">
      <c r="B344" s="2"/>
      <c r="C344" s="61" t="s">
        <v>738</v>
      </c>
      <c r="D344" s="62" t="s">
        <v>740</v>
      </c>
      <c r="E344" s="63" t="s">
        <v>741</v>
      </c>
      <c r="F344" s="64">
        <f>+'COMUNAS - HOME DELIVERY 2025'!F344*'COMUNAS - HOME DELIVERY 2025'!$Q$7</f>
        <v>25076.052</v>
      </c>
      <c r="G344" s="65">
        <f>+'COMUNAS - HOME DELIVERY 2025'!G344*'COMUNAS - HOME DELIVERY 2025'!$Q$7</f>
        <v>26704.548000000003</v>
      </c>
      <c r="H344" s="65">
        <f>+'COMUNAS - HOME DELIVERY 2025'!H344*'COMUNAS - HOME DELIVERY 2025'!$Q$7</f>
        <v>29062.152000000002</v>
      </c>
      <c r="I344" s="65">
        <f>+'COMUNAS - HOME DELIVERY 2025'!I344*'COMUNAS - HOME DELIVERY 2025'!$Q$7</f>
        <v>30932.136000000002</v>
      </c>
      <c r="J344" s="65">
        <f>+'COMUNAS - HOME DELIVERY 2025'!J344*'COMUNAS - HOME DELIVERY 2025'!$Q$7</f>
        <v>41817.671999999999</v>
      </c>
      <c r="K344" s="65">
        <f>+'COMUNAS - HOME DELIVERY 2025'!K344*'COMUNAS - HOME DELIVERY 2025'!$Q$7</f>
        <v>59133.599999999999</v>
      </c>
      <c r="L344" s="65">
        <f>+'COMUNAS - HOME DELIVERY 2025'!L344*'COMUNAS - HOME DELIVERY 2025'!$Q$7</f>
        <v>66887.532000000007</v>
      </c>
      <c r="M344" s="66">
        <f>+'COMUNAS - HOME DELIVERY 2025'!M344*'COMUNAS - HOME DELIVERY 2025'!$Q$7</f>
        <v>2659.4639999999999</v>
      </c>
      <c r="N344" s="67">
        <f>+'COMUNAS - HOME DELIVERY 2025'!N344*'COMUNAS - HOME DELIVERY 2025'!$Q$7</f>
        <v>2507.7600000000002</v>
      </c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38"/>
    </row>
    <row r="345" spans="2:25" ht="15.75" customHeight="1" x14ac:dyDescent="0.3">
      <c r="B345" s="2"/>
      <c r="C345" s="61" t="s">
        <v>738</v>
      </c>
      <c r="D345" s="62" t="s">
        <v>742</v>
      </c>
      <c r="E345" s="63" t="s">
        <v>743</v>
      </c>
      <c r="F345" s="64">
        <f>+'COMUNAS - HOME DELIVERY 2025'!F345*'COMUNAS - HOME DELIVERY 2025'!$Q$7</f>
        <v>9596.0519999999997</v>
      </c>
      <c r="G345" s="65">
        <f>+'COMUNAS - HOME DELIVERY 2025'!G345*'COMUNAS - HOME DELIVERY 2025'!$Q$7</f>
        <v>11224.548000000001</v>
      </c>
      <c r="H345" s="65">
        <f>+'COMUNAS - HOME DELIVERY 2025'!H345*'COMUNAS - HOME DELIVERY 2025'!$Q$7</f>
        <v>13582.152</v>
      </c>
      <c r="I345" s="65">
        <f>+'COMUNAS - HOME DELIVERY 2025'!I345*'COMUNAS - HOME DELIVERY 2025'!$Q$7</f>
        <v>15452.136</v>
      </c>
      <c r="J345" s="65">
        <f>+'COMUNAS - HOME DELIVERY 2025'!J345*'COMUNAS - HOME DELIVERY 2025'!$Q$7</f>
        <v>26337.672000000002</v>
      </c>
      <c r="K345" s="65">
        <f>+'COMUNAS - HOME DELIVERY 2025'!K345*'COMUNAS - HOME DELIVERY 2025'!$Q$7</f>
        <v>43653.599999999999</v>
      </c>
      <c r="L345" s="65">
        <f>+'COMUNAS - HOME DELIVERY 2025'!L345*'COMUNAS - HOME DELIVERY 2025'!$Q$7</f>
        <v>51407.531999999999</v>
      </c>
      <c r="M345" s="66">
        <f>+'COMUNAS - HOME DELIVERY 2025'!M345*'COMUNAS - HOME DELIVERY 2025'!$Q$7</f>
        <v>2659.4639999999999</v>
      </c>
      <c r="N345" s="67">
        <f>+'COMUNAS - HOME DELIVERY 2025'!N345*'COMUNAS - HOME DELIVERY 2025'!$Q$7</f>
        <v>2507.7600000000002</v>
      </c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38"/>
    </row>
    <row r="346" spans="2:25" ht="15.75" customHeight="1" x14ac:dyDescent="0.3">
      <c r="B346" s="2"/>
      <c r="C346" s="61" t="s">
        <v>738</v>
      </c>
      <c r="D346" s="62" t="s">
        <v>744</v>
      </c>
      <c r="E346" s="63" t="s">
        <v>745</v>
      </c>
      <c r="F346" s="64">
        <f>+'COMUNAS - HOME DELIVERY 2025'!F346*'COMUNAS - HOME DELIVERY 2025'!$Q$7</f>
        <v>25076.052</v>
      </c>
      <c r="G346" s="65">
        <f>+'COMUNAS - HOME DELIVERY 2025'!G346*'COMUNAS - HOME DELIVERY 2025'!$Q$7</f>
        <v>26704.548000000003</v>
      </c>
      <c r="H346" s="65">
        <f>+'COMUNAS - HOME DELIVERY 2025'!H346*'COMUNAS - HOME DELIVERY 2025'!$Q$7</f>
        <v>29062.152000000002</v>
      </c>
      <c r="I346" s="65">
        <f>+'COMUNAS - HOME DELIVERY 2025'!I346*'COMUNAS - HOME DELIVERY 2025'!$Q$7</f>
        <v>30932.136000000002</v>
      </c>
      <c r="J346" s="65">
        <f>+'COMUNAS - HOME DELIVERY 2025'!J346*'COMUNAS - HOME DELIVERY 2025'!$Q$7</f>
        <v>41817.671999999999</v>
      </c>
      <c r="K346" s="65">
        <f>+'COMUNAS - HOME DELIVERY 2025'!K346*'COMUNAS - HOME DELIVERY 2025'!$Q$7</f>
        <v>59133.599999999999</v>
      </c>
      <c r="L346" s="65">
        <f>+'COMUNAS - HOME DELIVERY 2025'!L346*'COMUNAS - HOME DELIVERY 2025'!$Q$7</f>
        <v>66887.532000000007</v>
      </c>
      <c r="M346" s="66">
        <f>+'COMUNAS - HOME DELIVERY 2025'!M346*'COMUNAS - HOME DELIVERY 2025'!$Q$7</f>
        <v>2659.4639999999999</v>
      </c>
      <c r="N346" s="67">
        <f>+'COMUNAS - HOME DELIVERY 2025'!N346*'COMUNAS - HOME DELIVERY 2025'!$Q$7</f>
        <v>2507.7600000000002</v>
      </c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38"/>
    </row>
    <row r="347" spans="2:25" ht="15.75" customHeight="1" x14ac:dyDescent="0.3">
      <c r="B347" s="2"/>
      <c r="C347" s="61" t="s">
        <v>738</v>
      </c>
      <c r="D347" s="62" t="s">
        <v>746</v>
      </c>
      <c r="E347" s="63" t="s">
        <v>747</v>
      </c>
      <c r="F347" s="64">
        <f>+'COMUNAS - HOME DELIVERY 2025'!F347*'COMUNAS - HOME DELIVERY 2025'!$Q$7</f>
        <v>25076.052</v>
      </c>
      <c r="G347" s="65">
        <f>+'COMUNAS - HOME DELIVERY 2025'!G347*'COMUNAS - HOME DELIVERY 2025'!$Q$7</f>
        <v>26704.548000000003</v>
      </c>
      <c r="H347" s="65">
        <f>+'COMUNAS - HOME DELIVERY 2025'!H347*'COMUNAS - HOME DELIVERY 2025'!$Q$7</f>
        <v>29062.152000000002</v>
      </c>
      <c r="I347" s="65">
        <f>+'COMUNAS - HOME DELIVERY 2025'!I347*'COMUNAS - HOME DELIVERY 2025'!$Q$7</f>
        <v>30932.136000000002</v>
      </c>
      <c r="J347" s="65">
        <f>+'COMUNAS - HOME DELIVERY 2025'!J347*'COMUNAS - HOME DELIVERY 2025'!$Q$7</f>
        <v>41817.671999999999</v>
      </c>
      <c r="K347" s="65">
        <f>+'COMUNAS - HOME DELIVERY 2025'!K347*'COMUNAS - HOME DELIVERY 2025'!$Q$7</f>
        <v>59133.599999999999</v>
      </c>
      <c r="L347" s="65">
        <f>+'COMUNAS - HOME DELIVERY 2025'!L347*'COMUNAS - HOME DELIVERY 2025'!$Q$7</f>
        <v>66887.532000000007</v>
      </c>
      <c r="M347" s="66">
        <f>+'COMUNAS - HOME DELIVERY 2025'!M347*'COMUNAS - HOME DELIVERY 2025'!$Q$7</f>
        <v>2659.4639999999999</v>
      </c>
      <c r="N347" s="67">
        <f>+'COMUNAS - HOME DELIVERY 2025'!N347*'COMUNAS - HOME DELIVERY 2025'!$Q$7</f>
        <v>2507.7600000000002</v>
      </c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38"/>
    </row>
    <row r="348" spans="2:25" ht="15.75" customHeight="1" x14ac:dyDescent="0.3">
      <c r="B348" s="2"/>
      <c r="C348" s="61" t="s">
        <v>738</v>
      </c>
      <c r="D348" s="62" t="s">
        <v>748</v>
      </c>
      <c r="E348" s="63" t="s">
        <v>749</v>
      </c>
      <c r="F348" s="64">
        <f>+'COMUNAS - HOME DELIVERY 2025'!F348*'COMUNAS - HOME DELIVERY 2025'!$Q$7</f>
        <v>25076.052</v>
      </c>
      <c r="G348" s="65">
        <f>+'COMUNAS - HOME DELIVERY 2025'!G348*'COMUNAS - HOME DELIVERY 2025'!$Q$7</f>
        <v>26704.548000000003</v>
      </c>
      <c r="H348" s="65">
        <f>+'COMUNAS - HOME DELIVERY 2025'!H348*'COMUNAS - HOME DELIVERY 2025'!$Q$7</f>
        <v>29062.152000000002</v>
      </c>
      <c r="I348" s="65">
        <f>+'COMUNAS - HOME DELIVERY 2025'!I348*'COMUNAS - HOME DELIVERY 2025'!$Q$7</f>
        <v>30932.136000000002</v>
      </c>
      <c r="J348" s="65">
        <f>+'COMUNAS - HOME DELIVERY 2025'!J348*'COMUNAS - HOME DELIVERY 2025'!$Q$7</f>
        <v>41817.671999999999</v>
      </c>
      <c r="K348" s="65">
        <f>+'COMUNAS - HOME DELIVERY 2025'!K348*'COMUNAS - HOME DELIVERY 2025'!$Q$7</f>
        <v>59133.599999999999</v>
      </c>
      <c r="L348" s="65">
        <f>+'COMUNAS - HOME DELIVERY 2025'!L348*'COMUNAS - HOME DELIVERY 2025'!$Q$7</f>
        <v>66887.532000000007</v>
      </c>
      <c r="M348" s="66">
        <f>+'COMUNAS - HOME DELIVERY 2025'!M348*'COMUNAS - HOME DELIVERY 2025'!$Q$7</f>
        <v>2659.4639999999999</v>
      </c>
      <c r="N348" s="67">
        <f>+'COMUNAS - HOME DELIVERY 2025'!N348*'COMUNAS - HOME DELIVERY 2025'!$Q$7</f>
        <v>2507.7600000000002</v>
      </c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38"/>
    </row>
    <row r="349" spans="2:25" ht="15.75" customHeight="1" x14ac:dyDescent="0.3">
      <c r="B349" s="2"/>
      <c r="C349" s="61" t="s">
        <v>738</v>
      </c>
      <c r="D349" s="62" t="s">
        <v>750</v>
      </c>
      <c r="E349" s="63" t="s">
        <v>751</v>
      </c>
      <c r="F349" s="64">
        <f>+'COMUNAS - HOME DELIVERY 2025'!F349*'COMUNAS - HOME DELIVERY 2025'!$Q$7</f>
        <v>25076.052</v>
      </c>
      <c r="G349" s="65">
        <f>+'COMUNAS - HOME DELIVERY 2025'!G349*'COMUNAS - HOME DELIVERY 2025'!$Q$7</f>
        <v>26704.548000000003</v>
      </c>
      <c r="H349" s="65">
        <f>+'COMUNAS - HOME DELIVERY 2025'!H349*'COMUNAS - HOME DELIVERY 2025'!$Q$7</f>
        <v>29062.152000000002</v>
      </c>
      <c r="I349" s="65">
        <f>+'COMUNAS - HOME DELIVERY 2025'!I349*'COMUNAS - HOME DELIVERY 2025'!$Q$7</f>
        <v>30932.136000000002</v>
      </c>
      <c r="J349" s="65">
        <f>+'COMUNAS - HOME DELIVERY 2025'!J349*'COMUNAS - HOME DELIVERY 2025'!$Q$7</f>
        <v>41817.671999999999</v>
      </c>
      <c r="K349" s="65">
        <f>+'COMUNAS - HOME DELIVERY 2025'!K349*'COMUNAS - HOME DELIVERY 2025'!$Q$7</f>
        <v>59133.599999999999</v>
      </c>
      <c r="L349" s="65">
        <f>+'COMUNAS - HOME DELIVERY 2025'!L349*'COMUNAS - HOME DELIVERY 2025'!$Q$7</f>
        <v>66887.532000000007</v>
      </c>
      <c r="M349" s="66">
        <f>+'COMUNAS - HOME DELIVERY 2025'!M349*'COMUNAS - HOME DELIVERY 2025'!$Q$7</f>
        <v>2659.4639999999999</v>
      </c>
      <c r="N349" s="67">
        <f>+'COMUNAS - HOME DELIVERY 2025'!N349*'COMUNAS - HOME DELIVERY 2025'!$Q$7</f>
        <v>2507.7600000000002</v>
      </c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38"/>
    </row>
    <row r="350" spans="2:25" ht="15.75" customHeight="1" x14ac:dyDescent="0.3">
      <c r="B350" s="2"/>
      <c r="C350" s="61" t="s">
        <v>738</v>
      </c>
      <c r="D350" s="62" t="s">
        <v>752</v>
      </c>
      <c r="E350" s="63" t="s">
        <v>753</v>
      </c>
      <c r="F350" s="64">
        <f>+'COMUNAS - HOME DELIVERY 2025'!F350*'COMUNAS - HOME DELIVERY 2025'!$Q$7</f>
        <v>9596.0519999999997</v>
      </c>
      <c r="G350" s="65">
        <f>+'COMUNAS - HOME DELIVERY 2025'!G350*'COMUNAS - HOME DELIVERY 2025'!$Q$7</f>
        <v>11224.548000000001</v>
      </c>
      <c r="H350" s="65">
        <f>+'COMUNAS - HOME DELIVERY 2025'!H350*'COMUNAS - HOME DELIVERY 2025'!$Q$7</f>
        <v>13582.152</v>
      </c>
      <c r="I350" s="65">
        <f>+'COMUNAS - HOME DELIVERY 2025'!I350*'COMUNAS - HOME DELIVERY 2025'!$Q$7</f>
        <v>15452.136</v>
      </c>
      <c r="J350" s="65">
        <f>+'COMUNAS - HOME DELIVERY 2025'!J350*'COMUNAS - HOME DELIVERY 2025'!$Q$7</f>
        <v>26337.672000000002</v>
      </c>
      <c r="K350" s="65">
        <f>+'COMUNAS - HOME DELIVERY 2025'!K350*'COMUNAS - HOME DELIVERY 2025'!$Q$7</f>
        <v>43653.599999999999</v>
      </c>
      <c r="L350" s="65">
        <f>+'COMUNAS - HOME DELIVERY 2025'!L350*'COMUNAS - HOME DELIVERY 2025'!$Q$7</f>
        <v>51407.531999999999</v>
      </c>
      <c r="M350" s="66">
        <f>+'COMUNAS - HOME DELIVERY 2025'!M350*'COMUNAS - HOME DELIVERY 2025'!$Q$7</f>
        <v>2659.4639999999999</v>
      </c>
      <c r="N350" s="67">
        <f>+'COMUNAS - HOME DELIVERY 2025'!N350*'COMUNAS - HOME DELIVERY 2025'!$Q$7</f>
        <v>2507.7600000000002</v>
      </c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38"/>
    </row>
    <row r="351" spans="2:25" ht="15.75" customHeight="1" x14ac:dyDescent="0.3">
      <c r="B351" s="2"/>
      <c r="C351" s="61" t="s">
        <v>738</v>
      </c>
      <c r="D351" s="62" t="s">
        <v>754</v>
      </c>
      <c r="E351" s="63" t="s">
        <v>755</v>
      </c>
      <c r="F351" s="64">
        <f>+'COMUNAS - HOME DELIVERY 2025'!F351*'COMUNAS - HOME DELIVERY 2025'!$Q$7</f>
        <v>25076.052</v>
      </c>
      <c r="G351" s="65">
        <f>+'COMUNAS - HOME DELIVERY 2025'!G351*'COMUNAS - HOME DELIVERY 2025'!$Q$7</f>
        <v>26704.548000000003</v>
      </c>
      <c r="H351" s="65">
        <f>+'COMUNAS - HOME DELIVERY 2025'!H351*'COMUNAS - HOME DELIVERY 2025'!$Q$7</f>
        <v>29062.152000000002</v>
      </c>
      <c r="I351" s="65">
        <f>+'COMUNAS - HOME DELIVERY 2025'!I351*'COMUNAS - HOME DELIVERY 2025'!$Q$7</f>
        <v>30932.136000000002</v>
      </c>
      <c r="J351" s="65">
        <f>+'COMUNAS - HOME DELIVERY 2025'!J351*'COMUNAS - HOME DELIVERY 2025'!$Q$7</f>
        <v>41817.671999999999</v>
      </c>
      <c r="K351" s="65">
        <f>+'COMUNAS - HOME DELIVERY 2025'!K351*'COMUNAS - HOME DELIVERY 2025'!$Q$7</f>
        <v>59133.599999999999</v>
      </c>
      <c r="L351" s="65">
        <f>+'COMUNAS - HOME DELIVERY 2025'!L351*'COMUNAS - HOME DELIVERY 2025'!$Q$7</f>
        <v>66887.532000000007</v>
      </c>
      <c r="M351" s="66">
        <f>+'COMUNAS - HOME DELIVERY 2025'!M351*'COMUNAS - HOME DELIVERY 2025'!$Q$7</f>
        <v>2659.4639999999999</v>
      </c>
      <c r="N351" s="67">
        <f>+'COMUNAS - HOME DELIVERY 2025'!N351*'COMUNAS - HOME DELIVERY 2025'!$Q$7</f>
        <v>2507.7600000000002</v>
      </c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38"/>
    </row>
    <row r="352" spans="2:25" ht="15.75" customHeight="1" x14ac:dyDescent="0.3">
      <c r="B352" s="2"/>
      <c r="C352" s="61" t="s">
        <v>738</v>
      </c>
      <c r="D352" s="62" t="s">
        <v>756</v>
      </c>
      <c r="E352" s="63" t="s">
        <v>757</v>
      </c>
      <c r="F352" s="64">
        <f>+'COMUNAS - HOME DELIVERY 2025'!F352*'COMUNAS - HOME DELIVERY 2025'!$Q$7</f>
        <v>9596.0519999999997</v>
      </c>
      <c r="G352" s="65">
        <f>+'COMUNAS - HOME DELIVERY 2025'!G352*'COMUNAS - HOME DELIVERY 2025'!$Q$7</f>
        <v>11224.548000000001</v>
      </c>
      <c r="H352" s="65">
        <f>+'COMUNAS - HOME DELIVERY 2025'!H352*'COMUNAS - HOME DELIVERY 2025'!$Q$7</f>
        <v>13582.152</v>
      </c>
      <c r="I352" s="65">
        <f>+'COMUNAS - HOME DELIVERY 2025'!I352*'COMUNAS - HOME DELIVERY 2025'!$Q$7</f>
        <v>15452.136</v>
      </c>
      <c r="J352" s="65">
        <f>+'COMUNAS - HOME DELIVERY 2025'!J352*'COMUNAS - HOME DELIVERY 2025'!$Q$7</f>
        <v>26337.672000000002</v>
      </c>
      <c r="K352" s="65">
        <f>+'COMUNAS - HOME DELIVERY 2025'!K352*'COMUNAS - HOME DELIVERY 2025'!$Q$7</f>
        <v>43653.599999999999</v>
      </c>
      <c r="L352" s="65">
        <f>+'COMUNAS - HOME DELIVERY 2025'!L352*'COMUNAS - HOME DELIVERY 2025'!$Q$7</f>
        <v>51407.531999999999</v>
      </c>
      <c r="M352" s="66">
        <f>+'COMUNAS - HOME DELIVERY 2025'!M352*'COMUNAS - HOME DELIVERY 2025'!$Q$7</f>
        <v>2659.4639999999999</v>
      </c>
      <c r="N352" s="67">
        <f>+'COMUNAS - HOME DELIVERY 2025'!N352*'COMUNAS - HOME DELIVERY 2025'!$Q$7</f>
        <v>2507.7600000000002</v>
      </c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38"/>
    </row>
    <row r="353" spans="2:25" ht="15.75" customHeight="1" thickBot="1" x14ac:dyDescent="0.35">
      <c r="B353" s="2"/>
      <c r="C353" s="68" t="s">
        <v>738</v>
      </c>
      <c r="D353" s="69" t="s">
        <v>758</v>
      </c>
      <c r="E353" s="70" t="s">
        <v>759</v>
      </c>
      <c r="F353" s="71">
        <f>+'COMUNAS - HOME DELIVERY 2025'!F353*'COMUNAS - HOME DELIVERY 2025'!$Q$7</f>
        <v>25076.052</v>
      </c>
      <c r="G353" s="72">
        <f>+'COMUNAS - HOME DELIVERY 2025'!G353*'COMUNAS - HOME DELIVERY 2025'!$Q$7</f>
        <v>26704.548000000003</v>
      </c>
      <c r="H353" s="72">
        <f>+'COMUNAS - HOME DELIVERY 2025'!H353*'COMUNAS - HOME DELIVERY 2025'!$Q$7</f>
        <v>29062.152000000002</v>
      </c>
      <c r="I353" s="72">
        <f>+'COMUNAS - HOME DELIVERY 2025'!I353*'COMUNAS - HOME DELIVERY 2025'!$Q$7</f>
        <v>30932.136000000002</v>
      </c>
      <c r="J353" s="72">
        <f>+'COMUNAS - HOME DELIVERY 2025'!J353*'COMUNAS - HOME DELIVERY 2025'!$Q$7</f>
        <v>41817.671999999999</v>
      </c>
      <c r="K353" s="72">
        <f>+'COMUNAS - HOME DELIVERY 2025'!K353*'COMUNAS - HOME DELIVERY 2025'!$Q$7</f>
        <v>59133.599999999999</v>
      </c>
      <c r="L353" s="72">
        <f>+'COMUNAS - HOME DELIVERY 2025'!L353*'COMUNAS - HOME DELIVERY 2025'!$Q$7</f>
        <v>66887.532000000007</v>
      </c>
      <c r="M353" s="73">
        <f>+'COMUNAS - HOME DELIVERY 2025'!M353*'COMUNAS - HOME DELIVERY 2025'!$Q$7</f>
        <v>2659.4639999999999</v>
      </c>
      <c r="N353" s="74">
        <f>+'COMUNAS - HOME DELIVERY 2025'!N353*'COMUNAS - HOME DELIVERY 2025'!$Q$7</f>
        <v>2507.7600000000002</v>
      </c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38"/>
    </row>
    <row r="354" spans="2:25" ht="15.75" customHeight="1" thickBot="1" x14ac:dyDescent="0.35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38"/>
    </row>
    <row r="355" spans="2:25" ht="15.75" customHeight="1" thickBot="1" x14ac:dyDescent="0.35">
      <c r="B355" s="2"/>
      <c r="C355" s="203" t="s">
        <v>54</v>
      </c>
      <c r="D355" s="170"/>
      <c r="E355" s="170"/>
      <c r="F355" s="170"/>
      <c r="G355" s="170"/>
      <c r="H355" s="170"/>
      <c r="I355" s="170"/>
      <c r="J355" s="170"/>
      <c r="K355" s="170"/>
      <c r="L355" s="170"/>
      <c r="M355" s="170"/>
      <c r="N355" s="171"/>
      <c r="O355" s="83"/>
      <c r="P355" s="2"/>
      <c r="Q355" s="2"/>
      <c r="R355" s="2"/>
      <c r="S355" s="2"/>
      <c r="T355" s="2"/>
      <c r="U355" s="2"/>
      <c r="V355" s="2"/>
      <c r="W355" s="2"/>
      <c r="X355" s="2"/>
      <c r="Y355" s="38"/>
    </row>
    <row r="356" spans="2:25" ht="15.75" customHeight="1" thickBot="1" x14ac:dyDescent="0.35">
      <c r="B356" s="2"/>
      <c r="C356" s="84" t="s">
        <v>70</v>
      </c>
      <c r="D356" s="48" t="s">
        <v>71</v>
      </c>
      <c r="E356" s="48" t="s">
        <v>72</v>
      </c>
      <c r="F356" s="48" t="s">
        <v>10</v>
      </c>
      <c r="G356" s="48" t="s">
        <v>11</v>
      </c>
      <c r="H356" s="48" t="s">
        <v>12</v>
      </c>
      <c r="I356" s="49" t="s">
        <v>13</v>
      </c>
      <c r="J356" s="49" t="s">
        <v>14</v>
      </c>
      <c r="K356" s="50" t="s">
        <v>15</v>
      </c>
      <c r="L356" s="50" t="s">
        <v>16</v>
      </c>
      <c r="M356" s="48" t="s">
        <v>17</v>
      </c>
      <c r="N356" s="51" t="s">
        <v>18</v>
      </c>
      <c r="O356" s="52"/>
      <c r="P356" s="2"/>
      <c r="Q356" s="2"/>
      <c r="R356" s="2"/>
      <c r="S356" s="2"/>
      <c r="T356" s="2"/>
      <c r="U356" s="2"/>
      <c r="V356" s="2"/>
      <c r="W356" s="2"/>
      <c r="X356" s="2"/>
      <c r="Y356" s="38"/>
    </row>
    <row r="357" spans="2:25" ht="15.75" customHeight="1" x14ac:dyDescent="0.3">
      <c r="B357" s="2"/>
      <c r="C357" s="53" t="s">
        <v>679</v>
      </c>
      <c r="D357" s="54" t="s">
        <v>680</v>
      </c>
      <c r="E357" s="55" t="s">
        <v>57</v>
      </c>
      <c r="F357" s="56">
        <f>+'COMUNAS - HOME DELIVERY 2025'!F357*'COMUNAS - HOME DELIVERY 2025'!$Q$7</f>
        <v>5726.5680000000002</v>
      </c>
      <c r="G357" s="57">
        <f>+'COMUNAS - HOME DELIVERY 2025'!G357*'COMUNAS - HOME DELIVERY 2025'!$Q$7</f>
        <v>6375.6959999999999</v>
      </c>
      <c r="H357" s="57">
        <f>+'COMUNAS - HOME DELIVERY 2025'!H357*'COMUNAS - HOME DELIVERY 2025'!$Q$7</f>
        <v>7009.3440000000001</v>
      </c>
      <c r="I357" s="57">
        <f>+'COMUNAS - HOME DELIVERY 2025'!I357*'COMUNAS - HOME DELIVERY 2025'!$Q$7</f>
        <v>8475.8160000000007</v>
      </c>
      <c r="J357" s="57">
        <f>+'COMUNAS - HOME DELIVERY 2025'!J357*'COMUNAS - HOME DELIVERY 2025'!$Q$7</f>
        <v>11083.68</v>
      </c>
      <c r="K357" s="57">
        <f>+'COMUNAS - HOME DELIVERY 2025'!K357*'COMUNAS - HOME DELIVERY 2025'!$Q$7</f>
        <v>14629.632</v>
      </c>
      <c r="L357" s="57">
        <f>+'COMUNAS - HOME DELIVERY 2025'!L357*'COMUNAS - HOME DELIVERY 2025'!$Q$7</f>
        <v>17364.432000000001</v>
      </c>
      <c r="M357" s="58">
        <f>+'COMUNAS - HOME DELIVERY 2025'!M357*'COMUNAS - HOME DELIVERY 2025'!$Q$7</f>
        <v>706.92000000000007</v>
      </c>
      <c r="N357" s="59">
        <f>+'COMUNAS - HOME DELIVERY 2025'!N357*'COMUNAS - HOME DELIVERY 2025'!$Q$7</f>
        <v>603.72</v>
      </c>
      <c r="O357" s="60"/>
      <c r="P357" s="2"/>
      <c r="Q357" s="2"/>
      <c r="R357" s="2"/>
      <c r="S357" s="2"/>
      <c r="T357" s="2"/>
      <c r="U357" s="2"/>
      <c r="V357" s="2"/>
      <c r="W357" s="2"/>
      <c r="X357" s="2"/>
      <c r="Y357" s="38"/>
    </row>
    <row r="358" spans="2:25" ht="15.75" customHeight="1" x14ac:dyDescent="0.3">
      <c r="B358" s="2"/>
      <c r="C358" s="61" t="s">
        <v>679</v>
      </c>
      <c r="D358" s="62" t="s">
        <v>681</v>
      </c>
      <c r="E358" s="63" t="s">
        <v>682</v>
      </c>
      <c r="F358" s="64">
        <f>+'COMUNAS - HOME DELIVERY 2025'!F358*'COMUNAS - HOME DELIVERY 2025'!$Q$7</f>
        <v>24069.851999999999</v>
      </c>
      <c r="G358" s="65">
        <f>+'COMUNAS - HOME DELIVERY 2025'!G358*'COMUNAS - HOME DELIVERY 2025'!$Q$7</f>
        <v>25043.544000000002</v>
      </c>
      <c r="H358" s="65">
        <f>+'COMUNAS - HOME DELIVERY 2025'!H358*'COMUNAS - HOME DELIVERY 2025'!$Q$7</f>
        <v>25994.016</v>
      </c>
      <c r="I358" s="65">
        <f>+'COMUNAS - HOME DELIVERY 2025'!I358*'COMUNAS - HOME DELIVERY 2025'!$Q$7</f>
        <v>28193.724000000002</v>
      </c>
      <c r="J358" s="65">
        <f>+'COMUNAS - HOME DELIVERY 2025'!J358*'COMUNAS - HOME DELIVERY 2025'!$Q$7</f>
        <v>32105.52</v>
      </c>
      <c r="K358" s="65">
        <f>+'COMUNAS - HOME DELIVERY 2025'!K358*'COMUNAS - HOME DELIVERY 2025'!$Q$7</f>
        <v>37424.448000000004</v>
      </c>
      <c r="L358" s="65">
        <f>+'COMUNAS - HOME DELIVERY 2025'!L358*'COMUNAS - HOME DELIVERY 2025'!$Q$7</f>
        <v>41526.648000000001</v>
      </c>
      <c r="M358" s="66">
        <f>+'COMUNAS - HOME DELIVERY 2025'!M358*'COMUNAS - HOME DELIVERY 2025'!$Q$7</f>
        <v>1060.3800000000001</v>
      </c>
      <c r="N358" s="67">
        <f>+'COMUNAS - HOME DELIVERY 2025'!N358*'COMUNAS - HOME DELIVERY 2025'!$Q$7</f>
        <v>905.58</v>
      </c>
      <c r="O358" s="60"/>
      <c r="P358" s="2"/>
      <c r="Q358" s="2"/>
      <c r="R358" s="2"/>
      <c r="S358" s="2"/>
      <c r="T358" s="2"/>
      <c r="U358" s="2"/>
      <c r="V358" s="2"/>
      <c r="W358" s="2"/>
      <c r="X358" s="2"/>
      <c r="Y358" s="38"/>
    </row>
    <row r="359" spans="2:25" ht="15.75" customHeight="1" x14ac:dyDescent="0.3">
      <c r="B359" s="2"/>
      <c r="C359" s="61" t="s">
        <v>679</v>
      </c>
      <c r="D359" s="62" t="s">
        <v>683</v>
      </c>
      <c r="E359" s="63" t="s">
        <v>684</v>
      </c>
      <c r="F359" s="64">
        <f>+'COMUNAS - HOME DELIVERY 2025'!F359*'COMUNAS - HOME DELIVERY 2025'!$Q$7</f>
        <v>24069.851999999999</v>
      </c>
      <c r="G359" s="65">
        <f>+'COMUNAS - HOME DELIVERY 2025'!G359*'COMUNAS - HOME DELIVERY 2025'!$Q$7</f>
        <v>25043.544000000002</v>
      </c>
      <c r="H359" s="65">
        <f>+'COMUNAS - HOME DELIVERY 2025'!H359*'COMUNAS - HOME DELIVERY 2025'!$Q$7</f>
        <v>25994.016</v>
      </c>
      <c r="I359" s="65">
        <f>+'COMUNAS - HOME DELIVERY 2025'!I359*'COMUNAS - HOME DELIVERY 2025'!$Q$7</f>
        <v>28193.724000000002</v>
      </c>
      <c r="J359" s="65">
        <f>+'COMUNAS - HOME DELIVERY 2025'!J359*'COMUNAS - HOME DELIVERY 2025'!$Q$7</f>
        <v>32105.52</v>
      </c>
      <c r="K359" s="65">
        <f>+'COMUNAS - HOME DELIVERY 2025'!K359*'COMUNAS - HOME DELIVERY 2025'!$Q$7</f>
        <v>37424.448000000004</v>
      </c>
      <c r="L359" s="65">
        <f>+'COMUNAS - HOME DELIVERY 2025'!L359*'COMUNAS - HOME DELIVERY 2025'!$Q$7</f>
        <v>41526.648000000001</v>
      </c>
      <c r="M359" s="66">
        <f>+'COMUNAS - HOME DELIVERY 2025'!M359*'COMUNAS - HOME DELIVERY 2025'!$Q$7</f>
        <v>1060.3800000000001</v>
      </c>
      <c r="N359" s="67">
        <f>+'COMUNAS - HOME DELIVERY 2025'!N359*'COMUNAS - HOME DELIVERY 2025'!$Q$7</f>
        <v>905.58</v>
      </c>
      <c r="O359" s="60"/>
      <c r="P359" s="2"/>
      <c r="Q359" s="2"/>
      <c r="R359" s="2"/>
      <c r="S359" s="2"/>
      <c r="T359" s="2"/>
      <c r="U359" s="2"/>
      <c r="V359" s="2"/>
      <c r="W359" s="2"/>
      <c r="X359" s="2"/>
      <c r="Y359" s="38"/>
    </row>
    <row r="360" spans="2:25" ht="15.75" customHeight="1" thickBot="1" x14ac:dyDescent="0.35">
      <c r="B360" s="2"/>
      <c r="C360" s="68" t="s">
        <v>679</v>
      </c>
      <c r="D360" s="69" t="s">
        <v>685</v>
      </c>
      <c r="E360" s="70" t="s">
        <v>686</v>
      </c>
      <c r="F360" s="71">
        <f>+'COMUNAS - HOME DELIVERY 2025'!F360*'COMUNAS - HOME DELIVERY 2025'!$Q$7</f>
        <v>24069.851999999999</v>
      </c>
      <c r="G360" s="72">
        <f>+'COMUNAS - HOME DELIVERY 2025'!G360*'COMUNAS - HOME DELIVERY 2025'!$Q$7</f>
        <v>25043.544000000002</v>
      </c>
      <c r="H360" s="72">
        <f>+'COMUNAS - HOME DELIVERY 2025'!H360*'COMUNAS - HOME DELIVERY 2025'!$Q$7</f>
        <v>25994.016</v>
      </c>
      <c r="I360" s="72">
        <f>+'COMUNAS - HOME DELIVERY 2025'!I360*'COMUNAS - HOME DELIVERY 2025'!$Q$7</f>
        <v>28193.724000000002</v>
      </c>
      <c r="J360" s="72">
        <f>+'COMUNAS - HOME DELIVERY 2025'!J360*'COMUNAS - HOME DELIVERY 2025'!$Q$7</f>
        <v>32105.52</v>
      </c>
      <c r="K360" s="72">
        <f>+'COMUNAS - HOME DELIVERY 2025'!K360*'COMUNAS - HOME DELIVERY 2025'!$Q$7</f>
        <v>37424.448000000004</v>
      </c>
      <c r="L360" s="72">
        <f>+'COMUNAS - HOME DELIVERY 2025'!L360*'COMUNAS - HOME DELIVERY 2025'!$Q$7</f>
        <v>41526.648000000001</v>
      </c>
      <c r="M360" s="73">
        <f>+'COMUNAS - HOME DELIVERY 2025'!M360*'COMUNAS - HOME DELIVERY 2025'!$Q$7</f>
        <v>1060.3800000000001</v>
      </c>
      <c r="N360" s="74">
        <f>+'COMUNAS - HOME DELIVERY 2025'!N360*'COMUNAS - HOME DELIVERY 2025'!$Q$7</f>
        <v>905.58</v>
      </c>
      <c r="O360" s="60"/>
      <c r="P360" s="2"/>
      <c r="Q360" s="2"/>
      <c r="R360" s="2"/>
      <c r="S360" s="2"/>
      <c r="T360" s="2"/>
      <c r="U360" s="2"/>
      <c r="V360" s="2"/>
      <c r="W360" s="2"/>
      <c r="X360" s="2"/>
      <c r="Y360" s="38"/>
    </row>
    <row r="361" spans="2:25" ht="15.75" customHeight="1" x14ac:dyDescent="0.3">
      <c r="B361" s="2"/>
      <c r="C361" s="53" t="s">
        <v>687</v>
      </c>
      <c r="D361" s="54" t="s">
        <v>688</v>
      </c>
      <c r="E361" s="55" t="s">
        <v>58</v>
      </c>
      <c r="F361" s="56">
        <f>+'COMUNAS - HOME DELIVERY 2025'!F361*'COMUNAS - HOME DELIVERY 2025'!$Q$7</f>
        <v>5462.3760000000002</v>
      </c>
      <c r="G361" s="57">
        <f>+'COMUNAS - HOME DELIVERY 2025'!G361*'COMUNAS - HOME DELIVERY 2025'!$Q$7</f>
        <v>5957.7359999999999</v>
      </c>
      <c r="H361" s="57">
        <f>+'COMUNAS - HOME DELIVERY 2025'!H361*'COMUNAS - HOME DELIVERY 2025'!$Q$7</f>
        <v>6551.1360000000004</v>
      </c>
      <c r="I361" s="57">
        <f>+'COMUNAS - HOME DELIVERY 2025'!I361*'COMUNAS - HOME DELIVERY 2025'!$Q$7</f>
        <v>7922.6640000000007</v>
      </c>
      <c r="J361" s="57">
        <f>+'COMUNAS - HOME DELIVERY 2025'!J361*'COMUNAS - HOME DELIVERY 2025'!$Q$7</f>
        <v>10359.216</v>
      </c>
      <c r="K361" s="57">
        <f>+'COMUNAS - HOME DELIVERY 2025'!K361*'COMUNAS - HOME DELIVERY 2025'!$Q$7</f>
        <v>13672.968000000001</v>
      </c>
      <c r="L361" s="57">
        <f>+'COMUNAS - HOME DELIVERY 2025'!L361*'COMUNAS - HOME DELIVERY 2025'!$Q$7</f>
        <v>16317.984</v>
      </c>
      <c r="M361" s="58">
        <f>+'COMUNAS - HOME DELIVERY 2025'!M361*'COMUNAS - HOME DELIVERY 2025'!$Q$7</f>
        <v>694.53600000000006</v>
      </c>
      <c r="N361" s="59">
        <f>+'COMUNAS - HOME DELIVERY 2025'!N361*'COMUNAS - HOME DELIVERY 2025'!$Q$7</f>
        <v>576.88800000000003</v>
      </c>
      <c r="O361" s="60"/>
      <c r="P361" s="2"/>
      <c r="Q361" s="2"/>
      <c r="R361" s="2"/>
      <c r="S361" s="2"/>
      <c r="T361" s="2"/>
      <c r="U361" s="2"/>
      <c r="V361" s="2"/>
      <c r="W361" s="2"/>
      <c r="X361" s="2"/>
      <c r="Y361" s="38"/>
    </row>
    <row r="362" spans="2:25" ht="15.75" customHeight="1" x14ac:dyDescent="0.3">
      <c r="B362" s="2"/>
      <c r="C362" s="61" t="s">
        <v>687</v>
      </c>
      <c r="D362" s="62" t="s">
        <v>689</v>
      </c>
      <c r="E362" s="63" t="s">
        <v>690</v>
      </c>
      <c r="F362" s="64">
        <f>+'COMUNAS - HOME DELIVERY 2025'!F362*'COMUNAS - HOME DELIVERY 2025'!$Q$7</f>
        <v>5462.3760000000002</v>
      </c>
      <c r="G362" s="65">
        <f>+'COMUNAS - HOME DELIVERY 2025'!G362*'COMUNAS - HOME DELIVERY 2025'!$Q$7</f>
        <v>5957.7359999999999</v>
      </c>
      <c r="H362" s="65">
        <f>+'COMUNAS - HOME DELIVERY 2025'!H362*'COMUNAS - HOME DELIVERY 2025'!$Q$7</f>
        <v>6551.1360000000004</v>
      </c>
      <c r="I362" s="65">
        <f>+'COMUNAS - HOME DELIVERY 2025'!I362*'COMUNAS - HOME DELIVERY 2025'!$Q$7</f>
        <v>7922.6640000000007</v>
      </c>
      <c r="J362" s="65">
        <f>+'COMUNAS - HOME DELIVERY 2025'!J362*'COMUNAS - HOME DELIVERY 2025'!$Q$7</f>
        <v>10359.216</v>
      </c>
      <c r="K362" s="65">
        <f>+'COMUNAS - HOME DELIVERY 2025'!K362*'COMUNAS - HOME DELIVERY 2025'!$Q$7</f>
        <v>13672.968000000001</v>
      </c>
      <c r="L362" s="65">
        <f>+'COMUNAS - HOME DELIVERY 2025'!L362*'COMUNAS - HOME DELIVERY 2025'!$Q$7</f>
        <v>16317.984</v>
      </c>
      <c r="M362" s="66">
        <f>+'COMUNAS - HOME DELIVERY 2025'!M362*'COMUNAS - HOME DELIVERY 2025'!$Q$7</f>
        <v>694.53600000000006</v>
      </c>
      <c r="N362" s="67">
        <f>+'COMUNAS - HOME DELIVERY 2025'!N362*'COMUNAS - HOME DELIVERY 2025'!$Q$7</f>
        <v>576.88800000000003</v>
      </c>
      <c r="O362" s="60"/>
      <c r="P362" s="2"/>
      <c r="Q362" s="2"/>
      <c r="R362" s="2"/>
      <c r="S362" s="2"/>
      <c r="T362" s="2"/>
      <c r="U362" s="2"/>
      <c r="V362" s="2"/>
      <c r="W362" s="2"/>
      <c r="X362" s="2"/>
      <c r="Y362" s="38"/>
    </row>
    <row r="363" spans="2:25" ht="15.75" customHeight="1" x14ac:dyDescent="0.3">
      <c r="B363" s="2"/>
      <c r="C363" s="61" t="s">
        <v>687</v>
      </c>
      <c r="D363" s="62" t="s">
        <v>691</v>
      </c>
      <c r="E363" s="63" t="s">
        <v>692</v>
      </c>
      <c r="F363" s="64">
        <f>+'COMUNAS - HOME DELIVERY 2025'!F363*'COMUNAS - HOME DELIVERY 2025'!$Q$7</f>
        <v>23673.564000000002</v>
      </c>
      <c r="G363" s="65">
        <f>+'COMUNAS - HOME DELIVERY 2025'!G363*'COMUNAS - HOME DELIVERY 2025'!$Q$7</f>
        <v>24416.603999999999</v>
      </c>
      <c r="H363" s="65">
        <f>+'COMUNAS - HOME DELIVERY 2025'!H363*'COMUNAS - HOME DELIVERY 2025'!$Q$7</f>
        <v>25306.704000000002</v>
      </c>
      <c r="I363" s="65">
        <f>+'COMUNAS - HOME DELIVERY 2025'!I363*'COMUNAS - HOME DELIVERY 2025'!$Q$7</f>
        <v>27363.995999999999</v>
      </c>
      <c r="J363" s="65">
        <f>+'COMUNAS - HOME DELIVERY 2025'!J363*'COMUNAS - HOME DELIVERY 2025'!$Q$7</f>
        <v>31018.824000000001</v>
      </c>
      <c r="K363" s="65">
        <f>+'COMUNAS - HOME DELIVERY 2025'!K363*'COMUNAS - HOME DELIVERY 2025'!$Q$7</f>
        <v>35989.451999999997</v>
      </c>
      <c r="L363" s="65">
        <f>+'COMUNAS - HOME DELIVERY 2025'!L363*'COMUNAS - HOME DELIVERY 2025'!$Q$7</f>
        <v>39956.976000000002</v>
      </c>
      <c r="M363" s="66">
        <f>+'COMUNAS - HOME DELIVERY 2025'!M363*'COMUNAS - HOME DELIVERY 2025'!$Q$7</f>
        <v>1041.8040000000001</v>
      </c>
      <c r="N363" s="67">
        <f>+'COMUNAS - HOME DELIVERY 2025'!N363*'COMUNAS - HOME DELIVERY 2025'!$Q$7</f>
        <v>865.33199999999999</v>
      </c>
      <c r="O363" s="60"/>
      <c r="P363" s="2"/>
      <c r="Q363" s="2"/>
      <c r="R363" s="2"/>
      <c r="S363" s="2"/>
      <c r="T363" s="2"/>
      <c r="U363" s="2"/>
      <c r="V363" s="2"/>
      <c r="W363" s="2"/>
      <c r="X363" s="2"/>
      <c r="Y363" s="38"/>
    </row>
    <row r="364" spans="2:25" ht="15.75" customHeight="1" x14ac:dyDescent="0.3">
      <c r="B364" s="2"/>
      <c r="C364" s="61" t="s">
        <v>687</v>
      </c>
      <c r="D364" s="62" t="s">
        <v>693</v>
      </c>
      <c r="E364" s="63" t="s">
        <v>694</v>
      </c>
      <c r="F364" s="64">
        <f>+'COMUNAS - HOME DELIVERY 2025'!F364*'COMUNAS - HOME DELIVERY 2025'!$Q$7</f>
        <v>23673.564000000002</v>
      </c>
      <c r="G364" s="65">
        <f>+'COMUNAS - HOME DELIVERY 2025'!G364*'COMUNAS - HOME DELIVERY 2025'!$Q$7</f>
        <v>24416.603999999999</v>
      </c>
      <c r="H364" s="65">
        <f>+'COMUNAS - HOME DELIVERY 2025'!H364*'COMUNAS - HOME DELIVERY 2025'!$Q$7</f>
        <v>25306.704000000002</v>
      </c>
      <c r="I364" s="65">
        <f>+'COMUNAS - HOME DELIVERY 2025'!I364*'COMUNAS - HOME DELIVERY 2025'!$Q$7</f>
        <v>27363.995999999999</v>
      </c>
      <c r="J364" s="65">
        <f>+'COMUNAS - HOME DELIVERY 2025'!J364*'COMUNAS - HOME DELIVERY 2025'!$Q$7</f>
        <v>31018.824000000001</v>
      </c>
      <c r="K364" s="65">
        <f>+'COMUNAS - HOME DELIVERY 2025'!K364*'COMUNAS - HOME DELIVERY 2025'!$Q$7</f>
        <v>35989.451999999997</v>
      </c>
      <c r="L364" s="65">
        <f>+'COMUNAS - HOME DELIVERY 2025'!L364*'COMUNAS - HOME DELIVERY 2025'!$Q$7</f>
        <v>39956.976000000002</v>
      </c>
      <c r="M364" s="66">
        <f>+'COMUNAS - HOME DELIVERY 2025'!M364*'COMUNAS - HOME DELIVERY 2025'!$Q$7</f>
        <v>1041.8040000000001</v>
      </c>
      <c r="N364" s="67">
        <f>+'COMUNAS - HOME DELIVERY 2025'!N364*'COMUNAS - HOME DELIVERY 2025'!$Q$7</f>
        <v>865.33199999999999</v>
      </c>
      <c r="O364" s="60"/>
      <c r="P364" s="2"/>
      <c r="Q364" s="2"/>
      <c r="R364" s="2"/>
      <c r="S364" s="2"/>
      <c r="T364" s="2"/>
      <c r="U364" s="2"/>
      <c r="V364" s="2"/>
      <c r="W364" s="2"/>
      <c r="X364" s="2"/>
      <c r="Y364" s="38"/>
    </row>
    <row r="365" spans="2:25" ht="15.75" customHeight="1" x14ac:dyDescent="0.3">
      <c r="B365" s="2"/>
      <c r="C365" s="61" t="s">
        <v>687</v>
      </c>
      <c r="D365" s="62" t="s">
        <v>695</v>
      </c>
      <c r="E365" s="63" t="s">
        <v>696</v>
      </c>
      <c r="F365" s="64">
        <f>+'COMUNAS - HOME DELIVERY 2025'!F365*'COMUNAS - HOME DELIVERY 2025'!$Q$7</f>
        <v>8193.5640000000003</v>
      </c>
      <c r="G365" s="65">
        <f>+'COMUNAS - HOME DELIVERY 2025'!G365*'COMUNAS - HOME DELIVERY 2025'!$Q$7</f>
        <v>8936.6039999999994</v>
      </c>
      <c r="H365" s="65">
        <f>+'COMUNAS - HOME DELIVERY 2025'!H365*'COMUNAS - HOME DELIVERY 2025'!$Q$7</f>
        <v>9826.7039999999997</v>
      </c>
      <c r="I365" s="65">
        <f>+'COMUNAS - HOME DELIVERY 2025'!I365*'COMUNAS - HOME DELIVERY 2025'!$Q$7</f>
        <v>11883.996000000001</v>
      </c>
      <c r="J365" s="65">
        <f>+'COMUNAS - HOME DELIVERY 2025'!J365*'COMUNAS - HOME DELIVERY 2025'!$Q$7</f>
        <v>15538.824000000001</v>
      </c>
      <c r="K365" s="65">
        <f>+'COMUNAS - HOME DELIVERY 2025'!K365*'COMUNAS - HOME DELIVERY 2025'!$Q$7</f>
        <v>20509.452000000001</v>
      </c>
      <c r="L365" s="65">
        <f>+'COMUNAS - HOME DELIVERY 2025'!L365*'COMUNAS - HOME DELIVERY 2025'!$Q$7</f>
        <v>24476.976000000002</v>
      </c>
      <c r="M365" s="66">
        <f>+'COMUNAS - HOME DELIVERY 2025'!M365*'COMUNAS - HOME DELIVERY 2025'!$Q$7</f>
        <v>1041.8040000000001</v>
      </c>
      <c r="N365" s="67">
        <f>+'COMUNAS - HOME DELIVERY 2025'!N365*'COMUNAS - HOME DELIVERY 2025'!$Q$7</f>
        <v>865.33199999999999</v>
      </c>
      <c r="O365" s="60"/>
      <c r="P365" s="2"/>
      <c r="Q365" s="2"/>
      <c r="R365" s="2"/>
      <c r="S365" s="2"/>
      <c r="T365" s="2"/>
      <c r="U365" s="2"/>
      <c r="V365" s="2"/>
      <c r="W365" s="2"/>
      <c r="X365" s="2"/>
      <c r="Y365" s="38"/>
    </row>
    <row r="366" spans="2:25" ht="15.75" customHeight="1" x14ac:dyDescent="0.3">
      <c r="B366" s="2"/>
      <c r="C366" s="61" t="s">
        <v>687</v>
      </c>
      <c r="D366" s="62" t="s">
        <v>697</v>
      </c>
      <c r="E366" s="63" t="s">
        <v>698</v>
      </c>
      <c r="F366" s="64">
        <f>+'COMUNAS - HOME DELIVERY 2025'!F366*'COMUNAS - HOME DELIVERY 2025'!$Q$7</f>
        <v>8193.5640000000003</v>
      </c>
      <c r="G366" s="65">
        <f>+'COMUNAS - HOME DELIVERY 2025'!G366*'COMUNAS - HOME DELIVERY 2025'!$Q$7</f>
        <v>8936.6039999999994</v>
      </c>
      <c r="H366" s="65">
        <f>+'COMUNAS - HOME DELIVERY 2025'!H366*'COMUNAS - HOME DELIVERY 2025'!$Q$7</f>
        <v>9826.7039999999997</v>
      </c>
      <c r="I366" s="65">
        <f>+'COMUNAS - HOME DELIVERY 2025'!I366*'COMUNAS - HOME DELIVERY 2025'!$Q$7</f>
        <v>11883.996000000001</v>
      </c>
      <c r="J366" s="65">
        <f>+'COMUNAS - HOME DELIVERY 2025'!J366*'COMUNAS - HOME DELIVERY 2025'!$Q$7</f>
        <v>15538.824000000001</v>
      </c>
      <c r="K366" s="65">
        <f>+'COMUNAS - HOME DELIVERY 2025'!K366*'COMUNAS - HOME DELIVERY 2025'!$Q$7</f>
        <v>20509.452000000001</v>
      </c>
      <c r="L366" s="65">
        <f>+'COMUNAS - HOME DELIVERY 2025'!L366*'COMUNAS - HOME DELIVERY 2025'!$Q$7</f>
        <v>24476.976000000002</v>
      </c>
      <c r="M366" s="66">
        <f>+'COMUNAS - HOME DELIVERY 2025'!M366*'COMUNAS - HOME DELIVERY 2025'!$Q$7</f>
        <v>1041.8040000000001</v>
      </c>
      <c r="N366" s="67">
        <f>+'COMUNAS - HOME DELIVERY 2025'!N366*'COMUNAS - HOME DELIVERY 2025'!$Q$7</f>
        <v>865.33199999999999</v>
      </c>
      <c r="O366" s="60"/>
      <c r="P366" s="2"/>
      <c r="Q366" s="2"/>
      <c r="R366" s="2"/>
      <c r="S366" s="2"/>
      <c r="T366" s="2"/>
      <c r="U366" s="2"/>
      <c r="V366" s="2"/>
      <c r="W366" s="2"/>
      <c r="X366" s="2"/>
      <c r="Y366" s="38"/>
    </row>
    <row r="367" spans="2:25" ht="15.75" customHeight="1" thickBot="1" x14ac:dyDescent="0.35">
      <c r="B367" s="2"/>
      <c r="C367" s="68" t="s">
        <v>687</v>
      </c>
      <c r="D367" s="69" t="s">
        <v>699</v>
      </c>
      <c r="E367" s="70" t="s">
        <v>700</v>
      </c>
      <c r="F367" s="71">
        <f>+'COMUNAS - HOME DELIVERY 2025'!F367*'COMUNAS - HOME DELIVERY 2025'!$Q$7</f>
        <v>8193.5640000000003</v>
      </c>
      <c r="G367" s="72">
        <f>+'COMUNAS - HOME DELIVERY 2025'!G367*'COMUNAS - HOME DELIVERY 2025'!$Q$7</f>
        <v>8936.6039999999994</v>
      </c>
      <c r="H367" s="72">
        <f>+'COMUNAS - HOME DELIVERY 2025'!H367*'COMUNAS - HOME DELIVERY 2025'!$Q$7</f>
        <v>9826.7039999999997</v>
      </c>
      <c r="I367" s="72">
        <f>+'COMUNAS - HOME DELIVERY 2025'!I367*'COMUNAS - HOME DELIVERY 2025'!$Q$7</f>
        <v>11883.996000000001</v>
      </c>
      <c r="J367" s="72">
        <f>+'COMUNAS - HOME DELIVERY 2025'!J367*'COMUNAS - HOME DELIVERY 2025'!$Q$7</f>
        <v>15538.824000000001</v>
      </c>
      <c r="K367" s="72">
        <f>+'COMUNAS - HOME DELIVERY 2025'!K367*'COMUNAS - HOME DELIVERY 2025'!$Q$7</f>
        <v>20509.452000000001</v>
      </c>
      <c r="L367" s="72">
        <f>+'COMUNAS - HOME DELIVERY 2025'!L367*'COMUNAS - HOME DELIVERY 2025'!$Q$7</f>
        <v>24476.976000000002</v>
      </c>
      <c r="M367" s="73">
        <f>+'COMUNAS - HOME DELIVERY 2025'!M367*'COMUNAS - HOME DELIVERY 2025'!$Q$7</f>
        <v>1041.8040000000001</v>
      </c>
      <c r="N367" s="74">
        <f>+'COMUNAS - HOME DELIVERY 2025'!N367*'COMUNAS - HOME DELIVERY 2025'!$Q$7</f>
        <v>865.33199999999999</v>
      </c>
      <c r="O367" s="60"/>
      <c r="P367" s="2"/>
      <c r="Q367" s="2"/>
      <c r="R367" s="2"/>
      <c r="S367" s="2"/>
      <c r="T367" s="2"/>
      <c r="U367" s="2"/>
      <c r="V367" s="2"/>
      <c r="W367" s="2"/>
      <c r="X367" s="2"/>
      <c r="Y367" s="38"/>
    </row>
    <row r="368" spans="2:25" ht="15.75" customHeight="1" x14ac:dyDescent="0.3">
      <c r="B368" s="2"/>
      <c r="C368" s="53" t="s">
        <v>701</v>
      </c>
      <c r="D368" s="54" t="s">
        <v>702</v>
      </c>
      <c r="E368" s="55" t="s">
        <v>60</v>
      </c>
      <c r="F368" s="56">
        <f>+'COMUNAS - HOME DELIVERY 2025'!F368*'COMUNAS - HOME DELIVERY 2025'!$Q$7</f>
        <v>5243.5920000000006</v>
      </c>
      <c r="G368" s="57">
        <f>+'COMUNAS - HOME DELIVERY 2025'!G368*'COMUNAS - HOME DELIVERY 2025'!$Q$7</f>
        <v>5605.8240000000005</v>
      </c>
      <c r="H368" s="57">
        <f>+'COMUNAS - HOME DELIVERY 2025'!H368*'COMUNAS - HOME DELIVERY 2025'!$Q$7</f>
        <v>6162.0720000000001</v>
      </c>
      <c r="I368" s="57">
        <f>+'COMUNAS - HOME DELIVERY 2025'!I368*'COMUNAS - HOME DELIVERY 2025'!$Q$7</f>
        <v>7451.04</v>
      </c>
      <c r="J368" s="57">
        <f>+'COMUNAS - HOME DELIVERY 2025'!J368*'COMUNAS - HOME DELIVERY 2025'!$Q$7</f>
        <v>9277.68</v>
      </c>
      <c r="K368" s="57">
        <f>+'COMUNAS - HOME DELIVERY 2025'!K368*'COMUNAS - HOME DELIVERY 2025'!$Q$7</f>
        <v>12246.744000000001</v>
      </c>
      <c r="L368" s="57">
        <f>+'COMUNAS - HOME DELIVERY 2025'!L368*'COMUNAS - HOME DELIVERY 2025'!$Q$7</f>
        <v>14690.52</v>
      </c>
      <c r="M368" s="58">
        <f>+'COMUNAS - HOME DELIVERY 2025'!M368*'COMUNAS - HOME DELIVERY 2025'!$Q$7</f>
        <v>663.57600000000002</v>
      </c>
      <c r="N368" s="59">
        <f>+'COMUNAS - HOME DELIVERY 2025'!N368*'COMUNAS - HOME DELIVERY 2025'!$Q$7</f>
        <v>546.96</v>
      </c>
      <c r="O368" s="60"/>
      <c r="P368" s="2"/>
      <c r="Q368" s="2"/>
      <c r="R368" s="2"/>
      <c r="S368" s="2"/>
      <c r="T368" s="2"/>
      <c r="U368" s="2"/>
      <c r="V368" s="2"/>
      <c r="W368" s="2"/>
      <c r="X368" s="2"/>
      <c r="Y368" s="38"/>
    </row>
    <row r="369" spans="2:25" ht="15.75" customHeight="1" x14ac:dyDescent="0.3">
      <c r="B369" s="2"/>
      <c r="C369" s="61" t="s">
        <v>701</v>
      </c>
      <c r="D369" s="62" t="s">
        <v>703</v>
      </c>
      <c r="E369" s="63" t="s">
        <v>59</v>
      </c>
      <c r="F369" s="64">
        <f>+'COMUNAS - HOME DELIVERY 2025'!F369*'COMUNAS - HOME DELIVERY 2025'!$Q$7</f>
        <v>5462.3760000000002</v>
      </c>
      <c r="G369" s="65">
        <f>+'COMUNAS - HOME DELIVERY 2025'!G369*'COMUNAS - HOME DELIVERY 2025'!$Q$7</f>
        <v>5957.7359999999999</v>
      </c>
      <c r="H369" s="65">
        <f>+'COMUNAS - HOME DELIVERY 2025'!H369*'COMUNAS - HOME DELIVERY 2025'!$Q$7</f>
        <v>6551.1360000000004</v>
      </c>
      <c r="I369" s="65">
        <f>+'COMUNAS - HOME DELIVERY 2025'!I369*'COMUNAS - HOME DELIVERY 2025'!$Q$7</f>
        <v>7922.6640000000007</v>
      </c>
      <c r="J369" s="65">
        <f>+'COMUNAS - HOME DELIVERY 2025'!J369*'COMUNAS - HOME DELIVERY 2025'!$Q$7</f>
        <v>10359.216</v>
      </c>
      <c r="K369" s="65">
        <f>+'COMUNAS - HOME DELIVERY 2025'!K369*'COMUNAS - HOME DELIVERY 2025'!$Q$7</f>
        <v>13672.968000000001</v>
      </c>
      <c r="L369" s="65">
        <f>+'COMUNAS - HOME DELIVERY 2025'!L369*'COMUNAS - HOME DELIVERY 2025'!$Q$7</f>
        <v>16317.984</v>
      </c>
      <c r="M369" s="66">
        <f>+'COMUNAS - HOME DELIVERY 2025'!M369*'COMUNAS - HOME DELIVERY 2025'!$Q$7</f>
        <v>694.53600000000006</v>
      </c>
      <c r="N369" s="67">
        <f>+'COMUNAS - HOME DELIVERY 2025'!N369*'COMUNAS - HOME DELIVERY 2025'!$Q$7</f>
        <v>576.88800000000003</v>
      </c>
      <c r="O369" s="60"/>
      <c r="P369" s="2"/>
      <c r="Q369" s="2"/>
      <c r="R369" s="2"/>
      <c r="S369" s="2"/>
      <c r="T369" s="2"/>
      <c r="U369" s="2"/>
      <c r="V369" s="2"/>
      <c r="W369" s="2"/>
      <c r="X369" s="2"/>
      <c r="Y369" s="38"/>
    </row>
    <row r="370" spans="2:25" ht="15.75" customHeight="1" x14ac:dyDescent="0.3">
      <c r="B370" s="2"/>
      <c r="C370" s="61" t="s">
        <v>701</v>
      </c>
      <c r="D370" s="62" t="s">
        <v>704</v>
      </c>
      <c r="E370" s="63" t="s">
        <v>705</v>
      </c>
      <c r="F370" s="64">
        <f>+'COMUNAS - HOME DELIVERY 2025'!F370*'COMUNAS - HOME DELIVERY 2025'!$Q$7</f>
        <v>7865.3879999999999</v>
      </c>
      <c r="G370" s="65">
        <f>+'COMUNAS - HOME DELIVERY 2025'!G370*'COMUNAS - HOME DELIVERY 2025'!$Q$7</f>
        <v>8408.7360000000008</v>
      </c>
      <c r="H370" s="65">
        <f>+'COMUNAS - HOME DELIVERY 2025'!H370*'COMUNAS - HOME DELIVERY 2025'!$Q$7</f>
        <v>9243.1080000000002</v>
      </c>
      <c r="I370" s="65">
        <f>+'COMUNAS - HOME DELIVERY 2025'!I370*'COMUNAS - HOME DELIVERY 2025'!$Q$7</f>
        <v>11176.56</v>
      </c>
      <c r="J370" s="65">
        <f>+'COMUNAS - HOME DELIVERY 2025'!J370*'COMUNAS - HOME DELIVERY 2025'!$Q$7</f>
        <v>13916.52</v>
      </c>
      <c r="K370" s="65">
        <f>+'COMUNAS - HOME DELIVERY 2025'!K370*'COMUNAS - HOME DELIVERY 2025'!$Q$7</f>
        <v>18370.116000000002</v>
      </c>
      <c r="L370" s="65">
        <f>+'COMUNAS - HOME DELIVERY 2025'!L370*'COMUNAS - HOME DELIVERY 2025'!$Q$7</f>
        <v>22035.78</v>
      </c>
      <c r="M370" s="66">
        <f>+'COMUNAS - HOME DELIVERY 2025'!M370*'COMUNAS - HOME DELIVERY 2025'!$Q$7</f>
        <v>995.36400000000003</v>
      </c>
      <c r="N370" s="67">
        <f>+'COMUNAS - HOME DELIVERY 2025'!N370*'COMUNAS - HOME DELIVERY 2025'!$Q$7</f>
        <v>820.44</v>
      </c>
      <c r="O370" s="60"/>
      <c r="P370" s="2"/>
      <c r="Q370" s="2"/>
      <c r="R370" s="2"/>
      <c r="S370" s="2"/>
      <c r="T370" s="2"/>
      <c r="U370" s="2"/>
      <c r="V370" s="2"/>
      <c r="W370" s="2"/>
      <c r="X370" s="2"/>
      <c r="Y370" s="38"/>
    </row>
    <row r="371" spans="2:25" ht="15.75" customHeight="1" x14ac:dyDescent="0.3">
      <c r="B371" s="2"/>
      <c r="C371" s="61" t="s">
        <v>701</v>
      </c>
      <c r="D371" s="62" t="s">
        <v>706</v>
      </c>
      <c r="E371" s="63" t="s">
        <v>707</v>
      </c>
      <c r="F371" s="64">
        <f>+'COMUNAS - HOME DELIVERY 2025'!F371*'COMUNAS - HOME DELIVERY 2025'!$Q$7</f>
        <v>7865.3879999999999</v>
      </c>
      <c r="G371" s="65">
        <f>+'COMUNAS - HOME DELIVERY 2025'!G371*'COMUNAS - HOME DELIVERY 2025'!$Q$7</f>
        <v>8408.7360000000008</v>
      </c>
      <c r="H371" s="65">
        <f>+'COMUNAS - HOME DELIVERY 2025'!H371*'COMUNAS - HOME DELIVERY 2025'!$Q$7</f>
        <v>9243.1080000000002</v>
      </c>
      <c r="I371" s="65">
        <f>+'COMUNAS - HOME DELIVERY 2025'!I371*'COMUNAS - HOME DELIVERY 2025'!$Q$7</f>
        <v>11176.56</v>
      </c>
      <c r="J371" s="65">
        <f>+'COMUNAS - HOME DELIVERY 2025'!J371*'COMUNAS - HOME DELIVERY 2025'!$Q$7</f>
        <v>13916.52</v>
      </c>
      <c r="K371" s="65">
        <f>+'COMUNAS - HOME DELIVERY 2025'!K371*'COMUNAS - HOME DELIVERY 2025'!$Q$7</f>
        <v>18370.116000000002</v>
      </c>
      <c r="L371" s="65">
        <f>+'COMUNAS - HOME DELIVERY 2025'!L371*'COMUNAS - HOME DELIVERY 2025'!$Q$7</f>
        <v>22035.78</v>
      </c>
      <c r="M371" s="66">
        <f>+'COMUNAS - HOME DELIVERY 2025'!M371*'COMUNAS - HOME DELIVERY 2025'!$Q$7</f>
        <v>995.36400000000003</v>
      </c>
      <c r="N371" s="67">
        <f>+'COMUNAS - HOME DELIVERY 2025'!N371*'COMUNAS - HOME DELIVERY 2025'!$Q$7</f>
        <v>820.44</v>
      </c>
      <c r="O371" s="60"/>
      <c r="P371" s="2"/>
      <c r="Q371" s="2"/>
      <c r="R371" s="2"/>
      <c r="S371" s="2"/>
      <c r="T371" s="2"/>
      <c r="U371" s="2"/>
      <c r="V371" s="2"/>
      <c r="W371" s="2"/>
      <c r="X371" s="2"/>
      <c r="Y371" s="38"/>
    </row>
    <row r="372" spans="2:25" ht="15.75" customHeight="1" x14ac:dyDescent="0.3">
      <c r="B372" s="2"/>
      <c r="C372" s="61" t="s">
        <v>701</v>
      </c>
      <c r="D372" s="62" t="s">
        <v>708</v>
      </c>
      <c r="E372" s="63" t="s">
        <v>709</v>
      </c>
      <c r="F372" s="64">
        <f>+'COMUNAS - HOME DELIVERY 2025'!F372*'COMUNAS - HOME DELIVERY 2025'!$Q$7</f>
        <v>23673.564000000002</v>
      </c>
      <c r="G372" s="65">
        <f>+'COMUNAS - HOME DELIVERY 2025'!G372*'COMUNAS - HOME DELIVERY 2025'!$Q$7</f>
        <v>24416.603999999999</v>
      </c>
      <c r="H372" s="65">
        <f>+'COMUNAS - HOME DELIVERY 2025'!H372*'COMUNAS - HOME DELIVERY 2025'!$Q$7</f>
        <v>25306.704000000002</v>
      </c>
      <c r="I372" s="65">
        <f>+'COMUNAS - HOME DELIVERY 2025'!I372*'COMUNAS - HOME DELIVERY 2025'!$Q$7</f>
        <v>27363.995999999999</v>
      </c>
      <c r="J372" s="65">
        <f>+'COMUNAS - HOME DELIVERY 2025'!J372*'COMUNAS - HOME DELIVERY 2025'!$Q$7</f>
        <v>31018.824000000001</v>
      </c>
      <c r="K372" s="65">
        <f>+'COMUNAS - HOME DELIVERY 2025'!K372*'COMUNAS - HOME DELIVERY 2025'!$Q$7</f>
        <v>35989.451999999997</v>
      </c>
      <c r="L372" s="65">
        <f>+'COMUNAS - HOME DELIVERY 2025'!L372*'COMUNAS - HOME DELIVERY 2025'!$Q$7</f>
        <v>39956.976000000002</v>
      </c>
      <c r="M372" s="66">
        <f>+'COMUNAS - HOME DELIVERY 2025'!M372*'COMUNAS - HOME DELIVERY 2025'!$Q$7</f>
        <v>1041.8040000000001</v>
      </c>
      <c r="N372" s="67">
        <f>+'COMUNAS - HOME DELIVERY 2025'!N372*'COMUNAS - HOME DELIVERY 2025'!$Q$7</f>
        <v>865.33199999999999</v>
      </c>
      <c r="O372" s="60"/>
      <c r="P372" s="2"/>
      <c r="Q372" s="2"/>
      <c r="R372" s="2"/>
      <c r="S372" s="2"/>
      <c r="T372" s="2"/>
      <c r="U372" s="2"/>
      <c r="V372" s="2"/>
      <c r="W372" s="2"/>
      <c r="X372" s="2"/>
      <c r="Y372" s="38"/>
    </row>
    <row r="373" spans="2:25" ht="15.75" customHeight="1" x14ac:dyDescent="0.3">
      <c r="B373" s="2"/>
      <c r="C373" s="61" t="s">
        <v>701</v>
      </c>
      <c r="D373" s="62" t="s">
        <v>710</v>
      </c>
      <c r="E373" s="63" t="s">
        <v>711</v>
      </c>
      <c r="F373" s="64">
        <f>+'COMUNAS - HOME DELIVERY 2025'!F373*'COMUNAS - HOME DELIVERY 2025'!$Q$7</f>
        <v>8193.5640000000003</v>
      </c>
      <c r="G373" s="65">
        <f>+'COMUNAS - HOME DELIVERY 2025'!G373*'COMUNAS - HOME DELIVERY 2025'!$Q$7</f>
        <v>8936.6039999999994</v>
      </c>
      <c r="H373" s="65">
        <f>+'COMUNAS - HOME DELIVERY 2025'!H373*'COMUNAS - HOME DELIVERY 2025'!$Q$7</f>
        <v>9826.7039999999997</v>
      </c>
      <c r="I373" s="65">
        <f>+'COMUNAS - HOME DELIVERY 2025'!I373*'COMUNAS - HOME DELIVERY 2025'!$Q$7</f>
        <v>11883.996000000001</v>
      </c>
      <c r="J373" s="65">
        <f>+'COMUNAS - HOME DELIVERY 2025'!J373*'COMUNAS - HOME DELIVERY 2025'!$Q$7</f>
        <v>15538.824000000001</v>
      </c>
      <c r="K373" s="65">
        <f>+'COMUNAS - HOME DELIVERY 2025'!K373*'COMUNAS - HOME DELIVERY 2025'!$Q$7</f>
        <v>20509.452000000001</v>
      </c>
      <c r="L373" s="65">
        <f>+'COMUNAS - HOME DELIVERY 2025'!L373*'COMUNAS - HOME DELIVERY 2025'!$Q$7</f>
        <v>24476.976000000002</v>
      </c>
      <c r="M373" s="66">
        <f>+'COMUNAS - HOME DELIVERY 2025'!M373*'COMUNAS - HOME DELIVERY 2025'!$Q$7</f>
        <v>1041.8040000000001</v>
      </c>
      <c r="N373" s="67">
        <f>+'COMUNAS - HOME DELIVERY 2025'!N373*'COMUNAS - HOME DELIVERY 2025'!$Q$7</f>
        <v>865.33199999999999</v>
      </c>
      <c r="O373" s="60"/>
      <c r="P373" s="2"/>
      <c r="Q373" s="2"/>
      <c r="R373" s="2"/>
      <c r="S373" s="2"/>
      <c r="T373" s="2"/>
      <c r="U373" s="2"/>
      <c r="V373" s="2"/>
      <c r="W373" s="2"/>
      <c r="X373" s="2"/>
      <c r="Y373" s="38"/>
    </row>
    <row r="374" spans="2:25" ht="15.75" customHeight="1" x14ac:dyDescent="0.3">
      <c r="B374" s="2"/>
      <c r="C374" s="61" t="s">
        <v>701</v>
      </c>
      <c r="D374" s="62" t="s">
        <v>712</v>
      </c>
      <c r="E374" s="63" t="s">
        <v>713</v>
      </c>
      <c r="F374" s="64">
        <f>+'COMUNAS - HOME DELIVERY 2025'!F374*'COMUNAS - HOME DELIVERY 2025'!$Q$7</f>
        <v>8193.5640000000003</v>
      </c>
      <c r="G374" s="65">
        <f>+'COMUNAS - HOME DELIVERY 2025'!G374*'COMUNAS - HOME DELIVERY 2025'!$Q$7</f>
        <v>8936.6039999999994</v>
      </c>
      <c r="H374" s="65">
        <f>+'COMUNAS - HOME DELIVERY 2025'!H374*'COMUNAS - HOME DELIVERY 2025'!$Q$7</f>
        <v>9826.7039999999997</v>
      </c>
      <c r="I374" s="65">
        <f>+'COMUNAS - HOME DELIVERY 2025'!I374*'COMUNAS - HOME DELIVERY 2025'!$Q$7</f>
        <v>11883.996000000001</v>
      </c>
      <c r="J374" s="65">
        <f>+'COMUNAS - HOME DELIVERY 2025'!J374*'COMUNAS - HOME DELIVERY 2025'!$Q$7</f>
        <v>15538.824000000001</v>
      </c>
      <c r="K374" s="65">
        <f>+'COMUNAS - HOME DELIVERY 2025'!K374*'COMUNAS - HOME DELIVERY 2025'!$Q$7</f>
        <v>20509.452000000001</v>
      </c>
      <c r="L374" s="65">
        <f>+'COMUNAS - HOME DELIVERY 2025'!L374*'COMUNAS - HOME DELIVERY 2025'!$Q$7</f>
        <v>24476.976000000002</v>
      </c>
      <c r="M374" s="66">
        <f>+'COMUNAS - HOME DELIVERY 2025'!M374*'COMUNAS - HOME DELIVERY 2025'!$Q$7</f>
        <v>1041.8040000000001</v>
      </c>
      <c r="N374" s="67">
        <f>+'COMUNAS - HOME DELIVERY 2025'!N374*'COMUNAS - HOME DELIVERY 2025'!$Q$7</f>
        <v>865.33199999999999</v>
      </c>
      <c r="O374" s="60"/>
      <c r="P374" s="2"/>
      <c r="Q374" s="2"/>
      <c r="R374" s="2"/>
      <c r="S374" s="2"/>
      <c r="T374" s="2"/>
      <c r="U374" s="2"/>
      <c r="V374" s="2"/>
      <c r="W374" s="2"/>
      <c r="X374" s="2"/>
      <c r="Y374" s="38"/>
    </row>
    <row r="375" spans="2:25" ht="15.75" customHeight="1" x14ac:dyDescent="0.3">
      <c r="B375" s="2"/>
      <c r="C375" s="61" t="s">
        <v>701</v>
      </c>
      <c r="D375" s="62" t="s">
        <v>714</v>
      </c>
      <c r="E375" s="63" t="s">
        <v>715</v>
      </c>
      <c r="F375" s="64">
        <f>+'COMUNAS - HOME DELIVERY 2025'!F375*'COMUNAS - HOME DELIVERY 2025'!$Q$7</f>
        <v>7865.3879999999999</v>
      </c>
      <c r="G375" s="65">
        <f>+'COMUNAS - HOME DELIVERY 2025'!G375*'COMUNAS - HOME DELIVERY 2025'!$Q$7</f>
        <v>8408.7360000000008</v>
      </c>
      <c r="H375" s="65">
        <f>+'COMUNAS - HOME DELIVERY 2025'!H375*'COMUNAS - HOME DELIVERY 2025'!$Q$7</f>
        <v>9243.1080000000002</v>
      </c>
      <c r="I375" s="65">
        <f>+'COMUNAS - HOME DELIVERY 2025'!I375*'COMUNAS - HOME DELIVERY 2025'!$Q$7</f>
        <v>11176.56</v>
      </c>
      <c r="J375" s="65">
        <f>+'COMUNAS - HOME DELIVERY 2025'!J375*'COMUNAS - HOME DELIVERY 2025'!$Q$7</f>
        <v>13916.52</v>
      </c>
      <c r="K375" s="65">
        <f>+'COMUNAS - HOME DELIVERY 2025'!K375*'COMUNAS - HOME DELIVERY 2025'!$Q$7</f>
        <v>18370.116000000002</v>
      </c>
      <c r="L375" s="65">
        <f>+'COMUNAS - HOME DELIVERY 2025'!L375*'COMUNAS - HOME DELIVERY 2025'!$Q$7</f>
        <v>22035.78</v>
      </c>
      <c r="M375" s="66">
        <f>+'COMUNAS - HOME DELIVERY 2025'!M375*'COMUNAS - HOME DELIVERY 2025'!$Q$7</f>
        <v>995.36400000000003</v>
      </c>
      <c r="N375" s="67">
        <f>+'COMUNAS - HOME DELIVERY 2025'!N375*'COMUNAS - HOME DELIVERY 2025'!$Q$7</f>
        <v>820.44</v>
      </c>
      <c r="O375" s="60"/>
      <c r="P375" s="2"/>
      <c r="Q375" s="2"/>
      <c r="R375" s="2"/>
      <c r="S375" s="2"/>
      <c r="T375" s="2"/>
      <c r="U375" s="2"/>
      <c r="V375" s="2"/>
      <c r="W375" s="2"/>
      <c r="X375" s="2"/>
      <c r="Y375" s="38"/>
    </row>
    <row r="376" spans="2:25" ht="15.75" customHeight="1" thickBot="1" x14ac:dyDescent="0.35">
      <c r="B376" s="2"/>
      <c r="C376" s="68" t="s">
        <v>701</v>
      </c>
      <c r="D376" s="69" t="s">
        <v>716</v>
      </c>
      <c r="E376" s="70" t="s">
        <v>717</v>
      </c>
      <c r="F376" s="71">
        <f>+'COMUNAS - HOME DELIVERY 2025'!F376*'COMUNAS - HOME DELIVERY 2025'!$Q$7</f>
        <v>7865.3879999999999</v>
      </c>
      <c r="G376" s="72">
        <f>+'COMUNAS - HOME DELIVERY 2025'!G376*'COMUNAS - HOME DELIVERY 2025'!$Q$7</f>
        <v>8408.7360000000008</v>
      </c>
      <c r="H376" s="72">
        <f>+'COMUNAS - HOME DELIVERY 2025'!H376*'COMUNAS - HOME DELIVERY 2025'!$Q$7</f>
        <v>9243.1080000000002</v>
      </c>
      <c r="I376" s="72">
        <f>+'COMUNAS - HOME DELIVERY 2025'!I376*'COMUNAS - HOME DELIVERY 2025'!$Q$7</f>
        <v>11176.56</v>
      </c>
      <c r="J376" s="72">
        <f>+'COMUNAS - HOME DELIVERY 2025'!J376*'COMUNAS - HOME DELIVERY 2025'!$Q$7</f>
        <v>13916.52</v>
      </c>
      <c r="K376" s="72">
        <f>+'COMUNAS - HOME DELIVERY 2025'!K376*'COMUNAS - HOME DELIVERY 2025'!$Q$7</f>
        <v>18370.116000000002</v>
      </c>
      <c r="L376" s="72">
        <f>+'COMUNAS - HOME DELIVERY 2025'!L376*'COMUNAS - HOME DELIVERY 2025'!$Q$7</f>
        <v>22035.78</v>
      </c>
      <c r="M376" s="73">
        <f>+'COMUNAS - HOME DELIVERY 2025'!M376*'COMUNAS - HOME DELIVERY 2025'!$Q$7</f>
        <v>995.36400000000003</v>
      </c>
      <c r="N376" s="74">
        <f>+'COMUNAS - HOME DELIVERY 2025'!N376*'COMUNAS - HOME DELIVERY 2025'!$Q$7</f>
        <v>820.44</v>
      </c>
      <c r="O376" s="60"/>
      <c r="P376" s="2"/>
      <c r="Q376" s="2"/>
      <c r="R376" s="2"/>
      <c r="S376" s="2"/>
      <c r="T376" s="2"/>
      <c r="U376" s="2"/>
      <c r="V376" s="2"/>
      <c r="W376" s="2"/>
      <c r="X376" s="2"/>
      <c r="Y376" s="38"/>
    </row>
    <row r="377" spans="2:25" ht="15.75" customHeight="1" x14ac:dyDescent="0.3">
      <c r="B377" s="2"/>
      <c r="C377" s="53" t="s">
        <v>718</v>
      </c>
      <c r="D377" s="54" t="s">
        <v>719</v>
      </c>
      <c r="E377" s="55" t="s">
        <v>62</v>
      </c>
      <c r="F377" s="56">
        <f>+'COMUNAS - HOME DELIVERY 2025'!F377*'COMUNAS - HOME DELIVERY 2025'!$Q$7</f>
        <v>6133.1760000000004</v>
      </c>
      <c r="G377" s="57">
        <f>+'COMUNAS - HOME DELIVERY 2025'!G377*'COMUNAS - HOME DELIVERY 2025'!$Q$7</f>
        <v>6843.192</v>
      </c>
      <c r="H377" s="57">
        <f>+'COMUNAS - HOME DELIVERY 2025'!H377*'COMUNAS - HOME DELIVERY 2025'!$Q$7</f>
        <v>7749.2880000000005</v>
      </c>
      <c r="I377" s="57">
        <f>+'COMUNAS - HOME DELIVERY 2025'!I377*'COMUNAS - HOME DELIVERY 2025'!$Q$7</f>
        <v>9301.4160000000011</v>
      </c>
      <c r="J377" s="57">
        <f>+'COMUNAS - HOME DELIVERY 2025'!J377*'COMUNAS - HOME DELIVERY 2025'!$Q$7</f>
        <v>11569.752</v>
      </c>
      <c r="K377" s="57">
        <f>+'COMUNAS - HOME DELIVERY 2025'!K377*'COMUNAS - HOME DELIVERY 2025'!$Q$7</f>
        <v>15398.472</v>
      </c>
      <c r="L377" s="57">
        <f>+'COMUNAS - HOME DELIVERY 2025'!L377*'COMUNAS - HOME DELIVERY 2025'!$Q$7</f>
        <v>18281.88</v>
      </c>
      <c r="M377" s="58">
        <f>+'COMUNAS - HOME DELIVERY 2025'!M377*'COMUNAS - HOME DELIVERY 2025'!$Q$7</f>
        <v>760.58400000000006</v>
      </c>
      <c r="N377" s="59">
        <f>+'COMUNAS - HOME DELIVERY 2025'!N377*'COMUNAS - HOME DELIVERY 2025'!$Q$7</f>
        <v>587.20799999999997</v>
      </c>
      <c r="O377" s="60"/>
      <c r="P377" s="2"/>
      <c r="Q377" s="2"/>
      <c r="R377" s="2"/>
      <c r="S377" s="2"/>
      <c r="T377" s="2"/>
      <c r="U377" s="2"/>
      <c r="V377" s="2"/>
      <c r="W377" s="2"/>
      <c r="X377" s="2"/>
      <c r="Y377" s="38"/>
    </row>
    <row r="378" spans="2:25" ht="15.75" customHeight="1" x14ac:dyDescent="0.3">
      <c r="B378" s="2"/>
      <c r="C378" s="61" t="s">
        <v>718</v>
      </c>
      <c r="D378" s="62" t="s">
        <v>720</v>
      </c>
      <c r="E378" s="63" t="s">
        <v>721</v>
      </c>
      <c r="F378" s="64">
        <f>+'COMUNAS - HOME DELIVERY 2025'!F378*'COMUNAS - HOME DELIVERY 2025'!$Q$7</f>
        <v>9199.764000000001</v>
      </c>
      <c r="G378" s="65">
        <f>+'COMUNAS - HOME DELIVERY 2025'!G378*'COMUNAS - HOME DELIVERY 2025'!$Q$7</f>
        <v>10264.788</v>
      </c>
      <c r="H378" s="65">
        <f>+'COMUNAS - HOME DELIVERY 2025'!H378*'COMUNAS - HOME DELIVERY 2025'!$Q$7</f>
        <v>11623.932000000001</v>
      </c>
      <c r="I378" s="65">
        <f>+'COMUNAS - HOME DELIVERY 2025'!I378*'COMUNAS - HOME DELIVERY 2025'!$Q$7</f>
        <v>13952.124</v>
      </c>
      <c r="J378" s="65">
        <f>+'COMUNAS - HOME DELIVERY 2025'!J378*'COMUNAS - HOME DELIVERY 2025'!$Q$7</f>
        <v>17354.628000000001</v>
      </c>
      <c r="K378" s="65">
        <f>+'COMUNAS - HOME DELIVERY 2025'!K378*'COMUNAS - HOME DELIVERY 2025'!$Q$7</f>
        <v>23097.708000000002</v>
      </c>
      <c r="L378" s="65">
        <f>+'COMUNAS - HOME DELIVERY 2025'!L378*'COMUNAS - HOME DELIVERY 2025'!$Q$7</f>
        <v>27422.82</v>
      </c>
      <c r="M378" s="66">
        <f>+'COMUNAS - HOME DELIVERY 2025'!M378*'COMUNAS - HOME DELIVERY 2025'!$Q$7</f>
        <v>1140.876</v>
      </c>
      <c r="N378" s="67">
        <f>+'COMUNAS - HOME DELIVERY 2025'!N378*'COMUNAS - HOME DELIVERY 2025'!$Q$7</f>
        <v>880.81200000000001</v>
      </c>
      <c r="O378" s="60"/>
      <c r="P378" s="2"/>
      <c r="Q378" s="2"/>
      <c r="R378" s="2"/>
      <c r="S378" s="2"/>
      <c r="T378" s="2"/>
      <c r="U378" s="2"/>
      <c r="V378" s="2"/>
      <c r="W378" s="2"/>
      <c r="X378" s="2"/>
      <c r="Y378" s="38"/>
    </row>
    <row r="379" spans="2:25" ht="15.75" customHeight="1" x14ac:dyDescent="0.3">
      <c r="B379" s="2"/>
      <c r="C379" s="61" t="s">
        <v>718</v>
      </c>
      <c r="D379" s="62" t="s">
        <v>722</v>
      </c>
      <c r="E379" s="63" t="s">
        <v>723</v>
      </c>
      <c r="F379" s="64">
        <f>+'COMUNAS - HOME DELIVERY 2025'!F379*'COMUNAS - HOME DELIVERY 2025'!$Q$7</f>
        <v>9199.764000000001</v>
      </c>
      <c r="G379" s="65">
        <f>+'COMUNAS - HOME DELIVERY 2025'!G379*'COMUNAS - HOME DELIVERY 2025'!$Q$7</f>
        <v>10264.788</v>
      </c>
      <c r="H379" s="65">
        <f>+'COMUNAS - HOME DELIVERY 2025'!H379*'COMUNAS - HOME DELIVERY 2025'!$Q$7</f>
        <v>11623.932000000001</v>
      </c>
      <c r="I379" s="65">
        <f>+'COMUNAS - HOME DELIVERY 2025'!I379*'COMUNAS - HOME DELIVERY 2025'!$Q$7</f>
        <v>13952.124</v>
      </c>
      <c r="J379" s="65">
        <f>+'COMUNAS - HOME DELIVERY 2025'!J379*'COMUNAS - HOME DELIVERY 2025'!$Q$7</f>
        <v>17354.628000000001</v>
      </c>
      <c r="K379" s="65">
        <f>+'COMUNAS - HOME DELIVERY 2025'!K379*'COMUNAS - HOME DELIVERY 2025'!$Q$7</f>
        <v>23097.708000000002</v>
      </c>
      <c r="L379" s="65">
        <f>+'COMUNAS - HOME DELIVERY 2025'!L379*'COMUNAS - HOME DELIVERY 2025'!$Q$7</f>
        <v>27422.82</v>
      </c>
      <c r="M379" s="66">
        <f>+'COMUNAS - HOME DELIVERY 2025'!M379*'COMUNAS - HOME DELIVERY 2025'!$Q$7</f>
        <v>1140.876</v>
      </c>
      <c r="N379" s="67">
        <f>+'COMUNAS - HOME DELIVERY 2025'!N379*'COMUNAS - HOME DELIVERY 2025'!$Q$7</f>
        <v>880.81200000000001</v>
      </c>
      <c r="O379" s="60"/>
      <c r="P379" s="2"/>
      <c r="Q379" s="2"/>
      <c r="R379" s="2"/>
      <c r="S379" s="2"/>
      <c r="T379" s="2"/>
      <c r="U379" s="2"/>
      <c r="V379" s="2"/>
      <c r="W379" s="2"/>
      <c r="X379" s="2"/>
      <c r="Y379" s="38"/>
    </row>
    <row r="380" spans="2:25" ht="15.75" customHeight="1" x14ac:dyDescent="0.3">
      <c r="B380" s="2"/>
      <c r="C380" s="61" t="s">
        <v>718</v>
      </c>
      <c r="D380" s="62" t="s">
        <v>724</v>
      </c>
      <c r="E380" s="63" t="s">
        <v>725</v>
      </c>
      <c r="F380" s="64">
        <f>+'COMUNAS - HOME DELIVERY 2025'!F380*'COMUNAS - HOME DELIVERY 2025'!$Q$7</f>
        <v>9199.764000000001</v>
      </c>
      <c r="G380" s="65">
        <f>+'COMUNAS - HOME DELIVERY 2025'!G380*'COMUNAS - HOME DELIVERY 2025'!$Q$7</f>
        <v>10264.788</v>
      </c>
      <c r="H380" s="65">
        <f>+'COMUNAS - HOME DELIVERY 2025'!H380*'COMUNAS - HOME DELIVERY 2025'!$Q$7</f>
        <v>11623.932000000001</v>
      </c>
      <c r="I380" s="65">
        <f>+'COMUNAS - HOME DELIVERY 2025'!I380*'COMUNAS - HOME DELIVERY 2025'!$Q$7</f>
        <v>13952.124</v>
      </c>
      <c r="J380" s="65">
        <f>+'COMUNAS - HOME DELIVERY 2025'!J380*'COMUNAS - HOME DELIVERY 2025'!$Q$7</f>
        <v>17354.628000000001</v>
      </c>
      <c r="K380" s="65">
        <f>+'COMUNAS - HOME DELIVERY 2025'!K380*'COMUNAS - HOME DELIVERY 2025'!$Q$7</f>
        <v>23097.708000000002</v>
      </c>
      <c r="L380" s="65">
        <f>+'COMUNAS - HOME DELIVERY 2025'!L380*'COMUNAS - HOME DELIVERY 2025'!$Q$7</f>
        <v>27422.82</v>
      </c>
      <c r="M380" s="66">
        <f>+'COMUNAS - HOME DELIVERY 2025'!M380*'COMUNAS - HOME DELIVERY 2025'!$Q$7</f>
        <v>1140.876</v>
      </c>
      <c r="N380" s="67">
        <f>+'COMUNAS - HOME DELIVERY 2025'!N380*'COMUNAS - HOME DELIVERY 2025'!$Q$7</f>
        <v>880.81200000000001</v>
      </c>
      <c r="O380" s="60"/>
      <c r="P380" s="2"/>
      <c r="Q380" s="2"/>
      <c r="R380" s="2"/>
      <c r="S380" s="2"/>
      <c r="T380" s="2"/>
      <c r="U380" s="2"/>
      <c r="V380" s="2"/>
      <c r="W380" s="2"/>
      <c r="X380" s="2"/>
      <c r="Y380" s="38"/>
    </row>
    <row r="381" spans="2:25" ht="15.75" customHeight="1" x14ac:dyDescent="0.3">
      <c r="B381" s="2"/>
      <c r="C381" s="61" t="s">
        <v>718</v>
      </c>
      <c r="D381" s="62" t="s">
        <v>726</v>
      </c>
      <c r="E381" s="63" t="s">
        <v>727</v>
      </c>
      <c r="F381" s="64">
        <f>+'COMUNAS - HOME DELIVERY 2025'!F381*'COMUNAS - HOME DELIVERY 2025'!$Q$7</f>
        <v>24679.763999999999</v>
      </c>
      <c r="G381" s="65">
        <f>+'COMUNAS - HOME DELIVERY 2025'!G381*'COMUNAS - HOME DELIVERY 2025'!$Q$7</f>
        <v>25744.788</v>
      </c>
      <c r="H381" s="65">
        <f>+'COMUNAS - HOME DELIVERY 2025'!H381*'COMUNAS - HOME DELIVERY 2025'!$Q$7</f>
        <v>27103.932000000001</v>
      </c>
      <c r="I381" s="65">
        <f>+'COMUNAS - HOME DELIVERY 2025'!I381*'COMUNAS - HOME DELIVERY 2025'!$Q$7</f>
        <v>29432.124</v>
      </c>
      <c r="J381" s="65">
        <f>+'COMUNAS - HOME DELIVERY 2025'!J381*'COMUNAS - HOME DELIVERY 2025'!$Q$7</f>
        <v>32834.628000000004</v>
      </c>
      <c r="K381" s="65">
        <f>+'COMUNAS - HOME DELIVERY 2025'!K381*'COMUNAS - HOME DELIVERY 2025'!$Q$7</f>
        <v>38577.707999999999</v>
      </c>
      <c r="L381" s="65">
        <f>+'COMUNAS - HOME DELIVERY 2025'!L381*'COMUNAS - HOME DELIVERY 2025'!$Q$7</f>
        <v>42902.82</v>
      </c>
      <c r="M381" s="66">
        <f>+'COMUNAS - HOME DELIVERY 2025'!M381*'COMUNAS - HOME DELIVERY 2025'!$Q$7</f>
        <v>1140.876</v>
      </c>
      <c r="N381" s="67">
        <f>+'COMUNAS - HOME DELIVERY 2025'!N381*'COMUNAS - HOME DELIVERY 2025'!$Q$7</f>
        <v>880.81200000000001</v>
      </c>
      <c r="O381" s="60"/>
      <c r="P381" s="2"/>
      <c r="Q381" s="2"/>
      <c r="R381" s="2"/>
      <c r="S381" s="2"/>
      <c r="T381" s="2"/>
      <c r="U381" s="2"/>
      <c r="V381" s="2"/>
      <c r="W381" s="2"/>
      <c r="X381" s="2"/>
      <c r="Y381" s="38"/>
    </row>
    <row r="382" spans="2:25" ht="15.75" customHeight="1" x14ac:dyDescent="0.3">
      <c r="B382" s="2"/>
      <c r="C382" s="61" t="s">
        <v>718</v>
      </c>
      <c r="D382" s="62" t="s">
        <v>728</v>
      </c>
      <c r="E382" s="63" t="s">
        <v>729</v>
      </c>
      <c r="F382" s="64">
        <f>+'COMUNAS - HOME DELIVERY 2025'!F382*'COMUNAS - HOME DELIVERY 2025'!$Q$7</f>
        <v>24679.763999999999</v>
      </c>
      <c r="G382" s="65">
        <f>+'COMUNAS - HOME DELIVERY 2025'!G382*'COMUNAS - HOME DELIVERY 2025'!$Q$7</f>
        <v>25744.788</v>
      </c>
      <c r="H382" s="65">
        <f>+'COMUNAS - HOME DELIVERY 2025'!H382*'COMUNAS - HOME DELIVERY 2025'!$Q$7</f>
        <v>27103.932000000001</v>
      </c>
      <c r="I382" s="65">
        <f>+'COMUNAS - HOME DELIVERY 2025'!I382*'COMUNAS - HOME DELIVERY 2025'!$Q$7</f>
        <v>29432.124</v>
      </c>
      <c r="J382" s="65">
        <f>+'COMUNAS - HOME DELIVERY 2025'!J382*'COMUNAS - HOME DELIVERY 2025'!$Q$7</f>
        <v>32834.628000000004</v>
      </c>
      <c r="K382" s="65">
        <f>+'COMUNAS - HOME DELIVERY 2025'!K382*'COMUNAS - HOME DELIVERY 2025'!$Q$7</f>
        <v>38577.707999999999</v>
      </c>
      <c r="L382" s="65">
        <f>+'COMUNAS - HOME DELIVERY 2025'!L382*'COMUNAS - HOME DELIVERY 2025'!$Q$7</f>
        <v>42902.82</v>
      </c>
      <c r="M382" s="66">
        <f>+'COMUNAS - HOME DELIVERY 2025'!M382*'COMUNAS - HOME DELIVERY 2025'!$Q$7</f>
        <v>1140.876</v>
      </c>
      <c r="N382" s="67">
        <f>+'COMUNAS - HOME DELIVERY 2025'!N382*'COMUNAS - HOME DELIVERY 2025'!$Q$7</f>
        <v>880.81200000000001</v>
      </c>
      <c r="O382" s="60"/>
      <c r="P382" s="2"/>
      <c r="Q382" s="2"/>
      <c r="R382" s="2"/>
      <c r="S382" s="2"/>
      <c r="T382" s="2"/>
      <c r="U382" s="2"/>
      <c r="V382" s="2"/>
      <c r="W382" s="2"/>
      <c r="X382" s="2"/>
      <c r="Y382" s="38"/>
    </row>
    <row r="383" spans="2:25" ht="15.75" customHeight="1" x14ac:dyDescent="0.3">
      <c r="B383" s="2"/>
      <c r="C383" s="61" t="s">
        <v>718</v>
      </c>
      <c r="D383" s="62" t="s">
        <v>730</v>
      </c>
      <c r="E383" s="63" t="s">
        <v>731</v>
      </c>
      <c r="F383" s="64">
        <f>+'COMUNAS - HOME DELIVERY 2025'!F383*'COMUNAS - HOME DELIVERY 2025'!$Q$7</f>
        <v>24679.763999999999</v>
      </c>
      <c r="G383" s="65">
        <f>+'COMUNAS - HOME DELIVERY 2025'!G383*'COMUNAS - HOME DELIVERY 2025'!$Q$7</f>
        <v>25744.788</v>
      </c>
      <c r="H383" s="65">
        <f>+'COMUNAS - HOME DELIVERY 2025'!H383*'COMUNAS - HOME DELIVERY 2025'!$Q$7</f>
        <v>27103.932000000001</v>
      </c>
      <c r="I383" s="65">
        <f>+'COMUNAS - HOME DELIVERY 2025'!I383*'COMUNAS - HOME DELIVERY 2025'!$Q$7</f>
        <v>29432.124</v>
      </c>
      <c r="J383" s="65">
        <f>+'COMUNAS - HOME DELIVERY 2025'!J383*'COMUNAS - HOME DELIVERY 2025'!$Q$7</f>
        <v>32834.628000000004</v>
      </c>
      <c r="K383" s="65">
        <f>+'COMUNAS - HOME DELIVERY 2025'!K383*'COMUNAS - HOME DELIVERY 2025'!$Q$7</f>
        <v>38577.707999999999</v>
      </c>
      <c r="L383" s="65">
        <f>+'COMUNAS - HOME DELIVERY 2025'!L383*'COMUNAS - HOME DELIVERY 2025'!$Q$7</f>
        <v>42902.82</v>
      </c>
      <c r="M383" s="66">
        <f>+'COMUNAS - HOME DELIVERY 2025'!M383*'COMUNAS - HOME DELIVERY 2025'!$Q$7</f>
        <v>1140.876</v>
      </c>
      <c r="N383" s="67">
        <f>+'COMUNAS - HOME DELIVERY 2025'!N383*'COMUNAS - HOME DELIVERY 2025'!$Q$7</f>
        <v>880.81200000000001</v>
      </c>
      <c r="O383" s="60"/>
      <c r="P383" s="2"/>
      <c r="Q383" s="2"/>
      <c r="R383" s="2"/>
      <c r="S383" s="2"/>
      <c r="T383" s="2"/>
      <c r="U383" s="2"/>
      <c r="V383" s="2"/>
      <c r="W383" s="2"/>
      <c r="X383" s="2"/>
      <c r="Y383" s="38"/>
    </row>
    <row r="384" spans="2:25" ht="15.75" customHeight="1" x14ac:dyDescent="0.3">
      <c r="B384" s="2"/>
      <c r="C384" s="61" t="s">
        <v>718</v>
      </c>
      <c r="D384" s="62" t="s">
        <v>732</v>
      </c>
      <c r="E384" s="63" t="s">
        <v>733</v>
      </c>
      <c r="F384" s="64">
        <f>+'COMUNAS - HOME DELIVERY 2025'!F384*'COMUNAS - HOME DELIVERY 2025'!$Q$7</f>
        <v>9199.764000000001</v>
      </c>
      <c r="G384" s="65">
        <f>+'COMUNAS - HOME DELIVERY 2025'!G384*'COMUNAS - HOME DELIVERY 2025'!$Q$7</f>
        <v>10264.788</v>
      </c>
      <c r="H384" s="65">
        <f>+'COMUNAS - HOME DELIVERY 2025'!H384*'COMUNAS - HOME DELIVERY 2025'!$Q$7</f>
        <v>11623.932000000001</v>
      </c>
      <c r="I384" s="65">
        <f>+'COMUNAS - HOME DELIVERY 2025'!I384*'COMUNAS - HOME DELIVERY 2025'!$Q$7</f>
        <v>13952.124</v>
      </c>
      <c r="J384" s="65">
        <f>+'COMUNAS - HOME DELIVERY 2025'!J384*'COMUNAS - HOME DELIVERY 2025'!$Q$7</f>
        <v>17354.628000000001</v>
      </c>
      <c r="K384" s="65">
        <f>+'COMUNAS - HOME DELIVERY 2025'!K384*'COMUNAS - HOME DELIVERY 2025'!$Q$7</f>
        <v>23097.708000000002</v>
      </c>
      <c r="L384" s="65">
        <f>+'COMUNAS - HOME DELIVERY 2025'!L384*'COMUNAS - HOME DELIVERY 2025'!$Q$7</f>
        <v>27422.82</v>
      </c>
      <c r="M384" s="66">
        <f>+'COMUNAS - HOME DELIVERY 2025'!M384*'COMUNAS - HOME DELIVERY 2025'!$Q$7</f>
        <v>1140.876</v>
      </c>
      <c r="N384" s="67">
        <f>+'COMUNAS - HOME DELIVERY 2025'!N384*'COMUNAS - HOME DELIVERY 2025'!$Q$7</f>
        <v>880.81200000000001</v>
      </c>
      <c r="O384" s="60"/>
      <c r="P384" s="2"/>
      <c r="Q384" s="2"/>
      <c r="R384" s="2"/>
      <c r="S384" s="2"/>
      <c r="T384" s="2"/>
      <c r="U384" s="2"/>
      <c r="V384" s="2"/>
      <c r="W384" s="2"/>
      <c r="X384" s="2"/>
      <c r="Y384" s="38"/>
    </row>
    <row r="385" spans="2:25" ht="15.75" customHeight="1" x14ac:dyDescent="0.3">
      <c r="B385" s="2"/>
      <c r="C385" s="61" t="s">
        <v>718</v>
      </c>
      <c r="D385" s="62" t="s">
        <v>734</v>
      </c>
      <c r="E385" s="63" t="s">
        <v>735</v>
      </c>
      <c r="F385" s="64">
        <f>+'COMUNAS - HOME DELIVERY 2025'!F385*'COMUNAS - HOME DELIVERY 2025'!$Q$7</f>
        <v>9199.764000000001</v>
      </c>
      <c r="G385" s="65">
        <f>+'COMUNAS - HOME DELIVERY 2025'!G385*'COMUNAS - HOME DELIVERY 2025'!$Q$7</f>
        <v>10264.788</v>
      </c>
      <c r="H385" s="65">
        <f>+'COMUNAS - HOME DELIVERY 2025'!H385*'COMUNAS - HOME DELIVERY 2025'!$Q$7</f>
        <v>11623.932000000001</v>
      </c>
      <c r="I385" s="65">
        <f>+'COMUNAS - HOME DELIVERY 2025'!I385*'COMUNAS - HOME DELIVERY 2025'!$Q$7</f>
        <v>13952.124</v>
      </c>
      <c r="J385" s="65">
        <f>+'COMUNAS - HOME DELIVERY 2025'!J385*'COMUNAS - HOME DELIVERY 2025'!$Q$7</f>
        <v>17354.628000000001</v>
      </c>
      <c r="K385" s="65">
        <f>+'COMUNAS - HOME DELIVERY 2025'!K385*'COMUNAS - HOME DELIVERY 2025'!$Q$7</f>
        <v>23097.708000000002</v>
      </c>
      <c r="L385" s="65">
        <f>+'COMUNAS - HOME DELIVERY 2025'!L385*'COMUNAS - HOME DELIVERY 2025'!$Q$7</f>
        <v>27422.82</v>
      </c>
      <c r="M385" s="66">
        <f>+'COMUNAS - HOME DELIVERY 2025'!M385*'COMUNAS - HOME DELIVERY 2025'!$Q$7</f>
        <v>1140.876</v>
      </c>
      <c r="N385" s="67">
        <f>+'COMUNAS - HOME DELIVERY 2025'!N385*'COMUNAS - HOME DELIVERY 2025'!$Q$7</f>
        <v>880.81200000000001</v>
      </c>
      <c r="O385" s="60"/>
      <c r="P385" s="2"/>
      <c r="Q385" s="2"/>
      <c r="R385" s="2"/>
      <c r="S385" s="2"/>
      <c r="T385" s="2"/>
      <c r="U385" s="2"/>
      <c r="V385" s="2"/>
      <c r="W385" s="2"/>
      <c r="X385" s="2"/>
      <c r="Y385" s="38"/>
    </row>
    <row r="386" spans="2:25" ht="15.75" customHeight="1" thickBot="1" x14ac:dyDescent="0.35">
      <c r="B386" s="2"/>
      <c r="C386" s="68" t="s">
        <v>718</v>
      </c>
      <c r="D386" s="69" t="s">
        <v>736</v>
      </c>
      <c r="E386" s="70" t="s">
        <v>737</v>
      </c>
      <c r="F386" s="71">
        <f>+'COMUNAS - HOME DELIVERY 2025'!F386*'COMUNAS - HOME DELIVERY 2025'!$Q$7</f>
        <v>9199.764000000001</v>
      </c>
      <c r="G386" s="72">
        <f>+'COMUNAS - HOME DELIVERY 2025'!G386*'COMUNAS - HOME DELIVERY 2025'!$Q$7</f>
        <v>10264.788</v>
      </c>
      <c r="H386" s="72">
        <f>+'COMUNAS - HOME DELIVERY 2025'!H386*'COMUNAS - HOME DELIVERY 2025'!$Q$7</f>
        <v>11623.932000000001</v>
      </c>
      <c r="I386" s="72">
        <f>+'COMUNAS - HOME DELIVERY 2025'!I386*'COMUNAS - HOME DELIVERY 2025'!$Q$7</f>
        <v>13952.124</v>
      </c>
      <c r="J386" s="72">
        <f>+'COMUNAS - HOME DELIVERY 2025'!J386*'COMUNAS - HOME DELIVERY 2025'!$Q$7</f>
        <v>17354.628000000001</v>
      </c>
      <c r="K386" s="72">
        <f>+'COMUNAS - HOME DELIVERY 2025'!K386*'COMUNAS - HOME DELIVERY 2025'!$Q$7</f>
        <v>23097.708000000002</v>
      </c>
      <c r="L386" s="72">
        <f>+'COMUNAS - HOME DELIVERY 2025'!L386*'COMUNAS - HOME DELIVERY 2025'!$Q$7</f>
        <v>27422.82</v>
      </c>
      <c r="M386" s="73">
        <f>+'COMUNAS - HOME DELIVERY 2025'!M386*'COMUNAS - HOME DELIVERY 2025'!$Q$7</f>
        <v>1140.876</v>
      </c>
      <c r="N386" s="74">
        <f>+'COMUNAS - HOME DELIVERY 2025'!N386*'COMUNAS - HOME DELIVERY 2025'!$Q$7</f>
        <v>880.81200000000001</v>
      </c>
      <c r="O386" s="60"/>
      <c r="P386" s="2"/>
      <c r="Q386" s="2"/>
      <c r="R386" s="2"/>
      <c r="S386" s="2"/>
      <c r="T386" s="2"/>
      <c r="U386" s="2"/>
      <c r="V386" s="2"/>
      <c r="W386" s="2"/>
      <c r="X386" s="2"/>
      <c r="Y386" s="38"/>
    </row>
    <row r="387" spans="2:25" ht="15.75" customHeight="1" x14ac:dyDescent="0.3">
      <c r="B387" s="2"/>
      <c r="C387" s="75" t="s">
        <v>738</v>
      </c>
      <c r="D387" s="76" t="s">
        <v>739</v>
      </c>
      <c r="E387" s="77" t="s">
        <v>64</v>
      </c>
      <c r="F387" s="64">
        <f>+'COMUNAS - HOME DELIVERY 2025'!F387*'COMUNAS - HOME DELIVERY 2025'!$Q$7</f>
        <v>6133.1760000000004</v>
      </c>
      <c r="G387" s="65">
        <f>+'COMUNAS - HOME DELIVERY 2025'!G387*'COMUNAS - HOME DELIVERY 2025'!$Q$7</f>
        <v>6843.192</v>
      </c>
      <c r="H387" s="65">
        <f>+'COMUNAS - HOME DELIVERY 2025'!H387*'COMUNAS - HOME DELIVERY 2025'!$Q$7</f>
        <v>7749.2880000000005</v>
      </c>
      <c r="I387" s="65">
        <f>+'COMUNAS - HOME DELIVERY 2025'!I387*'COMUNAS - HOME DELIVERY 2025'!$Q$7</f>
        <v>9301.4160000000011</v>
      </c>
      <c r="J387" s="65">
        <f>+'COMUNAS - HOME DELIVERY 2025'!J387*'COMUNAS - HOME DELIVERY 2025'!$Q$7</f>
        <v>11569.752</v>
      </c>
      <c r="K387" s="65">
        <f>+'COMUNAS - HOME DELIVERY 2025'!K387*'COMUNAS - HOME DELIVERY 2025'!$Q$7</f>
        <v>15398.472</v>
      </c>
      <c r="L387" s="65">
        <f>+'COMUNAS - HOME DELIVERY 2025'!L387*'COMUNAS - HOME DELIVERY 2025'!$Q$7</f>
        <v>18281.88</v>
      </c>
      <c r="M387" s="66">
        <f>+'COMUNAS - HOME DELIVERY 2025'!M387*'COMUNAS - HOME DELIVERY 2025'!$Q$7</f>
        <v>760.58400000000006</v>
      </c>
      <c r="N387" s="67">
        <f>+'COMUNAS - HOME DELIVERY 2025'!N387*'COMUNAS - HOME DELIVERY 2025'!$Q$7</f>
        <v>587.20799999999997</v>
      </c>
      <c r="O387" s="60"/>
      <c r="P387" s="2"/>
      <c r="Q387" s="2"/>
      <c r="R387" s="2"/>
      <c r="S387" s="2"/>
      <c r="T387" s="2"/>
      <c r="U387" s="2"/>
      <c r="V387" s="2"/>
      <c r="W387" s="2"/>
      <c r="X387" s="2"/>
      <c r="Y387" s="38"/>
    </row>
    <row r="388" spans="2:25" ht="15.75" customHeight="1" x14ac:dyDescent="0.3">
      <c r="B388" s="2"/>
      <c r="C388" s="61" t="s">
        <v>738</v>
      </c>
      <c r="D388" s="62" t="s">
        <v>740</v>
      </c>
      <c r="E388" s="63" t="s">
        <v>741</v>
      </c>
      <c r="F388" s="64">
        <f>+'COMUNAS - HOME DELIVERY 2025'!F388*'COMUNAS - HOME DELIVERY 2025'!$Q$7</f>
        <v>24679.763999999999</v>
      </c>
      <c r="G388" s="65">
        <f>+'COMUNAS - HOME DELIVERY 2025'!G388*'COMUNAS - HOME DELIVERY 2025'!$Q$7</f>
        <v>25744.788</v>
      </c>
      <c r="H388" s="65">
        <f>+'COMUNAS - HOME DELIVERY 2025'!H388*'COMUNAS - HOME DELIVERY 2025'!$Q$7</f>
        <v>27103.932000000001</v>
      </c>
      <c r="I388" s="65">
        <f>+'COMUNAS - HOME DELIVERY 2025'!I388*'COMUNAS - HOME DELIVERY 2025'!$Q$7</f>
        <v>29432.124</v>
      </c>
      <c r="J388" s="65">
        <f>+'COMUNAS - HOME DELIVERY 2025'!J388*'COMUNAS - HOME DELIVERY 2025'!$Q$7</f>
        <v>32834.628000000004</v>
      </c>
      <c r="K388" s="65">
        <f>+'COMUNAS - HOME DELIVERY 2025'!K388*'COMUNAS - HOME DELIVERY 2025'!$Q$7</f>
        <v>38577.707999999999</v>
      </c>
      <c r="L388" s="65">
        <f>+'COMUNAS - HOME DELIVERY 2025'!L388*'COMUNAS - HOME DELIVERY 2025'!$Q$7</f>
        <v>42902.82</v>
      </c>
      <c r="M388" s="66">
        <f>+'COMUNAS - HOME DELIVERY 2025'!M388*'COMUNAS - HOME DELIVERY 2025'!$Q$7</f>
        <v>1140.876</v>
      </c>
      <c r="N388" s="67">
        <f>+'COMUNAS - HOME DELIVERY 2025'!N388*'COMUNAS - HOME DELIVERY 2025'!$Q$7</f>
        <v>880.81200000000001</v>
      </c>
      <c r="O388" s="60"/>
      <c r="P388" s="2"/>
      <c r="Q388" s="2"/>
      <c r="R388" s="2"/>
      <c r="S388" s="2"/>
      <c r="T388" s="2"/>
      <c r="U388" s="2"/>
      <c r="V388" s="2"/>
      <c r="W388" s="2"/>
      <c r="X388" s="2"/>
      <c r="Y388" s="38"/>
    </row>
    <row r="389" spans="2:25" ht="15.75" customHeight="1" x14ac:dyDescent="0.3">
      <c r="B389" s="2"/>
      <c r="C389" s="61" t="s">
        <v>738</v>
      </c>
      <c r="D389" s="62" t="s">
        <v>742</v>
      </c>
      <c r="E389" s="63" t="s">
        <v>743</v>
      </c>
      <c r="F389" s="64">
        <f>+'COMUNAS - HOME DELIVERY 2025'!F389*'COMUNAS - HOME DELIVERY 2025'!$Q$7</f>
        <v>9199.764000000001</v>
      </c>
      <c r="G389" s="65">
        <f>+'COMUNAS - HOME DELIVERY 2025'!G389*'COMUNAS - HOME DELIVERY 2025'!$Q$7</f>
        <v>10264.788</v>
      </c>
      <c r="H389" s="65">
        <f>+'COMUNAS - HOME DELIVERY 2025'!H389*'COMUNAS - HOME DELIVERY 2025'!$Q$7</f>
        <v>11623.932000000001</v>
      </c>
      <c r="I389" s="65">
        <f>+'COMUNAS - HOME DELIVERY 2025'!I389*'COMUNAS - HOME DELIVERY 2025'!$Q$7</f>
        <v>13952.124</v>
      </c>
      <c r="J389" s="65">
        <f>+'COMUNAS - HOME DELIVERY 2025'!J389*'COMUNAS - HOME DELIVERY 2025'!$Q$7</f>
        <v>17354.628000000001</v>
      </c>
      <c r="K389" s="65">
        <f>+'COMUNAS - HOME DELIVERY 2025'!K389*'COMUNAS - HOME DELIVERY 2025'!$Q$7</f>
        <v>23097.708000000002</v>
      </c>
      <c r="L389" s="65">
        <f>+'COMUNAS - HOME DELIVERY 2025'!L389*'COMUNAS - HOME DELIVERY 2025'!$Q$7</f>
        <v>27422.82</v>
      </c>
      <c r="M389" s="66">
        <f>+'COMUNAS - HOME DELIVERY 2025'!M389*'COMUNAS - HOME DELIVERY 2025'!$Q$7</f>
        <v>1140.876</v>
      </c>
      <c r="N389" s="67">
        <f>+'COMUNAS - HOME DELIVERY 2025'!N389*'COMUNAS - HOME DELIVERY 2025'!$Q$7</f>
        <v>880.81200000000001</v>
      </c>
      <c r="O389" s="60"/>
      <c r="P389" s="2"/>
      <c r="Q389" s="2"/>
      <c r="R389" s="2"/>
      <c r="S389" s="2"/>
      <c r="T389" s="2"/>
      <c r="U389" s="2"/>
      <c r="V389" s="2"/>
      <c r="W389" s="2"/>
      <c r="X389" s="2"/>
      <c r="Y389" s="38"/>
    </row>
    <row r="390" spans="2:25" ht="15.75" customHeight="1" x14ac:dyDescent="0.3">
      <c r="B390" s="2"/>
      <c r="C390" s="61" t="s">
        <v>738</v>
      </c>
      <c r="D390" s="62" t="s">
        <v>744</v>
      </c>
      <c r="E390" s="63" t="s">
        <v>745</v>
      </c>
      <c r="F390" s="64">
        <f>+'COMUNAS - HOME DELIVERY 2025'!F390*'COMUNAS - HOME DELIVERY 2025'!$Q$7</f>
        <v>24679.763999999999</v>
      </c>
      <c r="G390" s="65">
        <f>+'COMUNAS - HOME DELIVERY 2025'!G390*'COMUNAS - HOME DELIVERY 2025'!$Q$7</f>
        <v>25744.788</v>
      </c>
      <c r="H390" s="65">
        <f>+'COMUNAS - HOME DELIVERY 2025'!H390*'COMUNAS - HOME DELIVERY 2025'!$Q$7</f>
        <v>27103.932000000001</v>
      </c>
      <c r="I390" s="65">
        <f>+'COMUNAS - HOME DELIVERY 2025'!I390*'COMUNAS - HOME DELIVERY 2025'!$Q$7</f>
        <v>29432.124</v>
      </c>
      <c r="J390" s="65">
        <f>+'COMUNAS - HOME DELIVERY 2025'!J390*'COMUNAS - HOME DELIVERY 2025'!$Q$7</f>
        <v>32834.628000000004</v>
      </c>
      <c r="K390" s="65">
        <f>+'COMUNAS - HOME DELIVERY 2025'!K390*'COMUNAS - HOME DELIVERY 2025'!$Q$7</f>
        <v>38577.707999999999</v>
      </c>
      <c r="L390" s="65">
        <f>+'COMUNAS - HOME DELIVERY 2025'!L390*'COMUNAS - HOME DELIVERY 2025'!$Q$7</f>
        <v>42902.82</v>
      </c>
      <c r="M390" s="66">
        <f>+'COMUNAS - HOME DELIVERY 2025'!M390*'COMUNAS - HOME DELIVERY 2025'!$Q$7</f>
        <v>1140.876</v>
      </c>
      <c r="N390" s="67">
        <f>+'COMUNAS - HOME DELIVERY 2025'!N390*'COMUNAS - HOME DELIVERY 2025'!$Q$7</f>
        <v>880.81200000000001</v>
      </c>
      <c r="O390" s="60"/>
      <c r="P390" s="2"/>
      <c r="Q390" s="2"/>
      <c r="R390" s="2"/>
      <c r="S390" s="2"/>
      <c r="T390" s="2"/>
      <c r="U390" s="2"/>
      <c r="V390" s="2"/>
      <c r="W390" s="2"/>
      <c r="X390" s="2"/>
      <c r="Y390" s="38"/>
    </row>
    <row r="391" spans="2:25" ht="15.75" customHeight="1" x14ac:dyDescent="0.3">
      <c r="B391" s="2"/>
      <c r="C391" s="61" t="s">
        <v>738</v>
      </c>
      <c r="D391" s="62" t="s">
        <v>746</v>
      </c>
      <c r="E391" s="63" t="s">
        <v>747</v>
      </c>
      <c r="F391" s="64">
        <f>+'COMUNAS - HOME DELIVERY 2025'!F391*'COMUNAS - HOME DELIVERY 2025'!$Q$7</f>
        <v>24679.763999999999</v>
      </c>
      <c r="G391" s="65">
        <f>+'COMUNAS - HOME DELIVERY 2025'!G391*'COMUNAS - HOME DELIVERY 2025'!$Q$7</f>
        <v>25744.788</v>
      </c>
      <c r="H391" s="65">
        <f>+'COMUNAS - HOME DELIVERY 2025'!H391*'COMUNAS - HOME DELIVERY 2025'!$Q$7</f>
        <v>27103.932000000001</v>
      </c>
      <c r="I391" s="65">
        <f>+'COMUNAS - HOME DELIVERY 2025'!I391*'COMUNAS - HOME DELIVERY 2025'!$Q$7</f>
        <v>29432.124</v>
      </c>
      <c r="J391" s="65">
        <f>+'COMUNAS - HOME DELIVERY 2025'!J391*'COMUNAS - HOME DELIVERY 2025'!$Q$7</f>
        <v>32834.628000000004</v>
      </c>
      <c r="K391" s="65">
        <f>+'COMUNAS - HOME DELIVERY 2025'!K391*'COMUNAS - HOME DELIVERY 2025'!$Q$7</f>
        <v>38577.707999999999</v>
      </c>
      <c r="L391" s="65">
        <f>+'COMUNAS - HOME DELIVERY 2025'!L391*'COMUNAS - HOME DELIVERY 2025'!$Q$7</f>
        <v>42902.82</v>
      </c>
      <c r="M391" s="66">
        <f>+'COMUNAS - HOME DELIVERY 2025'!M391*'COMUNAS - HOME DELIVERY 2025'!$Q$7</f>
        <v>1140.876</v>
      </c>
      <c r="N391" s="67">
        <f>+'COMUNAS - HOME DELIVERY 2025'!N391*'COMUNAS - HOME DELIVERY 2025'!$Q$7</f>
        <v>880.81200000000001</v>
      </c>
      <c r="O391" s="60"/>
      <c r="P391" s="2"/>
      <c r="Q391" s="2"/>
      <c r="R391" s="2"/>
      <c r="S391" s="2"/>
      <c r="T391" s="2"/>
      <c r="U391" s="2"/>
      <c r="V391" s="2"/>
      <c r="W391" s="2"/>
      <c r="X391" s="2"/>
      <c r="Y391" s="38"/>
    </row>
    <row r="392" spans="2:25" ht="15.75" customHeight="1" x14ac:dyDescent="0.3">
      <c r="B392" s="2"/>
      <c r="C392" s="61" t="s">
        <v>738</v>
      </c>
      <c r="D392" s="62" t="s">
        <v>748</v>
      </c>
      <c r="E392" s="63" t="s">
        <v>749</v>
      </c>
      <c r="F392" s="64">
        <f>+'COMUNAS - HOME DELIVERY 2025'!F392*'COMUNAS - HOME DELIVERY 2025'!$Q$7</f>
        <v>24679.763999999999</v>
      </c>
      <c r="G392" s="65">
        <f>+'COMUNAS - HOME DELIVERY 2025'!G392*'COMUNAS - HOME DELIVERY 2025'!$Q$7</f>
        <v>25744.788</v>
      </c>
      <c r="H392" s="65">
        <f>+'COMUNAS - HOME DELIVERY 2025'!H392*'COMUNAS - HOME DELIVERY 2025'!$Q$7</f>
        <v>27103.932000000001</v>
      </c>
      <c r="I392" s="65">
        <f>+'COMUNAS - HOME DELIVERY 2025'!I392*'COMUNAS - HOME DELIVERY 2025'!$Q$7</f>
        <v>29432.124</v>
      </c>
      <c r="J392" s="65">
        <f>+'COMUNAS - HOME DELIVERY 2025'!J392*'COMUNAS - HOME DELIVERY 2025'!$Q$7</f>
        <v>32834.628000000004</v>
      </c>
      <c r="K392" s="65">
        <f>+'COMUNAS - HOME DELIVERY 2025'!K392*'COMUNAS - HOME DELIVERY 2025'!$Q$7</f>
        <v>38577.707999999999</v>
      </c>
      <c r="L392" s="65">
        <f>+'COMUNAS - HOME DELIVERY 2025'!L392*'COMUNAS - HOME DELIVERY 2025'!$Q$7</f>
        <v>42902.82</v>
      </c>
      <c r="M392" s="66">
        <f>+'COMUNAS - HOME DELIVERY 2025'!M392*'COMUNAS - HOME DELIVERY 2025'!$Q$7</f>
        <v>1140.876</v>
      </c>
      <c r="N392" s="67">
        <f>+'COMUNAS - HOME DELIVERY 2025'!N392*'COMUNAS - HOME DELIVERY 2025'!$Q$7</f>
        <v>880.81200000000001</v>
      </c>
      <c r="O392" s="60"/>
      <c r="P392" s="2"/>
      <c r="Q392" s="2"/>
      <c r="R392" s="2"/>
      <c r="S392" s="2"/>
      <c r="T392" s="2"/>
      <c r="U392" s="2"/>
      <c r="V392" s="2"/>
      <c r="W392" s="2"/>
      <c r="X392" s="2"/>
      <c r="Y392" s="38"/>
    </row>
    <row r="393" spans="2:25" ht="15.75" customHeight="1" x14ac:dyDescent="0.3">
      <c r="B393" s="2"/>
      <c r="C393" s="61" t="s">
        <v>738</v>
      </c>
      <c r="D393" s="62" t="s">
        <v>750</v>
      </c>
      <c r="E393" s="63" t="s">
        <v>751</v>
      </c>
      <c r="F393" s="64">
        <f>+'COMUNAS - HOME DELIVERY 2025'!F393*'COMUNAS - HOME DELIVERY 2025'!$Q$7</f>
        <v>24679.763999999999</v>
      </c>
      <c r="G393" s="65">
        <f>+'COMUNAS - HOME DELIVERY 2025'!G393*'COMUNAS - HOME DELIVERY 2025'!$Q$7</f>
        <v>25744.788</v>
      </c>
      <c r="H393" s="65">
        <f>+'COMUNAS - HOME DELIVERY 2025'!H393*'COMUNAS - HOME DELIVERY 2025'!$Q$7</f>
        <v>27103.932000000001</v>
      </c>
      <c r="I393" s="65">
        <f>+'COMUNAS - HOME DELIVERY 2025'!I393*'COMUNAS - HOME DELIVERY 2025'!$Q$7</f>
        <v>29432.124</v>
      </c>
      <c r="J393" s="65">
        <f>+'COMUNAS - HOME DELIVERY 2025'!J393*'COMUNAS - HOME DELIVERY 2025'!$Q$7</f>
        <v>32834.628000000004</v>
      </c>
      <c r="K393" s="65">
        <f>+'COMUNAS - HOME DELIVERY 2025'!K393*'COMUNAS - HOME DELIVERY 2025'!$Q$7</f>
        <v>38577.707999999999</v>
      </c>
      <c r="L393" s="65">
        <f>+'COMUNAS - HOME DELIVERY 2025'!L393*'COMUNAS - HOME DELIVERY 2025'!$Q$7</f>
        <v>42902.82</v>
      </c>
      <c r="M393" s="66">
        <f>+'COMUNAS - HOME DELIVERY 2025'!M393*'COMUNAS - HOME DELIVERY 2025'!$Q$7</f>
        <v>1140.876</v>
      </c>
      <c r="N393" s="67">
        <f>+'COMUNAS - HOME DELIVERY 2025'!N393*'COMUNAS - HOME DELIVERY 2025'!$Q$7</f>
        <v>880.81200000000001</v>
      </c>
      <c r="O393" s="60"/>
      <c r="P393" s="2"/>
      <c r="Q393" s="2"/>
      <c r="R393" s="2"/>
      <c r="S393" s="2"/>
      <c r="T393" s="2"/>
      <c r="U393" s="2"/>
      <c r="V393" s="2"/>
      <c r="W393" s="2"/>
      <c r="X393" s="2"/>
      <c r="Y393" s="38"/>
    </row>
    <row r="394" spans="2:25" ht="15.75" customHeight="1" x14ac:dyDescent="0.3">
      <c r="B394" s="2"/>
      <c r="C394" s="61" t="s">
        <v>738</v>
      </c>
      <c r="D394" s="62" t="s">
        <v>752</v>
      </c>
      <c r="E394" s="63" t="s">
        <v>753</v>
      </c>
      <c r="F394" s="64">
        <f>+'COMUNAS - HOME DELIVERY 2025'!F394*'COMUNAS - HOME DELIVERY 2025'!$Q$7</f>
        <v>9199.764000000001</v>
      </c>
      <c r="G394" s="65">
        <f>+'COMUNAS - HOME DELIVERY 2025'!G394*'COMUNAS - HOME DELIVERY 2025'!$Q$7</f>
        <v>10264.788</v>
      </c>
      <c r="H394" s="65">
        <f>+'COMUNAS - HOME DELIVERY 2025'!H394*'COMUNAS - HOME DELIVERY 2025'!$Q$7</f>
        <v>11623.932000000001</v>
      </c>
      <c r="I394" s="65">
        <f>+'COMUNAS - HOME DELIVERY 2025'!I394*'COMUNAS - HOME DELIVERY 2025'!$Q$7</f>
        <v>13952.124</v>
      </c>
      <c r="J394" s="65">
        <f>+'COMUNAS - HOME DELIVERY 2025'!J394*'COMUNAS - HOME DELIVERY 2025'!$Q$7</f>
        <v>17354.628000000001</v>
      </c>
      <c r="K394" s="65">
        <f>+'COMUNAS - HOME DELIVERY 2025'!K394*'COMUNAS - HOME DELIVERY 2025'!$Q$7</f>
        <v>23097.708000000002</v>
      </c>
      <c r="L394" s="65">
        <f>+'COMUNAS - HOME DELIVERY 2025'!L394*'COMUNAS - HOME DELIVERY 2025'!$Q$7</f>
        <v>27422.82</v>
      </c>
      <c r="M394" s="66">
        <f>+'COMUNAS - HOME DELIVERY 2025'!M394*'COMUNAS - HOME DELIVERY 2025'!$Q$7</f>
        <v>1140.876</v>
      </c>
      <c r="N394" s="67">
        <f>+'COMUNAS - HOME DELIVERY 2025'!N394*'COMUNAS - HOME DELIVERY 2025'!$Q$7</f>
        <v>880.81200000000001</v>
      </c>
      <c r="O394" s="60"/>
      <c r="P394" s="2"/>
      <c r="Q394" s="2"/>
      <c r="R394" s="2"/>
      <c r="S394" s="2"/>
      <c r="T394" s="2"/>
      <c r="U394" s="2"/>
      <c r="V394" s="2"/>
      <c r="W394" s="2"/>
      <c r="X394" s="2"/>
      <c r="Y394" s="38"/>
    </row>
    <row r="395" spans="2:25" ht="15.75" customHeight="1" x14ac:dyDescent="0.3">
      <c r="B395" s="2"/>
      <c r="C395" s="61" t="s">
        <v>738</v>
      </c>
      <c r="D395" s="62" t="s">
        <v>754</v>
      </c>
      <c r="E395" s="63" t="s">
        <v>755</v>
      </c>
      <c r="F395" s="64">
        <f>+'COMUNAS - HOME DELIVERY 2025'!F395*'COMUNAS - HOME DELIVERY 2025'!$Q$7</f>
        <v>24679.763999999999</v>
      </c>
      <c r="G395" s="65">
        <f>+'COMUNAS - HOME DELIVERY 2025'!G395*'COMUNAS - HOME DELIVERY 2025'!$Q$7</f>
        <v>25744.788</v>
      </c>
      <c r="H395" s="65">
        <f>+'COMUNAS - HOME DELIVERY 2025'!H395*'COMUNAS - HOME DELIVERY 2025'!$Q$7</f>
        <v>27103.932000000001</v>
      </c>
      <c r="I395" s="65">
        <f>+'COMUNAS - HOME DELIVERY 2025'!I395*'COMUNAS - HOME DELIVERY 2025'!$Q$7</f>
        <v>29432.124</v>
      </c>
      <c r="J395" s="65">
        <f>+'COMUNAS - HOME DELIVERY 2025'!J395*'COMUNAS - HOME DELIVERY 2025'!$Q$7</f>
        <v>32834.628000000004</v>
      </c>
      <c r="K395" s="65">
        <f>+'COMUNAS - HOME DELIVERY 2025'!K395*'COMUNAS - HOME DELIVERY 2025'!$Q$7</f>
        <v>38577.707999999999</v>
      </c>
      <c r="L395" s="65">
        <f>+'COMUNAS - HOME DELIVERY 2025'!L395*'COMUNAS - HOME DELIVERY 2025'!$Q$7</f>
        <v>42902.82</v>
      </c>
      <c r="M395" s="66">
        <f>+'COMUNAS - HOME DELIVERY 2025'!M395*'COMUNAS - HOME DELIVERY 2025'!$Q$7</f>
        <v>1140.876</v>
      </c>
      <c r="N395" s="67">
        <f>+'COMUNAS - HOME DELIVERY 2025'!N395*'COMUNAS - HOME DELIVERY 2025'!$Q$7</f>
        <v>880.81200000000001</v>
      </c>
      <c r="O395" s="60"/>
      <c r="P395" s="2"/>
      <c r="Q395" s="2"/>
      <c r="R395" s="2"/>
      <c r="S395" s="2"/>
      <c r="T395" s="2"/>
      <c r="U395" s="2"/>
      <c r="V395" s="2"/>
      <c r="W395" s="2"/>
      <c r="X395" s="2"/>
      <c r="Y395" s="38"/>
    </row>
    <row r="396" spans="2:25" ht="15.75" customHeight="1" x14ac:dyDescent="0.3">
      <c r="B396" s="2"/>
      <c r="C396" s="61" t="s">
        <v>738</v>
      </c>
      <c r="D396" s="62" t="s">
        <v>756</v>
      </c>
      <c r="E396" s="63" t="s">
        <v>757</v>
      </c>
      <c r="F396" s="64">
        <f>+'COMUNAS - HOME DELIVERY 2025'!F396*'COMUNAS - HOME DELIVERY 2025'!$Q$7</f>
        <v>9199.764000000001</v>
      </c>
      <c r="G396" s="65">
        <f>+'COMUNAS - HOME DELIVERY 2025'!G396*'COMUNAS - HOME DELIVERY 2025'!$Q$7</f>
        <v>10264.788</v>
      </c>
      <c r="H396" s="65">
        <f>+'COMUNAS - HOME DELIVERY 2025'!H396*'COMUNAS - HOME DELIVERY 2025'!$Q$7</f>
        <v>11623.932000000001</v>
      </c>
      <c r="I396" s="65">
        <f>+'COMUNAS - HOME DELIVERY 2025'!I396*'COMUNAS - HOME DELIVERY 2025'!$Q$7</f>
        <v>13952.124</v>
      </c>
      <c r="J396" s="65">
        <f>+'COMUNAS - HOME DELIVERY 2025'!J396*'COMUNAS - HOME DELIVERY 2025'!$Q$7</f>
        <v>17354.628000000001</v>
      </c>
      <c r="K396" s="65">
        <f>+'COMUNAS - HOME DELIVERY 2025'!K396*'COMUNAS - HOME DELIVERY 2025'!$Q$7</f>
        <v>23097.708000000002</v>
      </c>
      <c r="L396" s="65">
        <f>+'COMUNAS - HOME DELIVERY 2025'!L396*'COMUNAS - HOME DELIVERY 2025'!$Q$7</f>
        <v>27422.82</v>
      </c>
      <c r="M396" s="66">
        <f>+'COMUNAS - HOME DELIVERY 2025'!M396*'COMUNAS - HOME DELIVERY 2025'!$Q$7</f>
        <v>1140.876</v>
      </c>
      <c r="N396" s="67">
        <f>+'COMUNAS - HOME DELIVERY 2025'!N396*'COMUNAS - HOME DELIVERY 2025'!$Q$7</f>
        <v>880.81200000000001</v>
      </c>
      <c r="O396" s="60"/>
      <c r="P396" s="2"/>
      <c r="Q396" s="2"/>
      <c r="R396" s="2"/>
      <c r="S396" s="2"/>
      <c r="T396" s="2"/>
      <c r="U396" s="2"/>
      <c r="V396" s="2"/>
      <c r="W396" s="2"/>
      <c r="X396" s="2"/>
      <c r="Y396" s="38"/>
    </row>
    <row r="397" spans="2:25" ht="15.75" customHeight="1" thickBot="1" x14ac:dyDescent="0.35">
      <c r="B397" s="2"/>
      <c r="C397" s="68" t="s">
        <v>738</v>
      </c>
      <c r="D397" s="69" t="s">
        <v>758</v>
      </c>
      <c r="E397" s="70" t="s">
        <v>759</v>
      </c>
      <c r="F397" s="71">
        <f>+'COMUNAS - HOME DELIVERY 2025'!F397*'COMUNAS - HOME DELIVERY 2025'!$Q$7</f>
        <v>24679.763999999999</v>
      </c>
      <c r="G397" s="72">
        <f>+'COMUNAS - HOME DELIVERY 2025'!G397*'COMUNAS - HOME DELIVERY 2025'!$Q$7</f>
        <v>25744.788</v>
      </c>
      <c r="H397" s="72">
        <f>+'COMUNAS - HOME DELIVERY 2025'!H397*'COMUNAS - HOME DELIVERY 2025'!$Q$7</f>
        <v>27103.932000000001</v>
      </c>
      <c r="I397" s="72">
        <f>+'COMUNAS - HOME DELIVERY 2025'!I397*'COMUNAS - HOME DELIVERY 2025'!$Q$7</f>
        <v>29432.124</v>
      </c>
      <c r="J397" s="72">
        <f>+'COMUNAS - HOME DELIVERY 2025'!J397*'COMUNAS - HOME DELIVERY 2025'!$Q$7</f>
        <v>32834.628000000004</v>
      </c>
      <c r="K397" s="72">
        <f>+'COMUNAS - HOME DELIVERY 2025'!K397*'COMUNAS - HOME DELIVERY 2025'!$Q$7</f>
        <v>38577.707999999999</v>
      </c>
      <c r="L397" s="72">
        <f>+'COMUNAS - HOME DELIVERY 2025'!L397*'COMUNAS - HOME DELIVERY 2025'!$Q$7</f>
        <v>42902.82</v>
      </c>
      <c r="M397" s="73">
        <f>+'COMUNAS - HOME DELIVERY 2025'!M397*'COMUNAS - HOME DELIVERY 2025'!$Q$7</f>
        <v>1140.876</v>
      </c>
      <c r="N397" s="74">
        <f>+'COMUNAS - HOME DELIVERY 2025'!N397*'COMUNAS - HOME DELIVERY 2025'!$Q$7</f>
        <v>880.81200000000001</v>
      </c>
      <c r="O397" s="60"/>
      <c r="P397" s="2"/>
      <c r="Q397" s="2"/>
      <c r="R397" s="2"/>
      <c r="S397" s="2"/>
      <c r="T397" s="2"/>
      <c r="U397" s="2"/>
      <c r="V397" s="2"/>
      <c r="W397" s="2"/>
      <c r="X397" s="2"/>
      <c r="Y397" s="38"/>
    </row>
    <row r="398" spans="2:25" ht="15.75" customHeight="1" thickBot="1" x14ac:dyDescent="0.35">
      <c r="B398" s="2"/>
      <c r="C398" s="139"/>
      <c r="D398" s="139"/>
      <c r="E398" s="139"/>
      <c r="F398" s="139"/>
      <c r="G398" s="139"/>
      <c r="H398" s="139"/>
      <c r="I398" s="139"/>
      <c r="J398" s="139"/>
      <c r="K398" s="139"/>
      <c r="L398" s="139"/>
      <c r="M398" s="140"/>
      <c r="N398" s="141"/>
      <c r="O398" s="60"/>
      <c r="P398" s="2"/>
      <c r="Q398" s="2"/>
      <c r="R398" s="2"/>
      <c r="S398" s="2"/>
      <c r="T398" s="2"/>
      <c r="U398" s="2"/>
      <c r="V398" s="2"/>
      <c r="W398" s="2"/>
      <c r="X398" s="2"/>
      <c r="Y398" s="38"/>
    </row>
    <row r="399" spans="2:25" ht="15.75" customHeight="1" thickBot="1" x14ac:dyDescent="0.35">
      <c r="B399" s="2"/>
      <c r="C399" s="203" t="s">
        <v>760</v>
      </c>
      <c r="D399" s="170"/>
      <c r="E399" s="170"/>
      <c r="F399" s="170"/>
      <c r="G399" s="170"/>
      <c r="H399" s="170"/>
      <c r="I399" s="170"/>
      <c r="J399" s="170"/>
      <c r="K399" s="170"/>
      <c r="L399" s="170"/>
      <c r="M399" s="170"/>
      <c r="N399" s="171"/>
      <c r="O399" s="83"/>
      <c r="P399" s="2"/>
      <c r="Q399" s="2"/>
      <c r="R399" s="2"/>
      <c r="S399" s="2"/>
      <c r="T399" s="2"/>
      <c r="U399" s="2"/>
      <c r="V399" s="2"/>
      <c r="W399" s="2"/>
      <c r="X399" s="2"/>
      <c r="Y399" s="38"/>
    </row>
    <row r="400" spans="2:25" ht="15.75" customHeight="1" x14ac:dyDescent="0.3">
      <c r="B400" s="2"/>
      <c r="C400" s="204" t="s">
        <v>70</v>
      </c>
      <c r="D400" s="205"/>
      <c r="E400" s="86" t="s">
        <v>9</v>
      </c>
      <c r="F400" s="86" t="s">
        <v>10</v>
      </c>
      <c r="G400" s="86" t="s">
        <v>11</v>
      </c>
      <c r="H400" s="86" t="s">
        <v>12</v>
      </c>
      <c r="I400" s="87" t="s">
        <v>13</v>
      </c>
      <c r="J400" s="87" t="s">
        <v>14</v>
      </c>
      <c r="K400" s="88" t="s">
        <v>15</v>
      </c>
      <c r="L400" s="50" t="s">
        <v>16</v>
      </c>
      <c r="M400" s="48" t="s">
        <v>17</v>
      </c>
      <c r="N400" s="89" t="s">
        <v>18</v>
      </c>
      <c r="O400" s="90"/>
      <c r="P400" s="2"/>
      <c r="Q400" s="2"/>
      <c r="R400" s="2"/>
      <c r="S400" s="2"/>
      <c r="T400" s="2"/>
      <c r="U400" s="2"/>
      <c r="V400" s="2"/>
      <c r="W400" s="2"/>
      <c r="X400" s="2"/>
      <c r="Y400" s="38"/>
    </row>
    <row r="401" spans="2:25" ht="15.75" customHeight="1" x14ac:dyDescent="0.3">
      <c r="B401" s="2"/>
      <c r="C401" s="206" t="s">
        <v>761</v>
      </c>
      <c r="D401" s="207"/>
      <c r="E401" s="91" t="s">
        <v>762</v>
      </c>
      <c r="F401" s="92">
        <f>+'COMUNAS - HOME DELIVERY 2025'!F401*'COMUNAS - HOME DELIVERY 2025'!$Q$7</f>
        <v>3328.2000000000003</v>
      </c>
      <c r="G401" s="72">
        <f>+'COMUNAS - HOME DELIVERY 2025'!G401*'COMUNAS - HOME DELIVERY 2025'!$Q$7</f>
        <v>3452.04</v>
      </c>
      <c r="H401" s="72">
        <f>+'COMUNAS - HOME DELIVERY 2025'!H401*'COMUNAS - HOME DELIVERY 2025'!$Q$7</f>
        <v>3674.9520000000002</v>
      </c>
      <c r="I401" s="72">
        <f>+'COMUNAS - HOME DELIVERY 2025'!I401*'COMUNAS - HOME DELIVERY 2025'!$Q$7</f>
        <v>4001.0640000000003</v>
      </c>
      <c r="J401" s="72">
        <f>+'COMUNAS - HOME DELIVERY 2025'!J401*'COMUNAS - HOME DELIVERY 2025'!$Q$7</f>
        <v>4633.68</v>
      </c>
      <c r="K401" s="72">
        <f>+'COMUNAS - HOME DELIVERY 2025'!K401*'COMUNAS - HOME DELIVERY 2025'!$Q$7</f>
        <v>5039.2560000000003</v>
      </c>
      <c r="L401" s="72">
        <f>+'COMUNAS - HOME DELIVERY 2025'!L401*'COMUNAS - HOME DELIVERY 2025'!$Q$7</f>
        <v>5898.9120000000003</v>
      </c>
      <c r="M401" s="93">
        <f>+'COMUNAS - HOME DELIVERY 2025'!M401*'COMUNAS - HOME DELIVERY 2025'!$Q$7</f>
        <v>465.43200000000002</v>
      </c>
      <c r="N401" s="94">
        <f>+'COMUNAS - HOME DELIVERY 2025'!N401*'COMUNAS - HOME DELIVERY 2025'!$Q$7</f>
        <v>465.43200000000002</v>
      </c>
      <c r="O401" s="60"/>
      <c r="P401" s="2"/>
      <c r="Q401" s="2"/>
      <c r="R401" s="2"/>
      <c r="S401" s="2"/>
      <c r="T401" s="2"/>
      <c r="U401" s="2"/>
      <c r="V401" s="2"/>
      <c r="W401" s="2"/>
      <c r="X401" s="2"/>
      <c r="Y401" s="38"/>
    </row>
    <row r="402" spans="2:25" ht="15.75" customHeight="1" x14ac:dyDescent="0.3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38"/>
    </row>
    <row r="403" spans="2:25" ht="15.75" customHeight="1" x14ac:dyDescent="0.3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38"/>
    </row>
    <row r="404" spans="2:25" ht="15.75" customHeight="1" x14ac:dyDescent="0.3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38"/>
    </row>
    <row r="405" spans="2:25" ht="15.75" customHeight="1" x14ac:dyDescent="0.3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38"/>
    </row>
    <row r="406" spans="2:25" ht="15.75" customHeight="1" x14ac:dyDescent="0.3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38"/>
    </row>
    <row r="407" spans="2:25" ht="15.75" customHeight="1" x14ac:dyDescent="0.3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38"/>
    </row>
    <row r="408" spans="2:25" ht="15.75" customHeight="1" x14ac:dyDescent="0.3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38"/>
    </row>
    <row r="409" spans="2:25" ht="15.75" customHeight="1" x14ac:dyDescent="0.3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38"/>
    </row>
    <row r="410" spans="2:25" ht="15.75" customHeight="1" x14ac:dyDescent="0.3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38"/>
    </row>
    <row r="411" spans="2:25" ht="15.75" customHeight="1" x14ac:dyDescent="0.3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38"/>
    </row>
    <row r="412" spans="2:25" ht="15.75" customHeight="1" x14ac:dyDescent="0.3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38"/>
    </row>
    <row r="413" spans="2:25" ht="15.75" customHeight="1" x14ac:dyDescent="0.3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38"/>
    </row>
    <row r="414" spans="2:25" ht="15.75" customHeight="1" x14ac:dyDescent="0.3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38"/>
    </row>
    <row r="415" spans="2:25" ht="15.75" customHeight="1" x14ac:dyDescent="0.3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38"/>
    </row>
    <row r="416" spans="2:25" ht="15.75" customHeight="1" x14ac:dyDescent="0.3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38"/>
    </row>
    <row r="417" spans="2:25" ht="15.75" customHeight="1" x14ac:dyDescent="0.3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38"/>
    </row>
    <row r="418" spans="2:25" ht="15.75" customHeight="1" x14ac:dyDescent="0.3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38"/>
    </row>
    <row r="419" spans="2:25" ht="15.75" customHeight="1" x14ac:dyDescent="0.3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38"/>
    </row>
    <row r="420" spans="2:25" ht="15.75" customHeight="1" x14ac:dyDescent="0.3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38"/>
    </row>
    <row r="421" spans="2:25" ht="15.75" customHeight="1" x14ac:dyDescent="0.3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38"/>
    </row>
    <row r="422" spans="2:25" ht="15.75" customHeight="1" x14ac:dyDescent="0.3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38"/>
    </row>
    <row r="423" spans="2:25" ht="15.75" customHeight="1" x14ac:dyDescent="0.3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38"/>
    </row>
    <row r="424" spans="2:25" ht="15.75" customHeight="1" x14ac:dyDescent="0.3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38"/>
    </row>
    <row r="425" spans="2:25" ht="15.75" customHeight="1" x14ac:dyDescent="0.3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38"/>
    </row>
    <row r="426" spans="2:25" ht="15.75" customHeight="1" x14ac:dyDescent="0.3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38"/>
    </row>
    <row r="427" spans="2:25" ht="15.75" customHeight="1" x14ac:dyDescent="0.3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38"/>
    </row>
    <row r="428" spans="2:25" ht="15.75" customHeight="1" x14ac:dyDescent="0.3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38"/>
    </row>
    <row r="429" spans="2:25" ht="15.75" customHeight="1" x14ac:dyDescent="0.3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38"/>
    </row>
    <row r="430" spans="2:25" ht="15.75" customHeight="1" x14ac:dyDescent="0.3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38"/>
    </row>
    <row r="431" spans="2:25" ht="15.75" customHeight="1" x14ac:dyDescent="0.3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38"/>
    </row>
    <row r="432" spans="2:25" ht="15.75" customHeight="1" x14ac:dyDescent="0.3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38"/>
    </row>
    <row r="433" spans="2:25" ht="15.75" customHeight="1" x14ac:dyDescent="0.3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38"/>
    </row>
    <row r="434" spans="2:25" ht="15.75" customHeight="1" x14ac:dyDescent="0.3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38"/>
    </row>
    <row r="435" spans="2:25" ht="15.75" customHeight="1" x14ac:dyDescent="0.3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38"/>
    </row>
    <row r="436" spans="2:25" ht="15.75" customHeight="1" x14ac:dyDescent="0.3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38"/>
    </row>
    <row r="437" spans="2:25" ht="15.75" customHeight="1" x14ac:dyDescent="0.3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38"/>
    </row>
    <row r="438" spans="2:25" ht="15.75" customHeight="1" x14ac:dyDescent="0.3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38"/>
    </row>
    <row r="439" spans="2:25" ht="15.75" customHeight="1" x14ac:dyDescent="0.3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38"/>
    </row>
    <row r="440" spans="2:25" ht="15.75" customHeight="1" x14ac:dyDescent="0.3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38"/>
    </row>
    <row r="441" spans="2:25" ht="15.75" customHeight="1" x14ac:dyDescent="0.3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38"/>
    </row>
    <row r="442" spans="2:25" ht="15.75" customHeight="1" x14ac:dyDescent="0.3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38"/>
    </row>
    <row r="443" spans="2:25" ht="15.75" customHeight="1" x14ac:dyDescent="0.3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38"/>
    </row>
    <row r="444" spans="2:25" ht="15.75" customHeight="1" x14ac:dyDescent="0.3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38"/>
    </row>
    <row r="445" spans="2:25" ht="15.75" customHeight="1" x14ac:dyDescent="0.3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38"/>
    </row>
    <row r="446" spans="2:25" ht="15.75" customHeight="1" x14ac:dyDescent="0.3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38"/>
    </row>
    <row r="447" spans="2:25" ht="15.75" customHeight="1" x14ac:dyDescent="0.3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38"/>
    </row>
    <row r="448" spans="2:25" ht="15.75" customHeight="1" x14ac:dyDescent="0.3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38"/>
    </row>
    <row r="449" spans="2:25" ht="15.75" customHeight="1" x14ac:dyDescent="0.3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38"/>
    </row>
    <row r="450" spans="2:25" ht="15.75" customHeight="1" x14ac:dyDescent="0.3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38"/>
    </row>
    <row r="451" spans="2:25" ht="15.75" customHeight="1" x14ac:dyDescent="0.3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38"/>
    </row>
    <row r="452" spans="2:25" ht="15.75" customHeight="1" x14ac:dyDescent="0.3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38"/>
    </row>
    <row r="453" spans="2:25" ht="15.75" customHeight="1" x14ac:dyDescent="0.3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38"/>
    </row>
    <row r="454" spans="2:25" ht="15.75" customHeight="1" x14ac:dyDescent="0.3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38"/>
    </row>
    <row r="455" spans="2:25" ht="15.75" customHeight="1" x14ac:dyDescent="0.3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38"/>
    </row>
    <row r="456" spans="2:25" ht="15.75" customHeight="1" x14ac:dyDescent="0.3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38"/>
    </row>
    <row r="457" spans="2:25" ht="15.75" customHeight="1" x14ac:dyDescent="0.3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38"/>
    </row>
    <row r="458" spans="2:25" ht="15.75" customHeight="1" x14ac:dyDescent="0.3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38"/>
    </row>
    <row r="459" spans="2:25" ht="15.75" customHeight="1" x14ac:dyDescent="0.3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38"/>
    </row>
    <row r="460" spans="2:25" ht="15.75" customHeight="1" x14ac:dyDescent="0.3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38"/>
    </row>
    <row r="461" spans="2:25" ht="15.75" customHeight="1" x14ac:dyDescent="0.3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38"/>
    </row>
    <row r="462" spans="2:25" ht="15.75" customHeight="1" x14ac:dyDescent="0.3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38"/>
    </row>
    <row r="463" spans="2:25" ht="15.75" customHeight="1" x14ac:dyDescent="0.3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38"/>
    </row>
    <row r="464" spans="2:25" ht="15.75" customHeight="1" x14ac:dyDescent="0.3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38"/>
    </row>
    <row r="465" spans="2:25" ht="15.75" customHeight="1" x14ac:dyDescent="0.3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38"/>
    </row>
    <row r="466" spans="2:25" ht="15.75" customHeight="1" x14ac:dyDescent="0.3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38"/>
    </row>
    <row r="467" spans="2:25" ht="15.75" customHeight="1" x14ac:dyDescent="0.3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38"/>
    </row>
    <row r="468" spans="2:25" ht="15.75" customHeight="1" x14ac:dyDescent="0.3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38"/>
    </row>
    <row r="469" spans="2:25" ht="15.75" customHeight="1" x14ac:dyDescent="0.3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38"/>
    </row>
    <row r="470" spans="2:25" ht="15.75" customHeight="1" x14ac:dyDescent="0.3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38"/>
    </row>
    <row r="471" spans="2:25" ht="15.75" customHeight="1" x14ac:dyDescent="0.3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38"/>
    </row>
    <row r="472" spans="2:25" ht="15.75" customHeight="1" x14ac:dyDescent="0.3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38"/>
    </row>
    <row r="473" spans="2:25" ht="15.75" customHeight="1" x14ac:dyDescent="0.3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38"/>
    </row>
    <row r="474" spans="2:25" ht="15.75" customHeight="1" x14ac:dyDescent="0.3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38"/>
    </row>
    <row r="475" spans="2:25" ht="15.75" customHeight="1" x14ac:dyDescent="0.3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38"/>
    </row>
    <row r="476" spans="2:25" ht="15.75" customHeight="1" x14ac:dyDescent="0.3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38"/>
    </row>
    <row r="477" spans="2:25" ht="15.75" customHeight="1" x14ac:dyDescent="0.3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38"/>
    </row>
    <row r="478" spans="2:25" ht="15.75" customHeight="1" x14ac:dyDescent="0.3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38"/>
    </row>
    <row r="479" spans="2:25" ht="15.75" customHeight="1" x14ac:dyDescent="0.3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38"/>
    </row>
    <row r="480" spans="2:25" ht="15.75" customHeight="1" x14ac:dyDescent="0.3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38"/>
    </row>
    <row r="481" spans="2:25" ht="15.75" customHeight="1" x14ac:dyDescent="0.3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38"/>
    </row>
    <row r="482" spans="2:25" ht="15.75" customHeight="1" x14ac:dyDescent="0.3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38"/>
    </row>
    <row r="483" spans="2:25" ht="15.75" customHeight="1" x14ac:dyDescent="0.3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38"/>
    </row>
    <row r="484" spans="2:25" ht="15.75" customHeight="1" x14ac:dyDescent="0.3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38"/>
    </row>
    <row r="485" spans="2:25" ht="15.75" customHeight="1" x14ac:dyDescent="0.3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38"/>
    </row>
    <row r="486" spans="2:25" ht="15.75" customHeight="1" x14ac:dyDescent="0.3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38"/>
    </row>
    <row r="487" spans="2:25" ht="15.75" customHeight="1" x14ac:dyDescent="0.3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38"/>
    </row>
    <row r="488" spans="2:25" ht="15.75" customHeight="1" x14ac:dyDescent="0.3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38"/>
    </row>
    <row r="489" spans="2:25" ht="15.75" customHeight="1" x14ac:dyDescent="0.3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38"/>
    </row>
    <row r="490" spans="2:25" ht="15.75" customHeight="1" x14ac:dyDescent="0.3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38"/>
    </row>
    <row r="491" spans="2:25" ht="15.75" customHeight="1" x14ac:dyDescent="0.3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38"/>
    </row>
    <row r="492" spans="2:25" ht="15.75" customHeight="1" x14ac:dyDescent="0.3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38"/>
    </row>
    <row r="493" spans="2:25" ht="15.75" customHeight="1" x14ac:dyDescent="0.3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38"/>
    </row>
    <row r="494" spans="2:25" ht="15.75" customHeight="1" x14ac:dyDescent="0.3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38"/>
    </row>
    <row r="495" spans="2:25" ht="15.75" customHeight="1" x14ac:dyDescent="0.3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38"/>
    </row>
    <row r="496" spans="2:25" ht="15.75" customHeight="1" x14ac:dyDescent="0.3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38"/>
    </row>
    <row r="497" spans="2:25" ht="15.75" customHeight="1" x14ac:dyDescent="0.3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38"/>
    </row>
    <row r="498" spans="2:25" ht="15.75" customHeight="1" x14ac:dyDescent="0.3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38"/>
    </row>
    <row r="499" spans="2:25" ht="15.75" customHeight="1" x14ac:dyDescent="0.3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38"/>
    </row>
    <row r="500" spans="2:25" ht="15.75" customHeight="1" x14ac:dyDescent="0.3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38"/>
    </row>
    <row r="501" spans="2:25" ht="15.75" customHeight="1" x14ac:dyDescent="0.3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38"/>
    </row>
    <row r="502" spans="2:25" ht="15.75" customHeight="1" x14ac:dyDescent="0.3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38"/>
    </row>
    <row r="503" spans="2:25" ht="15.75" customHeight="1" x14ac:dyDescent="0.3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38"/>
    </row>
    <row r="504" spans="2:25" ht="15.75" customHeight="1" x14ac:dyDescent="0.3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38"/>
    </row>
    <row r="505" spans="2:25" ht="15.75" customHeight="1" x14ac:dyDescent="0.3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38"/>
    </row>
    <row r="506" spans="2:25" ht="15.75" customHeight="1" x14ac:dyDescent="0.3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38"/>
    </row>
    <row r="507" spans="2:25" ht="15.75" customHeight="1" x14ac:dyDescent="0.3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38"/>
    </row>
    <row r="508" spans="2:25" ht="15.75" customHeight="1" x14ac:dyDescent="0.3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38"/>
    </row>
    <row r="509" spans="2:25" ht="15.75" customHeight="1" x14ac:dyDescent="0.3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38"/>
    </row>
    <row r="510" spans="2:25" ht="15.75" customHeight="1" x14ac:dyDescent="0.3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38"/>
    </row>
    <row r="511" spans="2:25" ht="15.75" customHeight="1" x14ac:dyDescent="0.3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38"/>
    </row>
    <row r="512" spans="2:25" ht="15.75" customHeight="1" x14ac:dyDescent="0.3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38"/>
    </row>
    <row r="513" spans="2:25" ht="15.75" customHeight="1" x14ac:dyDescent="0.3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38"/>
    </row>
    <row r="514" spans="2:25" ht="15.75" customHeight="1" x14ac:dyDescent="0.3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38"/>
    </row>
    <row r="515" spans="2:25" ht="15.75" customHeight="1" x14ac:dyDescent="0.3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38"/>
    </row>
    <row r="516" spans="2:25" ht="15.75" customHeight="1" x14ac:dyDescent="0.3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38"/>
    </row>
    <row r="517" spans="2:25" ht="15.75" customHeight="1" x14ac:dyDescent="0.3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38"/>
    </row>
    <row r="518" spans="2:25" ht="15.75" customHeight="1" x14ac:dyDescent="0.3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38"/>
    </row>
    <row r="519" spans="2:25" ht="15.75" customHeight="1" x14ac:dyDescent="0.3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38"/>
    </row>
    <row r="520" spans="2:25" ht="15.75" customHeight="1" x14ac:dyDescent="0.3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38"/>
    </row>
    <row r="521" spans="2:25" ht="15.75" customHeight="1" x14ac:dyDescent="0.3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38"/>
    </row>
    <row r="522" spans="2:25" ht="15.75" customHeight="1" x14ac:dyDescent="0.3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38"/>
    </row>
    <row r="523" spans="2:25" ht="15.75" customHeight="1" x14ac:dyDescent="0.3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38"/>
    </row>
    <row r="524" spans="2:25" ht="15.75" customHeight="1" x14ac:dyDescent="0.3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38"/>
    </row>
    <row r="525" spans="2:25" ht="15.75" customHeight="1" x14ac:dyDescent="0.3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38"/>
    </row>
    <row r="526" spans="2:25" ht="15.75" customHeight="1" x14ac:dyDescent="0.3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38"/>
    </row>
    <row r="527" spans="2:25" ht="15.75" customHeight="1" x14ac:dyDescent="0.3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38"/>
    </row>
    <row r="528" spans="2:25" ht="15.75" customHeight="1" x14ac:dyDescent="0.3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38"/>
    </row>
    <row r="529" spans="2:25" ht="15.75" customHeight="1" x14ac:dyDescent="0.3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38"/>
    </row>
    <row r="530" spans="2:25" ht="15.75" customHeight="1" x14ac:dyDescent="0.3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38"/>
    </row>
    <row r="531" spans="2:25" ht="15.75" customHeight="1" x14ac:dyDescent="0.3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38"/>
    </row>
    <row r="532" spans="2:25" ht="15.75" customHeight="1" x14ac:dyDescent="0.3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38"/>
    </row>
    <row r="533" spans="2:25" ht="15.75" customHeight="1" x14ac:dyDescent="0.3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38"/>
    </row>
    <row r="534" spans="2:25" ht="15.75" customHeight="1" x14ac:dyDescent="0.3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38"/>
    </row>
    <row r="535" spans="2:25" ht="15.75" customHeight="1" x14ac:dyDescent="0.3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38"/>
    </row>
    <row r="536" spans="2:25" ht="15.75" customHeight="1" x14ac:dyDescent="0.3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38"/>
    </row>
    <row r="537" spans="2:25" ht="15.75" customHeight="1" x14ac:dyDescent="0.3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38"/>
    </row>
    <row r="538" spans="2:25" ht="15.75" customHeight="1" x14ac:dyDescent="0.3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38"/>
    </row>
    <row r="539" spans="2:25" ht="15.75" customHeight="1" x14ac:dyDescent="0.3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38"/>
    </row>
    <row r="540" spans="2:25" ht="15.75" customHeight="1" x14ac:dyDescent="0.3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38"/>
    </row>
    <row r="541" spans="2:25" ht="15.75" customHeight="1" x14ac:dyDescent="0.3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38"/>
    </row>
    <row r="542" spans="2:25" ht="15.75" customHeight="1" x14ac:dyDescent="0.3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38"/>
    </row>
    <row r="543" spans="2:25" ht="15.75" customHeight="1" x14ac:dyDescent="0.3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38"/>
    </row>
    <row r="544" spans="2:25" ht="15.75" customHeight="1" x14ac:dyDescent="0.3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38"/>
    </row>
    <row r="545" spans="2:25" ht="15.75" customHeight="1" x14ac:dyDescent="0.3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38"/>
    </row>
    <row r="546" spans="2:25" ht="15.75" customHeight="1" x14ac:dyDescent="0.3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38"/>
    </row>
    <row r="547" spans="2:25" ht="15.75" customHeight="1" x14ac:dyDescent="0.3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38"/>
    </row>
    <row r="548" spans="2:25" ht="15.75" customHeight="1" x14ac:dyDescent="0.3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38"/>
    </row>
    <row r="549" spans="2:25" ht="15.75" customHeight="1" x14ac:dyDescent="0.3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38"/>
    </row>
    <row r="550" spans="2:25" ht="15.75" customHeight="1" x14ac:dyDescent="0.3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38"/>
    </row>
    <row r="551" spans="2:25" ht="15.75" customHeight="1" x14ac:dyDescent="0.3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38"/>
    </row>
    <row r="552" spans="2:25" ht="15.75" customHeight="1" x14ac:dyDescent="0.3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38"/>
    </row>
    <row r="553" spans="2:25" ht="15.75" customHeight="1" x14ac:dyDescent="0.3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38"/>
    </row>
    <row r="554" spans="2:25" ht="15.75" customHeight="1" x14ac:dyDescent="0.3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38"/>
    </row>
    <row r="555" spans="2:25" ht="15.75" customHeight="1" x14ac:dyDescent="0.3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38"/>
    </row>
    <row r="556" spans="2:25" ht="15.75" customHeight="1" x14ac:dyDescent="0.3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38"/>
    </row>
    <row r="557" spans="2:25" ht="15.75" customHeight="1" x14ac:dyDescent="0.3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38"/>
    </row>
    <row r="558" spans="2:25" ht="15.75" customHeight="1" x14ac:dyDescent="0.3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38"/>
    </row>
    <row r="559" spans="2:25" ht="15.75" customHeight="1" x14ac:dyDescent="0.3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38"/>
    </row>
    <row r="560" spans="2:25" ht="15.75" customHeight="1" x14ac:dyDescent="0.3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38"/>
    </row>
    <row r="561" spans="2:25" ht="15.75" customHeight="1" x14ac:dyDescent="0.3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38"/>
    </row>
    <row r="562" spans="2:25" ht="15.75" customHeight="1" x14ac:dyDescent="0.3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38"/>
    </row>
    <row r="563" spans="2:25" ht="15.75" customHeight="1" x14ac:dyDescent="0.3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38"/>
    </row>
    <row r="564" spans="2:25" ht="15.75" customHeight="1" x14ac:dyDescent="0.3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38"/>
    </row>
    <row r="565" spans="2:25" ht="15.75" customHeight="1" x14ac:dyDescent="0.3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38"/>
    </row>
    <row r="566" spans="2:25" ht="15.75" customHeight="1" x14ac:dyDescent="0.3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38"/>
    </row>
    <row r="567" spans="2:25" ht="15.75" customHeight="1" x14ac:dyDescent="0.3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38"/>
    </row>
    <row r="568" spans="2:25" ht="15.75" customHeight="1" x14ac:dyDescent="0.3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38"/>
    </row>
    <row r="569" spans="2:25" ht="15.75" customHeight="1" x14ac:dyDescent="0.3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38"/>
    </row>
    <row r="570" spans="2:25" ht="15.75" customHeight="1" x14ac:dyDescent="0.3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38"/>
    </row>
    <row r="571" spans="2:25" ht="15.75" customHeight="1" x14ac:dyDescent="0.3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38"/>
    </row>
    <row r="572" spans="2:25" ht="15.75" customHeight="1" x14ac:dyDescent="0.3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38"/>
    </row>
    <row r="573" spans="2:25" ht="15.75" customHeight="1" x14ac:dyDescent="0.3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38"/>
    </row>
    <row r="574" spans="2:25" ht="15.75" customHeight="1" x14ac:dyDescent="0.3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38"/>
    </row>
    <row r="575" spans="2:25" ht="15.75" customHeight="1" x14ac:dyDescent="0.3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38"/>
    </row>
    <row r="576" spans="2:25" ht="15.75" customHeight="1" x14ac:dyDescent="0.3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38"/>
    </row>
    <row r="577" spans="2:25" ht="15.75" customHeight="1" x14ac:dyDescent="0.3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38"/>
    </row>
    <row r="578" spans="2:25" ht="15.75" customHeight="1" x14ac:dyDescent="0.3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38"/>
    </row>
    <row r="579" spans="2:25" ht="15.75" customHeight="1" x14ac:dyDescent="0.3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38"/>
    </row>
    <row r="580" spans="2:25" ht="15.75" customHeight="1" x14ac:dyDescent="0.3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38"/>
    </row>
    <row r="581" spans="2:25" ht="15.75" customHeight="1" x14ac:dyDescent="0.3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38"/>
    </row>
    <row r="582" spans="2:25" ht="15.75" customHeight="1" x14ac:dyDescent="0.3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38"/>
    </row>
    <row r="583" spans="2:25" ht="15.75" customHeight="1" x14ac:dyDescent="0.3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38"/>
    </row>
    <row r="584" spans="2:25" ht="15.75" customHeight="1" x14ac:dyDescent="0.3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38"/>
    </row>
    <row r="585" spans="2:25" ht="15.75" customHeight="1" x14ac:dyDescent="0.3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38"/>
    </row>
    <row r="586" spans="2:25" ht="15.75" customHeight="1" x14ac:dyDescent="0.3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38"/>
    </row>
    <row r="587" spans="2:25" ht="15.75" customHeight="1" x14ac:dyDescent="0.3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38"/>
    </row>
    <row r="588" spans="2:25" ht="15.75" customHeight="1" x14ac:dyDescent="0.3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38"/>
    </row>
    <row r="589" spans="2:25" ht="15.75" customHeight="1" x14ac:dyDescent="0.3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38"/>
    </row>
    <row r="590" spans="2:25" ht="15.75" customHeight="1" x14ac:dyDescent="0.3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38"/>
    </row>
    <row r="591" spans="2:25" ht="15.75" customHeight="1" x14ac:dyDescent="0.3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38"/>
    </row>
    <row r="592" spans="2:25" ht="15.75" customHeight="1" x14ac:dyDescent="0.3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38"/>
    </row>
    <row r="593" spans="2:25" ht="15.75" customHeight="1" x14ac:dyDescent="0.3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38"/>
    </row>
    <row r="594" spans="2:25" ht="15.75" customHeight="1" x14ac:dyDescent="0.3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38"/>
    </row>
    <row r="595" spans="2:25" ht="15.75" customHeight="1" x14ac:dyDescent="0.3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38"/>
    </row>
    <row r="596" spans="2:25" ht="15.75" customHeight="1" x14ac:dyDescent="0.3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38"/>
    </row>
    <row r="597" spans="2:25" ht="15.75" customHeight="1" x14ac:dyDescent="0.3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38"/>
    </row>
    <row r="598" spans="2:25" ht="15.75" customHeight="1" x14ac:dyDescent="0.3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38"/>
    </row>
    <row r="599" spans="2:25" ht="15.75" customHeight="1" x14ac:dyDescent="0.3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38"/>
    </row>
    <row r="600" spans="2:25" ht="15.75" customHeight="1" x14ac:dyDescent="0.3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38"/>
    </row>
    <row r="601" spans="2:25" ht="15.75" customHeight="1" x14ac:dyDescent="0.3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38"/>
    </row>
    <row r="602" spans="2:25" ht="15.75" customHeight="1" x14ac:dyDescent="0.3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38"/>
    </row>
    <row r="603" spans="2:25" ht="15.75" customHeight="1" x14ac:dyDescent="0.3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38"/>
    </row>
    <row r="604" spans="2:25" ht="15.75" customHeight="1" x14ac:dyDescent="0.3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38"/>
    </row>
    <row r="605" spans="2:25" ht="15.75" customHeight="1" x14ac:dyDescent="0.3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38"/>
    </row>
    <row r="606" spans="2:25" ht="15.75" customHeight="1" x14ac:dyDescent="0.3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38"/>
    </row>
    <row r="607" spans="2:25" ht="15.75" customHeight="1" x14ac:dyDescent="0.3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38"/>
    </row>
    <row r="608" spans="2:25" ht="15.75" customHeight="1" x14ac:dyDescent="0.3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38"/>
    </row>
    <row r="609" spans="2:25" ht="15.75" customHeight="1" x14ac:dyDescent="0.3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38"/>
    </row>
    <row r="610" spans="2:25" ht="15.75" customHeight="1" x14ac:dyDescent="0.3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38"/>
    </row>
    <row r="611" spans="2:25" ht="15.75" customHeight="1" x14ac:dyDescent="0.3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38"/>
    </row>
    <row r="612" spans="2:25" ht="15.75" customHeight="1" x14ac:dyDescent="0.3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38"/>
    </row>
    <row r="613" spans="2:25" ht="15.75" customHeight="1" x14ac:dyDescent="0.3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38"/>
    </row>
    <row r="614" spans="2:25" ht="15.75" customHeight="1" x14ac:dyDescent="0.3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38"/>
    </row>
    <row r="615" spans="2:25" ht="15.75" customHeight="1" x14ac:dyDescent="0.3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38"/>
    </row>
    <row r="616" spans="2:25" ht="15.75" customHeight="1" x14ac:dyDescent="0.3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38"/>
    </row>
    <row r="617" spans="2:25" ht="15.75" customHeight="1" x14ac:dyDescent="0.3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38"/>
    </row>
    <row r="618" spans="2:25" ht="15.75" customHeight="1" x14ac:dyDescent="0.3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38"/>
    </row>
    <row r="619" spans="2:25" ht="15.75" customHeight="1" x14ac:dyDescent="0.3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38"/>
    </row>
    <row r="620" spans="2:25" ht="15.75" customHeight="1" x14ac:dyDescent="0.3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38"/>
    </row>
    <row r="621" spans="2:25" ht="15.75" customHeight="1" x14ac:dyDescent="0.3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38"/>
    </row>
    <row r="622" spans="2:25" ht="15.75" customHeight="1" x14ac:dyDescent="0.3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38"/>
    </row>
    <row r="623" spans="2:25" ht="15.75" customHeight="1" x14ac:dyDescent="0.3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38"/>
    </row>
    <row r="624" spans="2:25" ht="15.75" customHeight="1" x14ac:dyDescent="0.3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38"/>
    </row>
    <row r="625" spans="2:25" ht="15.75" customHeight="1" x14ac:dyDescent="0.3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38"/>
    </row>
    <row r="626" spans="2:25" ht="15.75" customHeight="1" x14ac:dyDescent="0.3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38"/>
    </row>
    <row r="627" spans="2:25" ht="15.75" customHeight="1" x14ac:dyDescent="0.3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38"/>
    </row>
    <row r="628" spans="2:25" ht="15.75" customHeight="1" x14ac:dyDescent="0.3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38"/>
    </row>
    <row r="629" spans="2:25" ht="15.75" customHeight="1" x14ac:dyDescent="0.3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38"/>
    </row>
    <row r="630" spans="2:25" ht="15.75" customHeight="1" x14ac:dyDescent="0.3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38"/>
    </row>
    <row r="631" spans="2:25" ht="15.75" customHeight="1" x14ac:dyDescent="0.3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38"/>
    </row>
    <row r="632" spans="2:25" ht="15.75" customHeight="1" x14ac:dyDescent="0.3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38"/>
    </row>
    <row r="633" spans="2:25" ht="15.75" customHeight="1" x14ac:dyDescent="0.3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38"/>
    </row>
    <row r="634" spans="2:25" ht="15.75" customHeight="1" x14ac:dyDescent="0.3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38"/>
    </row>
    <row r="635" spans="2:25" ht="15.75" customHeight="1" x14ac:dyDescent="0.3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38"/>
    </row>
    <row r="636" spans="2:25" ht="15.75" customHeight="1" x14ac:dyDescent="0.3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38"/>
    </row>
    <row r="637" spans="2:25" ht="15.75" customHeight="1" x14ac:dyDescent="0.3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38"/>
    </row>
    <row r="638" spans="2:25" ht="15.75" customHeight="1" x14ac:dyDescent="0.3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38"/>
    </row>
    <row r="639" spans="2:25" ht="15.75" customHeight="1" x14ac:dyDescent="0.3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38"/>
    </row>
    <row r="640" spans="2:25" ht="15.75" customHeight="1" x14ac:dyDescent="0.3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38"/>
    </row>
    <row r="641" spans="2:25" ht="15.75" customHeight="1" x14ac:dyDescent="0.3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38"/>
    </row>
    <row r="642" spans="2:25" ht="15.75" customHeight="1" x14ac:dyDescent="0.3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38"/>
    </row>
    <row r="643" spans="2:25" ht="15.75" customHeight="1" x14ac:dyDescent="0.3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38"/>
    </row>
    <row r="644" spans="2:25" ht="15.75" customHeight="1" x14ac:dyDescent="0.3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38"/>
    </row>
    <row r="645" spans="2:25" ht="15.75" customHeight="1" x14ac:dyDescent="0.3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38"/>
    </row>
    <row r="646" spans="2:25" ht="15.75" customHeight="1" x14ac:dyDescent="0.3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38"/>
    </row>
    <row r="647" spans="2:25" ht="15.75" customHeight="1" x14ac:dyDescent="0.3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38"/>
    </row>
    <row r="648" spans="2:25" ht="15.75" customHeight="1" x14ac:dyDescent="0.3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38"/>
    </row>
    <row r="649" spans="2:25" ht="15.75" customHeight="1" x14ac:dyDescent="0.3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38"/>
    </row>
    <row r="650" spans="2:25" ht="15.75" customHeight="1" x14ac:dyDescent="0.3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38"/>
    </row>
    <row r="651" spans="2:25" ht="15.75" customHeight="1" x14ac:dyDescent="0.3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38"/>
    </row>
    <row r="652" spans="2:25" ht="15.75" customHeight="1" x14ac:dyDescent="0.3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38"/>
    </row>
    <row r="653" spans="2:25" ht="15.75" customHeight="1" x14ac:dyDescent="0.3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38"/>
    </row>
    <row r="654" spans="2:25" ht="15.75" customHeight="1" x14ac:dyDescent="0.3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38"/>
    </row>
    <row r="655" spans="2:25" ht="15.75" customHeight="1" x14ac:dyDescent="0.3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38"/>
    </row>
    <row r="656" spans="2:25" ht="15.75" customHeight="1" x14ac:dyDescent="0.3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38"/>
    </row>
    <row r="657" spans="2:25" ht="15.75" customHeight="1" x14ac:dyDescent="0.3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38"/>
    </row>
    <row r="658" spans="2:25" ht="15.75" customHeight="1" x14ac:dyDescent="0.3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38"/>
    </row>
    <row r="659" spans="2:25" ht="15.75" customHeight="1" x14ac:dyDescent="0.3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38"/>
    </row>
    <row r="660" spans="2:25" ht="15.75" customHeight="1" x14ac:dyDescent="0.3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38"/>
    </row>
    <row r="661" spans="2:25" ht="15.75" customHeight="1" x14ac:dyDescent="0.3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38"/>
    </row>
    <row r="662" spans="2:25" ht="15.75" customHeight="1" x14ac:dyDescent="0.3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38"/>
    </row>
    <row r="663" spans="2:25" ht="15.75" customHeight="1" x14ac:dyDescent="0.3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38"/>
    </row>
    <row r="664" spans="2:25" ht="15.75" customHeight="1" x14ac:dyDescent="0.3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38"/>
    </row>
    <row r="665" spans="2:25" ht="15.75" customHeight="1" x14ac:dyDescent="0.3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38"/>
    </row>
    <row r="666" spans="2:25" ht="15.75" customHeight="1" x14ac:dyDescent="0.3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38"/>
    </row>
    <row r="667" spans="2:25" ht="15.75" customHeight="1" x14ac:dyDescent="0.3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38"/>
    </row>
    <row r="668" spans="2:25" ht="15.75" customHeight="1" x14ac:dyDescent="0.3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38"/>
    </row>
    <row r="669" spans="2:25" ht="15.75" customHeight="1" x14ac:dyDescent="0.3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38"/>
    </row>
    <row r="670" spans="2:25" ht="15.75" customHeight="1" x14ac:dyDescent="0.3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38"/>
    </row>
    <row r="671" spans="2:25" ht="15.75" customHeight="1" x14ac:dyDescent="0.3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38"/>
    </row>
    <row r="672" spans="2:25" ht="15.75" customHeight="1" x14ac:dyDescent="0.3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38"/>
    </row>
    <row r="673" spans="2:25" ht="15.75" customHeight="1" x14ac:dyDescent="0.3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38"/>
    </row>
    <row r="674" spans="2:25" ht="15.75" customHeight="1" x14ac:dyDescent="0.3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38"/>
    </row>
    <row r="675" spans="2:25" ht="15.75" customHeight="1" x14ac:dyDescent="0.3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38"/>
    </row>
    <row r="676" spans="2:25" ht="15.75" customHeight="1" x14ac:dyDescent="0.3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38"/>
    </row>
    <row r="677" spans="2:25" ht="15.75" customHeight="1" x14ac:dyDescent="0.3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38"/>
    </row>
    <row r="678" spans="2:25" ht="15.75" customHeight="1" x14ac:dyDescent="0.3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38"/>
    </row>
    <row r="679" spans="2:25" ht="15.75" customHeight="1" x14ac:dyDescent="0.3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38"/>
    </row>
    <row r="680" spans="2:25" ht="15.75" customHeight="1" x14ac:dyDescent="0.3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38"/>
    </row>
    <row r="681" spans="2:25" ht="15.75" customHeight="1" x14ac:dyDescent="0.3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38"/>
    </row>
    <row r="682" spans="2:25" ht="15.75" customHeight="1" x14ac:dyDescent="0.3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38"/>
    </row>
    <row r="683" spans="2:25" ht="15.75" customHeight="1" x14ac:dyDescent="0.3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38"/>
    </row>
    <row r="684" spans="2:25" ht="15.75" customHeight="1" x14ac:dyDescent="0.3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38"/>
    </row>
    <row r="685" spans="2:25" ht="15.75" customHeight="1" x14ac:dyDescent="0.3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38"/>
    </row>
    <row r="686" spans="2:25" ht="15.75" customHeight="1" x14ac:dyDescent="0.3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38"/>
    </row>
    <row r="687" spans="2:25" ht="15.75" customHeight="1" x14ac:dyDescent="0.3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38"/>
    </row>
    <row r="688" spans="2:25" ht="15.75" customHeight="1" x14ac:dyDescent="0.3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38"/>
    </row>
    <row r="689" spans="2:25" ht="15.75" customHeight="1" x14ac:dyDescent="0.3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38"/>
    </row>
    <row r="690" spans="2:25" ht="15.75" customHeight="1" x14ac:dyDescent="0.3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38"/>
    </row>
    <row r="691" spans="2:25" ht="15.75" customHeight="1" x14ac:dyDescent="0.3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38"/>
    </row>
    <row r="692" spans="2:25" ht="15.75" customHeight="1" x14ac:dyDescent="0.3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38"/>
    </row>
    <row r="693" spans="2:25" ht="15.75" customHeight="1" x14ac:dyDescent="0.3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38"/>
    </row>
    <row r="694" spans="2:25" ht="15.75" customHeight="1" x14ac:dyDescent="0.3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38"/>
    </row>
    <row r="695" spans="2:25" ht="15.75" customHeight="1" x14ac:dyDescent="0.3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38"/>
    </row>
    <row r="696" spans="2:25" ht="15.75" customHeight="1" x14ac:dyDescent="0.3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38"/>
    </row>
    <row r="697" spans="2:25" ht="15.75" customHeight="1" x14ac:dyDescent="0.3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38"/>
    </row>
    <row r="698" spans="2:25" ht="15.75" customHeight="1" x14ac:dyDescent="0.3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38"/>
    </row>
    <row r="699" spans="2:25" ht="15.75" customHeight="1" x14ac:dyDescent="0.3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38"/>
    </row>
    <row r="700" spans="2:25" ht="15.75" customHeight="1" x14ac:dyDescent="0.3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38"/>
    </row>
    <row r="701" spans="2:25" ht="15.75" customHeight="1" x14ac:dyDescent="0.3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38"/>
    </row>
    <row r="702" spans="2:25" ht="15.75" customHeight="1" x14ac:dyDescent="0.3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38"/>
    </row>
    <row r="703" spans="2:25" ht="15.75" customHeight="1" x14ac:dyDescent="0.3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38"/>
    </row>
    <row r="704" spans="2:25" ht="15.75" customHeight="1" x14ac:dyDescent="0.3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38"/>
    </row>
    <row r="705" spans="2:25" ht="15.75" customHeight="1" x14ac:dyDescent="0.3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38"/>
    </row>
    <row r="706" spans="2:25" ht="15.75" customHeight="1" x14ac:dyDescent="0.3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38"/>
    </row>
    <row r="707" spans="2:25" ht="15.75" customHeight="1" x14ac:dyDescent="0.3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38"/>
    </row>
    <row r="708" spans="2:25" ht="15.75" customHeight="1" x14ac:dyDescent="0.3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38"/>
    </row>
    <row r="709" spans="2:25" ht="15.75" customHeight="1" x14ac:dyDescent="0.3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38"/>
    </row>
    <row r="710" spans="2:25" ht="15.75" customHeight="1" x14ac:dyDescent="0.3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38"/>
    </row>
    <row r="711" spans="2:25" ht="15.75" customHeight="1" x14ac:dyDescent="0.3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38"/>
    </row>
    <row r="712" spans="2:25" ht="15.75" customHeight="1" x14ac:dyDescent="0.3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38"/>
    </row>
    <row r="713" spans="2:25" ht="15.75" customHeight="1" x14ac:dyDescent="0.3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38"/>
    </row>
    <row r="714" spans="2:25" ht="15.75" customHeight="1" x14ac:dyDescent="0.3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38"/>
    </row>
    <row r="715" spans="2:25" ht="15.75" customHeight="1" x14ac:dyDescent="0.3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38"/>
    </row>
    <row r="716" spans="2:25" ht="15.75" customHeight="1" x14ac:dyDescent="0.3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38"/>
    </row>
    <row r="717" spans="2:25" ht="15.75" customHeight="1" x14ac:dyDescent="0.3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38"/>
    </row>
    <row r="718" spans="2:25" ht="15.75" customHeight="1" x14ac:dyDescent="0.3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38"/>
    </row>
    <row r="719" spans="2:25" ht="15.75" customHeight="1" x14ac:dyDescent="0.3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38"/>
    </row>
    <row r="720" spans="2:25" ht="15.75" customHeight="1" x14ac:dyDescent="0.3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38"/>
    </row>
    <row r="721" spans="2:25" ht="15.75" customHeight="1" x14ac:dyDescent="0.3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38"/>
    </row>
    <row r="722" spans="2:25" ht="15.75" customHeight="1" x14ac:dyDescent="0.3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38"/>
    </row>
    <row r="723" spans="2:25" ht="15.75" customHeight="1" x14ac:dyDescent="0.3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38"/>
    </row>
    <row r="724" spans="2:25" ht="15.75" customHeight="1" x14ac:dyDescent="0.3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38"/>
    </row>
    <row r="725" spans="2:25" ht="15.75" customHeight="1" x14ac:dyDescent="0.3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38"/>
    </row>
    <row r="726" spans="2:25" ht="15.75" customHeight="1" x14ac:dyDescent="0.3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38"/>
    </row>
    <row r="727" spans="2:25" ht="15.75" customHeight="1" x14ac:dyDescent="0.3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38"/>
    </row>
    <row r="728" spans="2:25" ht="15.75" customHeight="1" x14ac:dyDescent="0.3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38"/>
    </row>
    <row r="729" spans="2:25" ht="15.75" customHeight="1" x14ac:dyDescent="0.3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38"/>
    </row>
    <row r="730" spans="2:25" ht="15.75" customHeight="1" x14ac:dyDescent="0.3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38"/>
    </row>
    <row r="731" spans="2:25" ht="15.75" customHeight="1" x14ac:dyDescent="0.3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38"/>
    </row>
    <row r="732" spans="2:25" ht="15.75" customHeight="1" x14ac:dyDescent="0.3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38"/>
    </row>
    <row r="733" spans="2:25" ht="15.75" customHeight="1" x14ac:dyDescent="0.3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38"/>
    </row>
    <row r="734" spans="2:25" ht="15.75" customHeight="1" x14ac:dyDescent="0.3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38"/>
    </row>
    <row r="735" spans="2:25" ht="15.75" customHeight="1" x14ac:dyDescent="0.3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38"/>
    </row>
    <row r="736" spans="2:25" ht="15.75" customHeight="1" x14ac:dyDescent="0.3"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38"/>
    </row>
    <row r="737" spans="2:25" ht="15.75" customHeight="1" x14ac:dyDescent="0.3"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38"/>
    </row>
    <row r="738" spans="2:25" ht="15.75" customHeight="1" x14ac:dyDescent="0.3"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38"/>
    </row>
    <row r="739" spans="2:25" ht="15.75" customHeight="1" x14ac:dyDescent="0.3"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38"/>
    </row>
    <row r="740" spans="2:25" ht="15.75" customHeight="1" x14ac:dyDescent="0.3"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38"/>
    </row>
    <row r="741" spans="2:25" ht="15.75" customHeight="1" x14ac:dyDescent="0.3"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38"/>
    </row>
    <row r="742" spans="2:25" ht="15.75" customHeight="1" x14ac:dyDescent="0.3"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38"/>
    </row>
    <row r="743" spans="2:25" ht="15.75" customHeight="1" x14ac:dyDescent="0.3"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38"/>
    </row>
    <row r="744" spans="2:25" ht="15.75" customHeight="1" x14ac:dyDescent="0.3"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38"/>
    </row>
    <row r="745" spans="2:25" ht="15.75" customHeight="1" x14ac:dyDescent="0.3"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38"/>
    </row>
    <row r="746" spans="2:25" ht="15.75" customHeight="1" x14ac:dyDescent="0.3"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38"/>
    </row>
    <row r="747" spans="2:25" ht="15.75" customHeight="1" x14ac:dyDescent="0.3"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38"/>
    </row>
    <row r="748" spans="2:25" ht="15.75" customHeight="1" x14ac:dyDescent="0.3"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38"/>
    </row>
    <row r="749" spans="2:25" ht="15.75" customHeight="1" x14ac:dyDescent="0.3"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38"/>
    </row>
    <row r="750" spans="2:25" ht="15.75" customHeight="1" x14ac:dyDescent="0.3"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38"/>
    </row>
    <row r="751" spans="2:25" ht="15.75" customHeight="1" x14ac:dyDescent="0.3"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38"/>
    </row>
    <row r="752" spans="2:25" ht="15.75" customHeight="1" x14ac:dyDescent="0.3"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38"/>
    </row>
    <row r="753" spans="2:25" ht="15.75" customHeight="1" x14ac:dyDescent="0.3"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38"/>
    </row>
    <row r="754" spans="2:25" ht="15.75" customHeight="1" x14ac:dyDescent="0.3"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38"/>
    </row>
    <row r="755" spans="2:25" ht="15.75" customHeight="1" x14ac:dyDescent="0.3"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38"/>
    </row>
    <row r="756" spans="2:25" ht="15.75" customHeight="1" x14ac:dyDescent="0.3"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38"/>
    </row>
    <row r="757" spans="2:25" ht="15.75" customHeight="1" x14ac:dyDescent="0.3"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38"/>
    </row>
    <row r="758" spans="2:25" ht="15.75" customHeight="1" x14ac:dyDescent="0.3"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38"/>
    </row>
    <row r="759" spans="2:25" ht="15.75" customHeight="1" x14ac:dyDescent="0.3"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38"/>
    </row>
    <row r="760" spans="2:25" ht="15.75" customHeight="1" x14ac:dyDescent="0.3"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38"/>
    </row>
    <row r="761" spans="2:25" ht="15.75" customHeight="1" x14ac:dyDescent="0.3"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38"/>
    </row>
    <row r="762" spans="2:25" ht="15.75" customHeight="1" x14ac:dyDescent="0.3"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38"/>
    </row>
    <row r="763" spans="2:25" ht="15.75" customHeight="1" x14ac:dyDescent="0.3"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38"/>
    </row>
    <row r="764" spans="2:25" ht="15.75" customHeight="1" x14ac:dyDescent="0.3"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38"/>
    </row>
    <row r="765" spans="2:25" ht="15.75" customHeight="1" x14ac:dyDescent="0.3"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38"/>
    </row>
    <row r="766" spans="2:25" ht="15.75" customHeight="1" x14ac:dyDescent="0.3"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38"/>
    </row>
    <row r="767" spans="2:25" ht="15.75" customHeight="1" x14ac:dyDescent="0.3"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38"/>
    </row>
    <row r="768" spans="2:25" ht="15.75" customHeight="1" x14ac:dyDescent="0.3"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38"/>
    </row>
    <row r="769" spans="2:25" ht="15.75" customHeight="1" x14ac:dyDescent="0.3"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38"/>
    </row>
    <row r="770" spans="2:25" ht="15.75" customHeight="1" x14ac:dyDescent="0.3"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38"/>
    </row>
    <row r="771" spans="2:25" ht="15.75" customHeight="1" x14ac:dyDescent="0.3"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38"/>
    </row>
    <row r="772" spans="2:25" ht="15.75" customHeight="1" x14ac:dyDescent="0.3"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38"/>
    </row>
    <row r="773" spans="2:25" ht="15.75" customHeight="1" x14ac:dyDescent="0.3"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38"/>
    </row>
    <row r="774" spans="2:25" ht="15.75" customHeight="1" x14ac:dyDescent="0.3"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38"/>
    </row>
    <row r="775" spans="2:25" ht="15.75" customHeight="1" x14ac:dyDescent="0.3"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38"/>
    </row>
    <row r="776" spans="2:25" ht="15.75" customHeight="1" x14ac:dyDescent="0.3"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38"/>
    </row>
    <row r="777" spans="2:25" ht="15.75" customHeight="1" x14ac:dyDescent="0.3"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38"/>
    </row>
    <row r="778" spans="2:25" ht="15.75" customHeight="1" x14ac:dyDescent="0.3"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38"/>
    </row>
    <row r="779" spans="2:25" ht="15.75" customHeight="1" x14ac:dyDescent="0.3"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38"/>
    </row>
    <row r="780" spans="2:25" ht="15.75" customHeight="1" x14ac:dyDescent="0.3"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38"/>
    </row>
    <row r="781" spans="2:25" ht="15.75" customHeight="1" x14ac:dyDescent="0.3"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38"/>
    </row>
    <row r="782" spans="2:25" ht="15.75" customHeight="1" x14ac:dyDescent="0.3"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38"/>
    </row>
    <row r="783" spans="2:25" ht="15.75" customHeight="1" x14ac:dyDescent="0.3"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38"/>
    </row>
    <row r="784" spans="2:25" ht="15.75" customHeight="1" x14ac:dyDescent="0.3"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38"/>
    </row>
    <row r="785" spans="2:25" ht="15.75" customHeight="1" x14ac:dyDescent="0.3"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38"/>
    </row>
    <row r="786" spans="2:25" ht="15.75" customHeight="1" x14ac:dyDescent="0.3"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38"/>
    </row>
    <row r="787" spans="2:25" ht="15.75" customHeight="1" x14ac:dyDescent="0.3"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38"/>
    </row>
    <row r="788" spans="2:25" ht="15.75" customHeight="1" x14ac:dyDescent="0.3"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38"/>
    </row>
    <row r="789" spans="2:25" ht="15.75" customHeight="1" x14ac:dyDescent="0.3"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38"/>
    </row>
    <row r="790" spans="2:25" ht="15.75" customHeight="1" x14ac:dyDescent="0.3"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38"/>
    </row>
    <row r="791" spans="2:25" ht="15.75" customHeight="1" x14ac:dyDescent="0.3"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38"/>
    </row>
    <row r="792" spans="2:25" ht="15.75" customHeight="1" x14ac:dyDescent="0.3"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38"/>
    </row>
    <row r="793" spans="2:25" ht="15.75" customHeight="1" x14ac:dyDescent="0.3"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38"/>
    </row>
    <row r="794" spans="2:25" ht="15.75" customHeight="1" x14ac:dyDescent="0.3"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38"/>
    </row>
    <row r="795" spans="2:25" ht="15.75" customHeight="1" x14ac:dyDescent="0.3"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38"/>
    </row>
    <row r="796" spans="2:25" ht="15.75" customHeight="1" x14ac:dyDescent="0.3"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38"/>
    </row>
    <row r="797" spans="2:25" ht="15.75" customHeight="1" x14ac:dyDescent="0.3"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38"/>
    </row>
    <row r="798" spans="2:25" ht="15.75" customHeight="1" x14ac:dyDescent="0.3"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38"/>
    </row>
    <row r="799" spans="2:25" ht="15.75" customHeight="1" x14ac:dyDescent="0.3"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38"/>
    </row>
    <row r="800" spans="2:25" ht="15.75" customHeight="1" x14ac:dyDescent="0.3"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38"/>
    </row>
    <row r="801" spans="2:25" ht="15.75" customHeight="1" x14ac:dyDescent="0.3"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38"/>
    </row>
    <row r="802" spans="2:25" ht="15.75" customHeight="1" x14ac:dyDescent="0.3"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38"/>
    </row>
    <row r="803" spans="2:25" ht="15.75" customHeight="1" x14ac:dyDescent="0.3"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38"/>
    </row>
    <row r="804" spans="2:25" ht="15.75" customHeight="1" x14ac:dyDescent="0.3"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38"/>
    </row>
    <row r="805" spans="2:25" ht="15.75" customHeight="1" x14ac:dyDescent="0.3"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38"/>
    </row>
    <row r="806" spans="2:25" ht="15.75" customHeight="1" x14ac:dyDescent="0.3"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38"/>
    </row>
    <row r="807" spans="2:25" ht="15.75" customHeight="1" x14ac:dyDescent="0.3"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38"/>
    </row>
    <row r="808" spans="2:25" ht="15.75" customHeight="1" x14ac:dyDescent="0.3"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38"/>
    </row>
    <row r="809" spans="2:25" ht="15.75" customHeight="1" x14ac:dyDescent="0.3"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38"/>
    </row>
    <row r="810" spans="2:25" ht="15.75" customHeight="1" x14ac:dyDescent="0.3"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38"/>
    </row>
    <row r="811" spans="2:25" ht="15.75" customHeight="1" x14ac:dyDescent="0.3"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38"/>
    </row>
    <row r="812" spans="2:25" ht="15.75" customHeight="1" x14ac:dyDescent="0.3"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38"/>
    </row>
    <row r="813" spans="2:25" ht="15.75" customHeight="1" x14ac:dyDescent="0.3"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38"/>
    </row>
    <row r="814" spans="2:25" ht="15.75" customHeight="1" x14ac:dyDescent="0.3"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38"/>
    </row>
    <row r="815" spans="2:25" ht="15.75" customHeight="1" x14ac:dyDescent="0.3"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38"/>
    </row>
    <row r="816" spans="2:25" ht="15.75" customHeight="1" x14ac:dyDescent="0.3"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38"/>
    </row>
    <row r="817" spans="2:25" ht="15.75" customHeight="1" x14ac:dyDescent="0.3"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38"/>
    </row>
    <row r="818" spans="2:25" ht="15.75" customHeight="1" x14ac:dyDescent="0.3"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38"/>
    </row>
    <row r="819" spans="2:25" ht="15.75" customHeight="1" x14ac:dyDescent="0.3"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38"/>
    </row>
    <row r="820" spans="2:25" ht="15.75" customHeight="1" x14ac:dyDescent="0.3"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38"/>
    </row>
    <row r="821" spans="2:25" ht="15.75" customHeight="1" x14ac:dyDescent="0.3"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38"/>
    </row>
    <row r="822" spans="2:25" ht="15.75" customHeight="1" x14ac:dyDescent="0.3"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38"/>
    </row>
    <row r="823" spans="2:25" ht="15.75" customHeight="1" x14ac:dyDescent="0.3"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38"/>
    </row>
    <row r="824" spans="2:25" ht="15.75" customHeight="1" x14ac:dyDescent="0.3"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38"/>
    </row>
    <row r="825" spans="2:25" ht="15.75" customHeight="1" x14ac:dyDescent="0.3"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38"/>
    </row>
    <row r="826" spans="2:25" ht="15.75" customHeight="1" x14ac:dyDescent="0.3"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38"/>
    </row>
    <row r="827" spans="2:25" ht="15.75" customHeight="1" x14ac:dyDescent="0.3"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38"/>
    </row>
    <row r="828" spans="2:25" ht="15.75" customHeight="1" x14ac:dyDescent="0.3"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38"/>
    </row>
    <row r="829" spans="2:25" ht="15.75" customHeight="1" x14ac:dyDescent="0.3"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38"/>
    </row>
    <row r="830" spans="2:25" ht="15.75" customHeight="1" x14ac:dyDescent="0.3"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38"/>
    </row>
    <row r="831" spans="2:25" ht="15.75" customHeight="1" x14ac:dyDescent="0.3"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38"/>
    </row>
    <row r="832" spans="2:25" ht="15.75" customHeight="1" x14ac:dyDescent="0.3"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38"/>
    </row>
    <row r="833" spans="2:25" ht="15.75" customHeight="1" x14ac:dyDescent="0.3"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38"/>
    </row>
    <row r="834" spans="2:25" ht="15.75" customHeight="1" x14ac:dyDescent="0.3"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38"/>
    </row>
    <row r="835" spans="2:25" ht="15.75" customHeight="1" x14ac:dyDescent="0.3"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38"/>
    </row>
    <row r="836" spans="2:25" ht="15.75" customHeight="1" x14ac:dyDescent="0.3"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38"/>
    </row>
    <row r="837" spans="2:25" ht="15.75" customHeight="1" x14ac:dyDescent="0.3"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38"/>
    </row>
    <row r="838" spans="2:25" ht="15.75" customHeight="1" x14ac:dyDescent="0.3"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38"/>
    </row>
    <row r="839" spans="2:25" ht="15.75" customHeight="1" x14ac:dyDescent="0.3"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38"/>
    </row>
    <row r="840" spans="2:25" ht="15.75" customHeight="1" x14ac:dyDescent="0.3"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38"/>
    </row>
    <row r="841" spans="2:25" ht="15.75" customHeight="1" x14ac:dyDescent="0.3"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38"/>
    </row>
    <row r="842" spans="2:25" ht="15.75" customHeight="1" x14ac:dyDescent="0.3"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38"/>
    </row>
    <row r="843" spans="2:25" ht="15.75" customHeight="1" x14ac:dyDescent="0.3"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38"/>
    </row>
    <row r="844" spans="2:25" ht="15.75" customHeight="1" x14ac:dyDescent="0.3"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38"/>
    </row>
    <row r="845" spans="2:25" ht="15.75" customHeight="1" x14ac:dyDescent="0.3"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38"/>
    </row>
    <row r="846" spans="2:25" ht="15.75" customHeight="1" x14ac:dyDescent="0.3"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38"/>
    </row>
    <row r="847" spans="2:25" ht="15.75" customHeight="1" x14ac:dyDescent="0.3"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38"/>
    </row>
    <row r="848" spans="2:25" ht="15.75" customHeight="1" x14ac:dyDescent="0.3"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38"/>
    </row>
    <row r="849" spans="2:25" ht="15.75" customHeight="1" x14ac:dyDescent="0.3"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38"/>
    </row>
    <row r="850" spans="2:25" ht="15.75" customHeight="1" x14ac:dyDescent="0.3"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38"/>
    </row>
    <row r="851" spans="2:25" ht="15.75" customHeight="1" x14ac:dyDescent="0.3"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38"/>
    </row>
    <row r="852" spans="2:25" ht="15.75" customHeight="1" x14ac:dyDescent="0.3"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38"/>
    </row>
    <row r="853" spans="2:25" ht="15.75" customHeight="1" x14ac:dyDescent="0.3"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38"/>
    </row>
    <row r="854" spans="2:25" ht="15.75" customHeight="1" x14ac:dyDescent="0.3"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38"/>
    </row>
    <row r="855" spans="2:25" ht="15.75" customHeight="1" x14ac:dyDescent="0.3"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38"/>
    </row>
    <row r="856" spans="2:25" ht="15.75" customHeight="1" x14ac:dyDescent="0.3"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38"/>
    </row>
    <row r="857" spans="2:25" ht="15.75" customHeight="1" x14ac:dyDescent="0.3"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38"/>
    </row>
    <row r="858" spans="2:25" ht="15.75" customHeight="1" x14ac:dyDescent="0.3"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38"/>
    </row>
    <row r="859" spans="2:25" ht="15.75" customHeight="1" x14ac:dyDescent="0.3"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38"/>
    </row>
    <row r="860" spans="2:25" ht="15.75" customHeight="1" x14ac:dyDescent="0.3"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38"/>
    </row>
    <row r="861" spans="2:25" ht="15.75" customHeight="1" x14ac:dyDescent="0.3"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38"/>
    </row>
    <row r="862" spans="2:25" ht="15.75" customHeight="1" x14ac:dyDescent="0.3"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38"/>
    </row>
    <row r="863" spans="2:25" ht="15.75" customHeight="1" x14ac:dyDescent="0.3"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38"/>
    </row>
    <row r="864" spans="2:25" ht="15.75" customHeight="1" x14ac:dyDescent="0.3"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38"/>
    </row>
    <row r="865" spans="2:25" ht="15.75" customHeight="1" x14ac:dyDescent="0.3"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38"/>
    </row>
    <row r="866" spans="2:25" ht="15.75" customHeight="1" x14ac:dyDescent="0.3"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38"/>
    </row>
    <row r="867" spans="2:25" ht="15.75" customHeight="1" x14ac:dyDescent="0.3"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38"/>
    </row>
    <row r="868" spans="2:25" ht="15.75" customHeight="1" x14ac:dyDescent="0.3"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38"/>
    </row>
    <row r="869" spans="2:25" ht="15.75" customHeight="1" x14ac:dyDescent="0.3"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38"/>
    </row>
    <row r="870" spans="2:25" ht="15.75" customHeight="1" x14ac:dyDescent="0.3"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38"/>
    </row>
    <row r="871" spans="2:25" ht="15.75" customHeight="1" x14ac:dyDescent="0.3"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38"/>
    </row>
    <row r="872" spans="2:25" ht="15.75" customHeight="1" x14ac:dyDescent="0.3"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38"/>
    </row>
    <row r="873" spans="2:25" ht="15.75" customHeight="1" x14ac:dyDescent="0.3"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38"/>
    </row>
    <row r="874" spans="2:25" ht="15.75" customHeight="1" x14ac:dyDescent="0.3"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38"/>
    </row>
    <row r="875" spans="2:25" ht="15.75" customHeight="1" x14ac:dyDescent="0.3"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38"/>
    </row>
    <row r="876" spans="2:25" ht="15.75" customHeight="1" x14ac:dyDescent="0.3"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38"/>
    </row>
    <row r="877" spans="2:25" ht="15.75" customHeight="1" x14ac:dyDescent="0.3"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38"/>
    </row>
    <row r="878" spans="2:25" ht="15.75" customHeight="1" x14ac:dyDescent="0.3"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38"/>
    </row>
    <row r="879" spans="2:25" ht="15.75" customHeight="1" x14ac:dyDescent="0.3"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38"/>
    </row>
    <row r="880" spans="2:25" ht="15.75" customHeight="1" x14ac:dyDescent="0.3"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38"/>
    </row>
    <row r="881" spans="2:25" ht="15.75" customHeight="1" x14ac:dyDescent="0.3"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38"/>
    </row>
    <row r="882" spans="2:25" ht="15.75" customHeight="1" x14ac:dyDescent="0.3"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38"/>
    </row>
    <row r="883" spans="2:25" ht="15.75" customHeight="1" x14ac:dyDescent="0.3"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38"/>
    </row>
    <row r="884" spans="2:25" ht="15.75" customHeight="1" x14ac:dyDescent="0.3"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38"/>
    </row>
    <row r="885" spans="2:25" ht="15.75" customHeight="1" x14ac:dyDescent="0.3"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38"/>
    </row>
    <row r="886" spans="2:25" ht="15.75" customHeight="1" x14ac:dyDescent="0.3"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38"/>
    </row>
    <row r="887" spans="2:25" ht="15.75" customHeight="1" x14ac:dyDescent="0.3"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38"/>
    </row>
    <row r="888" spans="2:25" ht="15.75" customHeight="1" x14ac:dyDescent="0.3"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38"/>
    </row>
    <row r="889" spans="2:25" ht="15.75" customHeight="1" x14ac:dyDescent="0.3"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38"/>
    </row>
    <row r="890" spans="2:25" ht="15.75" customHeight="1" x14ac:dyDescent="0.3"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38"/>
    </row>
    <row r="891" spans="2:25" ht="15.75" customHeight="1" x14ac:dyDescent="0.3"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38"/>
    </row>
    <row r="892" spans="2:25" ht="15.75" customHeight="1" x14ac:dyDescent="0.3"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38"/>
    </row>
    <row r="893" spans="2:25" ht="15.75" customHeight="1" x14ac:dyDescent="0.3"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38"/>
    </row>
    <row r="894" spans="2:25" ht="15.75" customHeight="1" x14ac:dyDescent="0.3"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38"/>
    </row>
    <row r="895" spans="2:25" ht="15.75" customHeight="1" x14ac:dyDescent="0.3"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38"/>
    </row>
    <row r="896" spans="2:25" ht="15.75" customHeight="1" x14ac:dyDescent="0.3"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38"/>
    </row>
    <row r="897" spans="2:25" ht="15.75" customHeight="1" x14ac:dyDescent="0.3"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38"/>
    </row>
    <row r="898" spans="2:25" ht="15.75" customHeight="1" x14ac:dyDescent="0.3"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38"/>
    </row>
    <row r="899" spans="2:25" ht="15.75" customHeight="1" x14ac:dyDescent="0.3"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38"/>
    </row>
    <row r="900" spans="2:25" ht="15.75" customHeight="1" x14ac:dyDescent="0.3"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38"/>
    </row>
    <row r="901" spans="2:25" ht="15.75" customHeight="1" x14ac:dyDescent="0.3"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38"/>
    </row>
    <row r="902" spans="2:25" ht="15.75" customHeight="1" x14ac:dyDescent="0.3"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38"/>
    </row>
    <row r="903" spans="2:25" ht="15.75" customHeight="1" x14ac:dyDescent="0.3"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38"/>
    </row>
    <row r="904" spans="2:25" ht="15.75" customHeight="1" x14ac:dyDescent="0.3"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38"/>
    </row>
    <row r="905" spans="2:25" ht="15.75" customHeight="1" x14ac:dyDescent="0.3"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38"/>
    </row>
    <row r="906" spans="2:25" ht="15.75" customHeight="1" x14ac:dyDescent="0.3"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38"/>
    </row>
    <row r="907" spans="2:25" ht="15.75" customHeight="1" x14ac:dyDescent="0.3"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38"/>
    </row>
    <row r="908" spans="2:25" ht="15.75" customHeight="1" x14ac:dyDescent="0.3"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38"/>
    </row>
    <row r="909" spans="2:25" ht="15.75" customHeight="1" x14ac:dyDescent="0.3"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38"/>
    </row>
    <row r="910" spans="2:25" ht="15.75" customHeight="1" x14ac:dyDescent="0.3"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38"/>
    </row>
    <row r="911" spans="2:25" ht="15.75" customHeight="1" x14ac:dyDescent="0.3"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38"/>
    </row>
    <row r="912" spans="2:25" ht="15.75" customHeight="1" x14ac:dyDescent="0.3"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38"/>
    </row>
    <row r="913" spans="2:25" ht="15.75" customHeight="1" x14ac:dyDescent="0.3"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38"/>
    </row>
    <row r="914" spans="2:25" ht="15.75" customHeight="1" x14ac:dyDescent="0.3"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38"/>
    </row>
    <row r="915" spans="2:25" ht="15.75" customHeight="1" x14ac:dyDescent="0.3"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38"/>
    </row>
    <row r="916" spans="2:25" ht="15.75" customHeight="1" x14ac:dyDescent="0.3"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38"/>
    </row>
    <row r="917" spans="2:25" ht="15.75" customHeight="1" x14ac:dyDescent="0.3"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38"/>
    </row>
    <row r="918" spans="2:25" ht="15.75" customHeight="1" x14ac:dyDescent="0.3"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38"/>
    </row>
    <row r="919" spans="2:25" ht="15.75" customHeight="1" x14ac:dyDescent="0.3"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38"/>
    </row>
    <row r="920" spans="2:25" ht="15.75" customHeight="1" x14ac:dyDescent="0.3"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38"/>
    </row>
    <row r="921" spans="2:25" ht="15.75" customHeight="1" x14ac:dyDescent="0.3"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38"/>
    </row>
    <row r="922" spans="2:25" ht="15.75" customHeight="1" x14ac:dyDescent="0.3"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38"/>
    </row>
    <row r="923" spans="2:25" ht="15.75" customHeight="1" x14ac:dyDescent="0.3"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38"/>
    </row>
    <row r="924" spans="2:25" ht="15.75" customHeight="1" x14ac:dyDescent="0.3"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38"/>
    </row>
    <row r="925" spans="2:25" ht="15.75" customHeight="1" x14ac:dyDescent="0.3"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38"/>
    </row>
    <row r="926" spans="2:25" ht="15.75" customHeight="1" x14ac:dyDescent="0.3"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38"/>
    </row>
    <row r="927" spans="2:25" ht="15.75" customHeight="1" x14ac:dyDescent="0.3"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38"/>
    </row>
    <row r="928" spans="2:25" ht="15.75" customHeight="1" x14ac:dyDescent="0.3"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38"/>
    </row>
    <row r="929" spans="2:25" ht="15.75" customHeight="1" x14ac:dyDescent="0.3"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38"/>
    </row>
    <row r="930" spans="2:25" ht="15.75" customHeight="1" x14ac:dyDescent="0.3"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38"/>
    </row>
    <row r="931" spans="2:25" ht="15.75" customHeight="1" x14ac:dyDescent="0.3"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38"/>
    </row>
    <row r="932" spans="2:25" ht="15.75" customHeight="1" x14ac:dyDescent="0.3"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38"/>
    </row>
    <row r="933" spans="2:25" ht="15.75" customHeight="1" x14ac:dyDescent="0.3"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38"/>
    </row>
    <row r="934" spans="2:25" ht="15.75" customHeight="1" x14ac:dyDescent="0.3"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38"/>
    </row>
    <row r="935" spans="2:25" ht="15.75" customHeight="1" x14ac:dyDescent="0.3"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38"/>
    </row>
    <row r="936" spans="2:25" ht="15.75" customHeight="1" x14ac:dyDescent="0.3"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38"/>
    </row>
    <row r="937" spans="2:25" ht="15.75" customHeight="1" x14ac:dyDescent="0.3"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38"/>
    </row>
    <row r="938" spans="2:25" ht="15.75" customHeight="1" x14ac:dyDescent="0.3"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38"/>
    </row>
    <row r="939" spans="2:25" ht="15.75" customHeight="1" x14ac:dyDescent="0.3"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38"/>
    </row>
    <row r="940" spans="2:25" ht="15.75" customHeight="1" x14ac:dyDescent="0.3"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38"/>
    </row>
    <row r="941" spans="2:25" ht="15.75" customHeight="1" x14ac:dyDescent="0.3"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38"/>
    </row>
    <row r="942" spans="2:25" ht="15.75" customHeight="1" x14ac:dyDescent="0.3"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38"/>
    </row>
    <row r="943" spans="2:25" ht="15.75" customHeight="1" x14ac:dyDescent="0.3"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38"/>
    </row>
    <row r="944" spans="2:25" ht="15.75" customHeight="1" x14ac:dyDescent="0.3"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38"/>
    </row>
    <row r="945" spans="2:25" ht="15.75" customHeight="1" x14ac:dyDescent="0.3"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38"/>
    </row>
    <row r="946" spans="2:25" ht="15.75" customHeight="1" x14ac:dyDescent="0.3"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38"/>
    </row>
    <row r="947" spans="2:25" ht="15.75" customHeight="1" x14ac:dyDescent="0.3"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38"/>
    </row>
    <row r="948" spans="2:25" ht="15.75" customHeight="1" x14ac:dyDescent="0.3"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38"/>
    </row>
    <row r="949" spans="2:25" ht="15.75" customHeight="1" x14ac:dyDescent="0.3"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38"/>
    </row>
    <row r="950" spans="2:25" ht="15.75" customHeight="1" x14ac:dyDescent="0.3"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38"/>
    </row>
    <row r="951" spans="2:25" ht="15.75" customHeight="1" x14ac:dyDescent="0.3"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38"/>
    </row>
    <row r="952" spans="2:25" ht="15.75" customHeight="1" x14ac:dyDescent="0.3"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38"/>
    </row>
    <row r="953" spans="2:25" ht="15.75" customHeight="1" x14ac:dyDescent="0.3"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38"/>
    </row>
    <row r="954" spans="2:25" ht="15.75" customHeight="1" x14ac:dyDescent="0.3"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38"/>
    </row>
    <row r="955" spans="2:25" ht="15.75" customHeight="1" x14ac:dyDescent="0.3"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38"/>
    </row>
    <row r="956" spans="2:25" ht="15.75" customHeight="1" x14ac:dyDescent="0.3"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38"/>
    </row>
    <row r="957" spans="2:25" ht="15.75" customHeight="1" x14ac:dyDescent="0.3"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38"/>
    </row>
    <row r="958" spans="2:25" ht="15.75" customHeight="1" x14ac:dyDescent="0.3"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38"/>
    </row>
    <row r="959" spans="2:25" ht="15.75" customHeight="1" x14ac:dyDescent="0.3"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38"/>
    </row>
    <row r="960" spans="2:25" ht="15.75" customHeight="1" x14ac:dyDescent="0.3"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38"/>
    </row>
    <row r="961" spans="2:25" ht="15.75" customHeight="1" x14ac:dyDescent="0.3"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38"/>
    </row>
    <row r="962" spans="2:25" ht="15.75" customHeight="1" x14ac:dyDescent="0.3"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38"/>
    </row>
    <row r="963" spans="2:25" ht="15.75" customHeight="1" x14ac:dyDescent="0.3"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38"/>
    </row>
    <row r="964" spans="2:25" ht="15.75" customHeight="1" x14ac:dyDescent="0.3"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38"/>
    </row>
    <row r="965" spans="2:25" ht="15.75" customHeight="1" x14ac:dyDescent="0.3"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38"/>
    </row>
    <row r="966" spans="2:25" ht="15.75" customHeight="1" x14ac:dyDescent="0.3"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38"/>
    </row>
    <row r="967" spans="2:25" ht="15.75" customHeight="1" x14ac:dyDescent="0.3"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38"/>
    </row>
    <row r="968" spans="2:25" ht="15.75" customHeight="1" x14ac:dyDescent="0.3"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38"/>
    </row>
    <row r="969" spans="2:25" ht="15.75" customHeight="1" x14ac:dyDescent="0.3"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38"/>
    </row>
    <row r="970" spans="2:25" ht="15.75" customHeight="1" x14ac:dyDescent="0.3"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38"/>
    </row>
    <row r="971" spans="2:25" ht="15.75" customHeight="1" x14ac:dyDescent="0.3"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38"/>
    </row>
    <row r="972" spans="2:25" ht="15.75" customHeight="1" x14ac:dyDescent="0.3"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38"/>
    </row>
    <row r="973" spans="2:25" ht="15.75" customHeight="1" x14ac:dyDescent="0.3"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38"/>
    </row>
    <row r="974" spans="2:25" ht="15.75" customHeight="1" x14ac:dyDescent="0.3"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38"/>
    </row>
    <row r="975" spans="2:25" ht="15.75" customHeight="1" x14ac:dyDescent="0.3"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38"/>
    </row>
    <row r="976" spans="2:25" ht="15.75" customHeight="1" x14ac:dyDescent="0.3"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38"/>
    </row>
    <row r="977" spans="2:25" ht="15.75" customHeight="1" x14ac:dyDescent="0.3"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38"/>
    </row>
    <row r="978" spans="2:25" ht="15.75" customHeight="1" x14ac:dyDescent="0.3"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38"/>
    </row>
    <row r="979" spans="2:25" ht="15.75" customHeight="1" x14ac:dyDescent="0.3"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38"/>
    </row>
    <row r="980" spans="2:25" ht="15.75" customHeight="1" x14ac:dyDescent="0.3"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38"/>
    </row>
    <row r="981" spans="2:25" ht="15.75" customHeight="1" x14ac:dyDescent="0.3"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38"/>
    </row>
    <row r="982" spans="2:25" ht="15.75" customHeight="1" x14ac:dyDescent="0.3"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38"/>
    </row>
    <row r="983" spans="2:25" ht="15.75" customHeight="1" x14ac:dyDescent="0.3"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38"/>
    </row>
    <row r="984" spans="2:25" ht="15.75" customHeight="1" x14ac:dyDescent="0.3"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38"/>
    </row>
    <row r="985" spans="2:25" ht="15.75" customHeight="1" x14ac:dyDescent="0.3"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38"/>
    </row>
    <row r="986" spans="2:25" ht="15.75" customHeight="1" x14ac:dyDescent="0.3"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38"/>
    </row>
    <row r="987" spans="2:25" ht="15.75" customHeight="1" x14ac:dyDescent="0.3"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38"/>
    </row>
    <row r="988" spans="2:25" ht="15.75" customHeight="1" x14ac:dyDescent="0.3"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38"/>
    </row>
    <row r="989" spans="2:25" ht="15.75" customHeight="1" x14ac:dyDescent="0.3"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38"/>
    </row>
    <row r="990" spans="2:25" ht="15.75" customHeight="1" x14ac:dyDescent="0.3"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38"/>
    </row>
    <row r="991" spans="2:25" ht="15.75" customHeight="1" x14ac:dyDescent="0.3"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38"/>
    </row>
    <row r="992" spans="2:25" ht="15.75" customHeight="1" x14ac:dyDescent="0.3"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38"/>
    </row>
    <row r="993" spans="2:25" ht="15.75" customHeight="1" x14ac:dyDescent="0.3"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38"/>
    </row>
    <row r="994" spans="2:25" ht="15.75" customHeight="1" x14ac:dyDescent="0.3"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38"/>
    </row>
    <row r="995" spans="2:25" ht="15.75" customHeight="1" x14ac:dyDescent="0.3"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38"/>
    </row>
    <row r="996" spans="2:25" ht="15.75" customHeight="1" x14ac:dyDescent="0.3"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38"/>
    </row>
    <row r="997" spans="2:25" ht="15.75" customHeight="1" x14ac:dyDescent="0.3"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38"/>
    </row>
    <row r="998" spans="2:25" ht="15.75" customHeight="1" x14ac:dyDescent="0.3"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38"/>
    </row>
    <row r="999" spans="2:25" ht="15.75" customHeight="1" x14ac:dyDescent="0.3"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38"/>
    </row>
  </sheetData>
  <mergeCells count="7">
    <mergeCell ref="C399:N399"/>
    <mergeCell ref="C400:D400"/>
    <mergeCell ref="C401:D401"/>
    <mergeCell ref="C2:N2"/>
    <mergeCell ref="C3:N3"/>
    <mergeCell ref="C355:N355"/>
    <mergeCell ref="C311:D31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B2AA3-52E0-434C-B4D1-8625066AED39}">
  <dimension ref="B1:Y999"/>
  <sheetViews>
    <sheetView workbookViewId="0">
      <pane xSplit="2" ySplit="5" topLeftCell="C276" activePane="bottomRight" state="frozen"/>
      <selection activeCell="I282" sqref="I282"/>
      <selection pane="topRight" activeCell="I282" sqref="I282"/>
      <selection pane="bottomLeft" activeCell="I282" sqref="I282"/>
      <selection pane="bottomRight" activeCell="I282" sqref="I282"/>
    </sheetView>
  </sheetViews>
  <sheetFormatPr baseColWidth="10" defaultColWidth="12.6640625" defaultRowHeight="14.4" x14ac:dyDescent="0.3"/>
  <cols>
    <col min="1" max="1" width="10.6640625" customWidth="1"/>
    <col min="2" max="2" width="6.77734375" customWidth="1"/>
    <col min="3" max="3" width="29.88671875" customWidth="1"/>
    <col min="4" max="4" width="10.77734375" customWidth="1"/>
    <col min="5" max="5" width="28" customWidth="1"/>
    <col min="6" max="15" width="11.88671875" customWidth="1"/>
    <col min="16" max="23" width="11.6640625" customWidth="1"/>
    <col min="24" max="25" width="11.33203125" customWidth="1"/>
    <col min="26" max="26" width="10.6640625" customWidth="1"/>
  </cols>
  <sheetData>
    <row r="1" spans="2:25" ht="15" thickBot="1" x14ac:dyDescent="0.35">
      <c r="B1" s="2"/>
      <c r="C1" s="4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8"/>
    </row>
    <row r="2" spans="2:25" ht="35.4" thickBot="1" x14ac:dyDescent="0.35">
      <c r="B2" s="2"/>
      <c r="C2" s="208" t="s">
        <v>3</v>
      </c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7"/>
      <c r="O2" s="2"/>
    </row>
    <row r="3" spans="2:25" ht="29.4" thickBot="1" x14ac:dyDescent="0.35">
      <c r="B3" s="2"/>
      <c r="C3" s="209" t="s">
        <v>4</v>
      </c>
      <c r="D3" s="197"/>
      <c r="E3" s="197"/>
      <c r="F3" s="197"/>
      <c r="G3" s="197"/>
      <c r="H3" s="197"/>
      <c r="I3" s="197"/>
      <c r="J3" s="197"/>
      <c r="K3" s="197"/>
      <c r="L3" s="197"/>
      <c r="M3" s="197"/>
      <c r="N3" s="198"/>
      <c r="O3" s="39"/>
    </row>
    <row r="4" spans="2:25" ht="21" thickBot="1" x14ac:dyDescent="0.75">
      <c r="B4" s="38"/>
      <c r="C4" s="40" t="s">
        <v>6</v>
      </c>
      <c r="D4" s="41"/>
      <c r="E4" s="41"/>
      <c r="F4" s="42">
        <v>1</v>
      </c>
      <c r="G4" s="42">
        <v>2</v>
      </c>
      <c r="H4" s="42">
        <v>3</v>
      </c>
      <c r="I4" s="42">
        <v>4</v>
      </c>
      <c r="J4" s="42">
        <v>5</v>
      </c>
      <c r="K4" s="42">
        <v>6</v>
      </c>
      <c r="L4" s="42">
        <v>7</v>
      </c>
      <c r="M4" s="42">
        <v>8</v>
      </c>
      <c r="N4" s="43">
        <v>9</v>
      </c>
      <c r="O4" s="44"/>
    </row>
    <row r="5" spans="2:25" ht="21" thickBot="1" x14ac:dyDescent="0.35">
      <c r="B5" s="2"/>
      <c r="C5" s="45" t="s">
        <v>70</v>
      </c>
      <c r="D5" s="46" t="s">
        <v>71</v>
      </c>
      <c r="E5" s="47" t="s">
        <v>72</v>
      </c>
      <c r="F5" s="48" t="s">
        <v>10</v>
      </c>
      <c r="G5" s="48" t="s">
        <v>11</v>
      </c>
      <c r="H5" s="48" t="s">
        <v>12</v>
      </c>
      <c r="I5" s="49" t="s">
        <v>13</v>
      </c>
      <c r="J5" s="49" t="s">
        <v>14</v>
      </c>
      <c r="K5" s="50" t="s">
        <v>15</v>
      </c>
      <c r="L5" s="50" t="s">
        <v>16</v>
      </c>
      <c r="M5" s="154" t="s">
        <v>17</v>
      </c>
      <c r="N5" s="155" t="s">
        <v>18</v>
      </c>
      <c r="O5" s="52"/>
    </row>
    <row r="6" spans="2:25" ht="20.399999999999999" x14ac:dyDescent="0.3">
      <c r="B6" s="2"/>
      <c r="C6" s="53" t="s">
        <v>74</v>
      </c>
      <c r="D6" s="54" t="s">
        <v>75</v>
      </c>
      <c r="E6" s="55" t="s">
        <v>32</v>
      </c>
      <c r="F6" s="56">
        <f>+'COMUNAS - HOME DELIVERY 2026'!F6*1.1</f>
        <v>3328.4064000000003</v>
      </c>
      <c r="G6" s="57">
        <f>+'COMUNAS - HOME DELIVERY 2026'!G6*1.1</f>
        <v>3452.1432</v>
      </c>
      <c r="H6" s="57">
        <f>+'COMUNAS - HOME DELIVERY 2026'!H6*1.1</f>
        <v>3674.6424000000006</v>
      </c>
      <c r="I6" s="57">
        <f>+'COMUNAS - HOME DELIVERY 2026'!I6*1.1</f>
        <v>4000.4448000000002</v>
      </c>
      <c r="J6" s="57">
        <f>+'COMUNAS - HOME DELIVERY 2026'!J6*1.1</f>
        <v>4632.7512000000006</v>
      </c>
      <c r="K6" s="57">
        <f>+'COMUNAS - HOME DELIVERY 2026'!K6*1.1</f>
        <v>5039.1527999999998</v>
      </c>
      <c r="L6" s="57">
        <f>+'COMUNAS - HOME DELIVERY 2026'!L6*1.1</f>
        <v>5899.6344000000008</v>
      </c>
      <c r="M6" s="58">
        <f>+'COMUNAS - HOME DELIVERY 2026'!M6*1.1</f>
        <v>340.56000000000006</v>
      </c>
      <c r="N6" s="59">
        <f>+'COMUNAS - HOME DELIVERY 2026'!N6*1.1</f>
        <v>259.96080000000001</v>
      </c>
      <c r="O6" s="60"/>
    </row>
    <row r="7" spans="2:25" ht="20.399999999999999" x14ac:dyDescent="0.3">
      <c r="B7" s="2"/>
      <c r="C7" s="61" t="s">
        <v>74</v>
      </c>
      <c r="D7" s="62" t="s">
        <v>76</v>
      </c>
      <c r="E7" s="63" t="s">
        <v>77</v>
      </c>
      <c r="F7" s="64">
        <f>+'COMUNAS - HOME DELIVERY 2026'!F7*1.1</f>
        <v>3328.4064000000003</v>
      </c>
      <c r="G7" s="65">
        <f>+'COMUNAS - HOME DELIVERY 2026'!G7*1.1</f>
        <v>3452.1432</v>
      </c>
      <c r="H7" s="65">
        <f>+'COMUNAS - HOME DELIVERY 2026'!H7*1.1</f>
        <v>3674.6424000000006</v>
      </c>
      <c r="I7" s="65">
        <f>+'COMUNAS - HOME DELIVERY 2026'!I7*1.1</f>
        <v>4000.4448000000002</v>
      </c>
      <c r="J7" s="65">
        <f>+'COMUNAS - HOME DELIVERY 2026'!J7*1.1</f>
        <v>4632.7512000000006</v>
      </c>
      <c r="K7" s="65">
        <f>+'COMUNAS - HOME DELIVERY 2026'!K7*1.1</f>
        <v>5039.1527999999998</v>
      </c>
      <c r="L7" s="65">
        <f>+'COMUNAS - HOME DELIVERY 2026'!L7*1.1</f>
        <v>5899.6344000000008</v>
      </c>
      <c r="M7" s="66">
        <f>+'COMUNAS - HOME DELIVERY 2026'!M7*1.1</f>
        <v>340.56000000000006</v>
      </c>
      <c r="N7" s="67">
        <f>+'COMUNAS - HOME DELIVERY 2026'!N7*1.1</f>
        <v>259.96080000000001</v>
      </c>
      <c r="O7" s="60"/>
    </row>
    <row r="8" spans="2:25" ht="20.399999999999999" x14ac:dyDescent="0.3">
      <c r="B8" s="2"/>
      <c r="C8" s="61" t="s">
        <v>74</v>
      </c>
      <c r="D8" s="62" t="s">
        <v>78</v>
      </c>
      <c r="E8" s="63" t="s">
        <v>79</v>
      </c>
      <c r="F8" s="64">
        <f>+'COMUNAS - HOME DELIVERY 2026'!F8*1.1</f>
        <v>3328.4064000000003</v>
      </c>
      <c r="G8" s="65">
        <f>+'COMUNAS - HOME DELIVERY 2026'!G8*1.1</f>
        <v>3452.1432</v>
      </c>
      <c r="H8" s="65">
        <f>+'COMUNAS - HOME DELIVERY 2026'!H8*1.1</f>
        <v>3674.6424000000006</v>
      </c>
      <c r="I8" s="65">
        <f>+'COMUNAS - HOME DELIVERY 2026'!I8*1.1</f>
        <v>4000.4448000000002</v>
      </c>
      <c r="J8" s="65">
        <f>+'COMUNAS - HOME DELIVERY 2026'!J8*1.1</f>
        <v>4632.7512000000006</v>
      </c>
      <c r="K8" s="65">
        <f>+'COMUNAS - HOME DELIVERY 2026'!K8*1.1</f>
        <v>5039.1527999999998</v>
      </c>
      <c r="L8" s="65">
        <f>+'COMUNAS - HOME DELIVERY 2026'!L8*1.1</f>
        <v>5899.6344000000008</v>
      </c>
      <c r="M8" s="66">
        <f>+'COMUNAS - HOME DELIVERY 2026'!M8*1.1</f>
        <v>340.56000000000006</v>
      </c>
      <c r="N8" s="67">
        <f>+'COMUNAS - HOME DELIVERY 2026'!N8*1.1</f>
        <v>259.96080000000001</v>
      </c>
      <c r="O8" s="60"/>
    </row>
    <row r="9" spans="2:25" ht="20.399999999999999" x14ac:dyDescent="0.3">
      <c r="B9" s="2"/>
      <c r="C9" s="61" t="s">
        <v>74</v>
      </c>
      <c r="D9" s="62" t="s">
        <v>80</v>
      </c>
      <c r="E9" s="63" t="s">
        <v>81</v>
      </c>
      <c r="F9" s="64">
        <f>+'COMUNAS - HOME DELIVERY 2026'!F9*1.1</f>
        <v>3328.4064000000003</v>
      </c>
      <c r="G9" s="65">
        <f>+'COMUNAS - HOME DELIVERY 2026'!G9*1.1</f>
        <v>3452.1432</v>
      </c>
      <c r="H9" s="65">
        <f>+'COMUNAS - HOME DELIVERY 2026'!H9*1.1</f>
        <v>3674.6424000000006</v>
      </c>
      <c r="I9" s="65">
        <f>+'COMUNAS - HOME DELIVERY 2026'!I9*1.1</f>
        <v>4000.4448000000002</v>
      </c>
      <c r="J9" s="65">
        <f>+'COMUNAS - HOME DELIVERY 2026'!J9*1.1</f>
        <v>4632.7512000000006</v>
      </c>
      <c r="K9" s="65">
        <f>+'COMUNAS - HOME DELIVERY 2026'!K9*1.1</f>
        <v>5039.1527999999998</v>
      </c>
      <c r="L9" s="65">
        <f>+'COMUNAS - HOME DELIVERY 2026'!L9*1.1</f>
        <v>5899.6344000000008</v>
      </c>
      <c r="M9" s="66">
        <f>+'COMUNAS - HOME DELIVERY 2026'!M9*1.1</f>
        <v>340.56000000000006</v>
      </c>
      <c r="N9" s="67">
        <f>+'COMUNAS - HOME DELIVERY 2026'!N9*1.1</f>
        <v>259.96080000000001</v>
      </c>
      <c r="O9" s="60"/>
    </row>
    <row r="10" spans="2:25" ht="20.399999999999999" x14ac:dyDescent="0.3">
      <c r="B10" s="2"/>
      <c r="C10" s="61" t="s">
        <v>74</v>
      </c>
      <c r="D10" s="62" t="s">
        <v>82</v>
      </c>
      <c r="E10" s="63" t="s">
        <v>83</v>
      </c>
      <c r="F10" s="64">
        <f>+'COMUNAS - HOME DELIVERY 2026'!F10*1.1</f>
        <v>3328.4064000000003</v>
      </c>
      <c r="G10" s="65">
        <f>+'COMUNAS - HOME DELIVERY 2026'!G10*1.1</f>
        <v>3452.1432</v>
      </c>
      <c r="H10" s="65">
        <f>+'COMUNAS - HOME DELIVERY 2026'!H10*1.1</f>
        <v>3674.6424000000006</v>
      </c>
      <c r="I10" s="65">
        <f>+'COMUNAS - HOME DELIVERY 2026'!I10*1.1</f>
        <v>4000.4448000000002</v>
      </c>
      <c r="J10" s="65">
        <f>+'COMUNAS - HOME DELIVERY 2026'!J10*1.1</f>
        <v>4632.7512000000006</v>
      </c>
      <c r="K10" s="65">
        <f>+'COMUNAS - HOME DELIVERY 2026'!K10*1.1</f>
        <v>5039.1527999999998</v>
      </c>
      <c r="L10" s="65">
        <f>+'COMUNAS - HOME DELIVERY 2026'!L10*1.1</f>
        <v>5899.6344000000008</v>
      </c>
      <c r="M10" s="66">
        <f>+'COMUNAS - HOME DELIVERY 2026'!M10*1.1</f>
        <v>340.56000000000006</v>
      </c>
      <c r="N10" s="67">
        <f>+'COMUNAS - HOME DELIVERY 2026'!N10*1.1</f>
        <v>259.96080000000001</v>
      </c>
      <c r="O10" s="60"/>
    </row>
    <row r="11" spans="2:25" ht="20.399999999999999" x14ac:dyDescent="0.3">
      <c r="B11" s="2"/>
      <c r="C11" s="61" t="s">
        <v>74</v>
      </c>
      <c r="D11" s="62" t="s">
        <v>84</v>
      </c>
      <c r="E11" s="63" t="s">
        <v>85</v>
      </c>
      <c r="F11" s="64">
        <f>+'COMUNAS - HOME DELIVERY 2026'!F11*1.1</f>
        <v>3328.4064000000003</v>
      </c>
      <c r="G11" s="65">
        <f>+'COMUNAS - HOME DELIVERY 2026'!G11*1.1</f>
        <v>3452.1432</v>
      </c>
      <c r="H11" s="65">
        <f>+'COMUNAS - HOME DELIVERY 2026'!H11*1.1</f>
        <v>3674.6424000000006</v>
      </c>
      <c r="I11" s="65">
        <f>+'COMUNAS - HOME DELIVERY 2026'!I11*1.1</f>
        <v>4000.4448000000002</v>
      </c>
      <c r="J11" s="65">
        <f>+'COMUNAS - HOME DELIVERY 2026'!J11*1.1</f>
        <v>4632.7512000000006</v>
      </c>
      <c r="K11" s="65">
        <f>+'COMUNAS - HOME DELIVERY 2026'!K11*1.1</f>
        <v>5039.1527999999998</v>
      </c>
      <c r="L11" s="65">
        <f>+'COMUNAS - HOME DELIVERY 2026'!L11*1.1</f>
        <v>5899.6344000000008</v>
      </c>
      <c r="M11" s="66">
        <f>+'COMUNAS - HOME DELIVERY 2026'!M11*1.1</f>
        <v>340.56000000000006</v>
      </c>
      <c r="N11" s="67">
        <f>+'COMUNAS - HOME DELIVERY 2026'!N11*1.1</f>
        <v>259.96080000000001</v>
      </c>
      <c r="O11" s="60"/>
    </row>
    <row r="12" spans="2:25" ht="20.399999999999999" x14ac:dyDescent="0.3">
      <c r="B12" s="2"/>
      <c r="C12" s="61" t="s">
        <v>74</v>
      </c>
      <c r="D12" s="62" t="s">
        <v>86</v>
      </c>
      <c r="E12" s="63" t="s">
        <v>87</v>
      </c>
      <c r="F12" s="64">
        <f>+'COMUNAS - HOME DELIVERY 2026'!F12*1.1</f>
        <v>3328.4064000000003</v>
      </c>
      <c r="G12" s="65">
        <f>+'COMUNAS - HOME DELIVERY 2026'!G12*1.1</f>
        <v>3452.1432</v>
      </c>
      <c r="H12" s="65">
        <f>+'COMUNAS - HOME DELIVERY 2026'!H12*1.1</f>
        <v>3674.6424000000006</v>
      </c>
      <c r="I12" s="65">
        <f>+'COMUNAS - HOME DELIVERY 2026'!I12*1.1</f>
        <v>4000.4448000000002</v>
      </c>
      <c r="J12" s="65">
        <f>+'COMUNAS - HOME DELIVERY 2026'!J12*1.1</f>
        <v>4632.7512000000006</v>
      </c>
      <c r="K12" s="65">
        <f>+'COMUNAS - HOME DELIVERY 2026'!K12*1.1</f>
        <v>5039.1527999999998</v>
      </c>
      <c r="L12" s="65">
        <f>+'COMUNAS - HOME DELIVERY 2026'!L12*1.1</f>
        <v>5899.6344000000008</v>
      </c>
      <c r="M12" s="66">
        <f>+'COMUNAS - HOME DELIVERY 2026'!M12*1.1</f>
        <v>340.56000000000006</v>
      </c>
      <c r="N12" s="67">
        <f>+'COMUNAS - HOME DELIVERY 2026'!N12*1.1</f>
        <v>259.96080000000001</v>
      </c>
      <c r="O12" s="60"/>
    </row>
    <row r="13" spans="2:25" ht="20.399999999999999" x14ac:dyDescent="0.3">
      <c r="B13" s="2"/>
      <c r="C13" s="61" t="s">
        <v>74</v>
      </c>
      <c r="D13" s="62" t="s">
        <v>88</v>
      </c>
      <c r="E13" s="63" t="s">
        <v>89</v>
      </c>
      <c r="F13" s="64">
        <f>+'COMUNAS - HOME DELIVERY 2026'!F13*1.1</f>
        <v>3328.4064000000003</v>
      </c>
      <c r="G13" s="65">
        <f>+'COMUNAS - HOME DELIVERY 2026'!G13*1.1</f>
        <v>3452.1432</v>
      </c>
      <c r="H13" s="65">
        <f>+'COMUNAS - HOME DELIVERY 2026'!H13*1.1</f>
        <v>3674.6424000000006</v>
      </c>
      <c r="I13" s="65">
        <f>+'COMUNAS - HOME DELIVERY 2026'!I13*1.1</f>
        <v>4000.4448000000002</v>
      </c>
      <c r="J13" s="65">
        <f>+'COMUNAS - HOME DELIVERY 2026'!J13*1.1</f>
        <v>4632.7512000000006</v>
      </c>
      <c r="K13" s="65">
        <f>+'COMUNAS - HOME DELIVERY 2026'!K13*1.1</f>
        <v>5039.1527999999998</v>
      </c>
      <c r="L13" s="65">
        <f>+'COMUNAS - HOME DELIVERY 2026'!L13*1.1</f>
        <v>5899.6344000000008</v>
      </c>
      <c r="M13" s="66">
        <f>+'COMUNAS - HOME DELIVERY 2026'!M13*1.1</f>
        <v>340.56000000000006</v>
      </c>
      <c r="N13" s="67">
        <f>+'COMUNAS - HOME DELIVERY 2026'!N13*1.1</f>
        <v>259.96080000000001</v>
      </c>
      <c r="O13" s="60"/>
    </row>
    <row r="14" spans="2:25" ht="20.399999999999999" x14ac:dyDescent="0.3">
      <c r="B14" s="2"/>
      <c r="C14" s="61" t="s">
        <v>74</v>
      </c>
      <c r="D14" s="62" t="s">
        <v>90</v>
      </c>
      <c r="E14" s="63" t="s">
        <v>91</v>
      </c>
      <c r="F14" s="64">
        <f>+'COMUNAS - HOME DELIVERY 2026'!F14*1.1</f>
        <v>3328.4064000000003</v>
      </c>
      <c r="G14" s="65">
        <f>+'COMUNAS - HOME DELIVERY 2026'!G14*1.1</f>
        <v>3452.1432</v>
      </c>
      <c r="H14" s="65">
        <f>+'COMUNAS - HOME DELIVERY 2026'!H14*1.1</f>
        <v>3674.6424000000006</v>
      </c>
      <c r="I14" s="65">
        <f>+'COMUNAS - HOME DELIVERY 2026'!I14*1.1</f>
        <v>4000.4448000000002</v>
      </c>
      <c r="J14" s="65">
        <f>+'COMUNAS - HOME DELIVERY 2026'!J14*1.1</f>
        <v>4632.7512000000006</v>
      </c>
      <c r="K14" s="65">
        <f>+'COMUNAS - HOME DELIVERY 2026'!K14*1.1</f>
        <v>5039.1527999999998</v>
      </c>
      <c r="L14" s="65">
        <f>+'COMUNAS - HOME DELIVERY 2026'!L14*1.1</f>
        <v>5899.6344000000008</v>
      </c>
      <c r="M14" s="66">
        <f>+'COMUNAS - HOME DELIVERY 2026'!M14*1.1</f>
        <v>340.56000000000006</v>
      </c>
      <c r="N14" s="67">
        <f>+'COMUNAS - HOME DELIVERY 2026'!N14*1.1</f>
        <v>259.96080000000001</v>
      </c>
      <c r="O14" s="60"/>
    </row>
    <row r="15" spans="2:25" ht="20.399999999999999" x14ac:dyDescent="0.3">
      <c r="B15" s="2"/>
      <c r="C15" s="61" t="s">
        <v>74</v>
      </c>
      <c r="D15" s="62" t="s">
        <v>92</v>
      </c>
      <c r="E15" s="63" t="s">
        <v>93</v>
      </c>
      <c r="F15" s="64">
        <f>+'COMUNAS - HOME DELIVERY 2026'!F15*1.1</f>
        <v>3328.4064000000003</v>
      </c>
      <c r="G15" s="65">
        <f>+'COMUNAS - HOME DELIVERY 2026'!G15*1.1</f>
        <v>3452.1432</v>
      </c>
      <c r="H15" s="65">
        <f>+'COMUNAS - HOME DELIVERY 2026'!H15*1.1</f>
        <v>3674.6424000000006</v>
      </c>
      <c r="I15" s="65">
        <f>+'COMUNAS - HOME DELIVERY 2026'!I15*1.1</f>
        <v>4000.4448000000002</v>
      </c>
      <c r="J15" s="65">
        <f>+'COMUNAS - HOME DELIVERY 2026'!J15*1.1</f>
        <v>4632.7512000000006</v>
      </c>
      <c r="K15" s="65">
        <f>+'COMUNAS - HOME DELIVERY 2026'!K15*1.1</f>
        <v>5039.1527999999998</v>
      </c>
      <c r="L15" s="65">
        <f>+'COMUNAS - HOME DELIVERY 2026'!L15*1.1</f>
        <v>5899.6344000000008</v>
      </c>
      <c r="M15" s="66">
        <f>+'COMUNAS - HOME DELIVERY 2026'!M15*1.1</f>
        <v>340.56000000000006</v>
      </c>
      <c r="N15" s="67">
        <f>+'COMUNAS - HOME DELIVERY 2026'!N15*1.1</f>
        <v>259.96080000000001</v>
      </c>
      <c r="O15" s="60"/>
    </row>
    <row r="16" spans="2:25" ht="20.399999999999999" x14ac:dyDescent="0.3">
      <c r="B16" s="2"/>
      <c r="C16" s="61" t="s">
        <v>74</v>
      </c>
      <c r="D16" s="62" t="s">
        <v>94</v>
      </c>
      <c r="E16" s="63" t="s">
        <v>95</v>
      </c>
      <c r="F16" s="64">
        <f>+'COMUNAS - HOME DELIVERY 2026'!F16*1.1</f>
        <v>3328.4064000000003</v>
      </c>
      <c r="G16" s="65">
        <f>+'COMUNAS - HOME DELIVERY 2026'!G16*1.1</f>
        <v>3452.1432</v>
      </c>
      <c r="H16" s="65">
        <f>+'COMUNAS - HOME DELIVERY 2026'!H16*1.1</f>
        <v>3674.6424000000006</v>
      </c>
      <c r="I16" s="65">
        <f>+'COMUNAS - HOME DELIVERY 2026'!I16*1.1</f>
        <v>4000.4448000000002</v>
      </c>
      <c r="J16" s="65">
        <f>+'COMUNAS - HOME DELIVERY 2026'!J16*1.1</f>
        <v>4632.7512000000006</v>
      </c>
      <c r="K16" s="65">
        <f>+'COMUNAS - HOME DELIVERY 2026'!K16*1.1</f>
        <v>5039.1527999999998</v>
      </c>
      <c r="L16" s="65">
        <f>+'COMUNAS - HOME DELIVERY 2026'!L16*1.1</f>
        <v>5899.6344000000008</v>
      </c>
      <c r="M16" s="66">
        <f>+'COMUNAS - HOME DELIVERY 2026'!M16*1.1</f>
        <v>340.56000000000006</v>
      </c>
      <c r="N16" s="67">
        <f>+'COMUNAS - HOME DELIVERY 2026'!N16*1.1</f>
        <v>259.96080000000001</v>
      </c>
      <c r="O16" s="60"/>
    </row>
    <row r="17" spans="2:15" ht="20.399999999999999" x14ac:dyDescent="0.3">
      <c r="B17" s="2"/>
      <c r="C17" s="61" t="s">
        <v>74</v>
      </c>
      <c r="D17" s="62" t="s">
        <v>96</v>
      </c>
      <c r="E17" s="63" t="s">
        <v>97</v>
      </c>
      <c r="F17" s="64">
        <f>+'COMUNAS - HOME DELIVERY 2026'!F17*1.1</f>
        <v>3328.4064000000003</v>
      </c>
      <c r="G17" s="65">
        <f>+'COMUNAS - HOME DELIVERY 2026'!G17*1.1</f>
        <v>3452.1432</v>
      </c>
      <c r="H17" s="65">
        <f>+'COMUNAS - HOME DELIVERY 2026'!H17*1.1</f>
        <v>3674.6424000000006</v>
      </c>
      <c r="I17" s="65">
        <f>+'COMUNAS - HOME DELIVERY 2026'!I17*1.1</f>
        <v>4000.4448000000002</v>
      </c>
      <c r="J17" s="65">
        <f>+'COMUNAS - HOME DELIVERY 2026'!J17*1.1</f>
        <v>4632.7512000000006</v>
      </c>
      <c r="K17" s="65">
        <f>+'COMUNAS - HOME DELIVERY 2026'!K17*1.1</f>
        <v>5039.1527999999998</v>
      </c>
      <c r="L17" s="65">
        <f>+'COMUNAS - HOME DELIVERY 2026'!L17*1.1</f>
        <v>5899.6344000000008</v>
      </c>
      <c r="M17" s="66">
        <f>+'COMUNAS - HOME DELIVERY 2026'!M17*1.1</f>
        <v>340.56000000000006</v>
      </c>
      <c r="N17" s="67">
        <f>+'COMUNAS - HOME DELIVERY 2026'!N17*1.1</f>
        <v>259.96080000000001</v>
      </c>
      <c r="O17" s="60"/>
    </row>
    <row r="18" spans="2:15" ht="20.399999999999999" x14ac:dyDescent="0.3">
      <c r="B18" s="2"/>
      <c r="C18" s="61" t="s">
        <v>74</v>
      </c>
      <c r="D18" s="62" t="s">
        <v>98</v>
      </c>
      <c r="E18" s="63" t="s">
        <v>99</v>
      </c>
      <c r="F18" s="64">
        <f>+'COMUNAS - HOME DELIVERY 2026'!F18*1.1</f>
        <v>3328.4064000000003</v>
      </c>
      <c r="G18" s="65">
        <f>+'COMUNAS - HOME DELIVERY 2026'!G18*1.1</f>
        <v>3452.1432</v>
      </c>
      <c r="H18" s="65">
        <f>+'COMUNAS - HOME DELIVERY 2026'!H18*1.1</f>
        <v>3674.6424000000006</v>
      </c>
      <c r="I18" s="65">
        <f>+'COMUNAS - HOME DELIVERY 2026'!I18*1.1</f>
        <v>4000.4448000000002</v>
      </c>
      <c r="J18" s="65">
        <f>+'COMUNAS - HOME DELIVERY 2026'!J18*1.1</f>
        <v>4632.7512000000006</v>
      </c>
      <c r="K18" s="65">
        <f>+'COMUNAS - HOME DELIVERY 2026'!K18*1.1</f>
        <v>5039.1527999999998</v>
      </c>
      <c r="L18" s="65">
        <f>+'COMUNAS - HOME DELIVERY 2026'!L18*1.1</f>
        <v>5899.6344000000008</v>
      </c>
      <c r="M18" s="66">
        <f>+'COMUNAS - HOME DELIVERY 2026'!M18*1.1</f>
        <v>340.56000000000006</v>
      </c>
      <c r="N18" s="67">
        <f>+'COMUNAS - HOME DELIVERY 2026'!N18*1.1</f>
        <v>259.96080000000001</v>
      </c>
      <c r="O18" s="60"/>
    </row>
    <row r="19" spans="2:15" ht="20.399999999999999" x14ac:dyDescent="0.3">
      <c r="B19" s="2"/>
      <c r="C19" s="61" t="s">
        <v>74</v>
      </c>
      <c r="D19" s="62" t="s">
        <v>100</v>
      </c>
      <c r="E19" s="63" t="s">
        <v>101</v>
      </c>
      <c r="F19" s="64">
        <f>+'COMUNAS - HOME DELIVERY 2026'!F19*1.1</f>
        <v>3328.4064000000003</v>
      </c>
      <c r="G19" s="65">
        <f>+'COMUNAS - HOME DELIVERY 2026'!G19*1.1</f>
        <v>3452.1432</v>
      </c>
      <c r="H19" s="65">
        <f>+'COMUNAS - HOME DELIVERY 2026'!H19*1.1</f>
        <v>3674.6424000000006</v>
      </c>
      <c r="I19" s="65">
        <f>+'COMUNAS - HOME DELIVERY 2026'!I19*1.1</f>
        <v>4000.4448000000002</v>
      </c>
      <c r="J19" s="65">
        <f>+'COMUNAS - HOME DELIVERY 2026'!J19*1.1</f>
        <v>4632.7512000000006</v>
      </c>
      <c r="K19" s="65">
        <f>+'COMUNAS - HOME DELIVERY 2026'!K19*1.1</f>
        <v>5039.1527999999998</v>
      </c>
      <c r="L19" s="65">
        <f>+'COMUNAS - HOME DELIVERY 2026'!L19*1.1</f>
        <v>5899.6344000000008</v>
      </c>
      <c r="M19" s="66">
        <f>+'COMUNAS - HOME DELIVERY 2026'!M19*1.1</f>
        <v>340.56000000000006</v>
      </c>
      <c r="N19" s="67">
        <f>+'COMUNAS - HOME DELIVERY 2026'!N19*1.1</f>
        <v>259.96080000000001</v>
      </c>
      <c r="O19" s="60"/>
    </row>
    <row r="20" spans="2:15" ht="20.399999999999999" x14ac:dyDescent="0.3">
      <c r="B20" s="2"/>
      <c r="C20" s="61" t="s">
        <v>74</v>
      </c>
      <c r="D20" s="62" t="s">
        <v>102</v>
      </c>
      <c r="E20" s="63" t="s">
        <v>103</v>
      </c>
      <c r="F20" s="64">
        <f>+'COMUNAS - HOME DELIVERY 2026'!F20*1.1</f>
        <v>4074.2328000000002</v>
      </c>
      <c r="G20" s="65">
        <f>+'COMUNAS - HOME DELIVERY 2026'!G20*1.1</f>
        <v>4358.0328</v>
      </c>
      <c r="H20" s="65">
        <f>+'COMUNAS - HOME DELIVERY 2026'!H20*1.1</f>
        <v>4946.0664000000006</v>
      </c>
      <c r="I20" s="65">
        <f>+'COMUNAS - HOME DELIVERY 2026'!I20*1.1</f>
        <v>5857.6320000000005</v>
      </c>
      <c r="J20" s="65">
        <f>+'COMUNAS - HOME DELIVERY 2026'!J20*1.1</f>
        <v>7277.7672000000002</v>
      </c>
      <c r="K20" s="65">
        <f>+'COMUNAS - HOME DELIVERY 2026'!K20*1.1</f>
        <v>8224.5240000000013</v>
      </c>
      <c r="L20" s="65">
        <f>+'COMUNAS - HOME DELIVERY 2026'!L20*1.1</f>
        <v>9230.3112000000019</v>
      </c>
      <c r="M20" s="66">
        <f>+'COMUNAS - HOME DELIVERY 2026'!M20*1.1</f>
        <v>465.43200000000002</v>
      </c>
      <c r="N20" s="67">
        <f>+'COMUNAS - HOME DELIVERY 2026'!N20*1.1</f>
        <v>385.96800000000002</v>
      </c>
      <c r="O20" s="60"/>
    </row>
    <row r="21" spans="2:15" ht="15.75" customHeight="1" x14ac:dyDescent="0.3">
      <c r="B21" s="2"/>
      <c r="C21" s="61" t="s">
        <v>74</v>
      </c>
      <c r="D21" s="62" t="s">
        <v>104</v>
      </c>
      <c r="E21" s="63" t="s">
        <v>105</v>
      </c>
      <c r="F21" s="64">
        <f>+'COMUNAS - HOME DELIVERY 2026'!F21*1.1</f>
        <v>3328.4064000000003</v>
      </c>
      <c r="G21" s="65">
        <f>+'COMUNAS - HOME DELIVERY 2026'!G21*1.1</f>
        <v>3452.1432</v>
      </c>
      <c r="H21" s="65">
        <f>+'COMUNAS - HOME DELIVERY 2026'!H21*1.1</f>
        <v>3674.6424000000006</v>
      </c>
      <c r="I21" s="65">
        <f>+'COMUNAS - HOME DELIVERY 2026'!I21*1.1</f>
        <v>4000.4448000000002</v>
      </c>
      <c r="J21" s="65">
        <f>+'COMUNAS - HOME DELIVERY 2026'!J21*1.1</f>
        <v>4632.7512000000006</v>
      </c>
      <c r="K21" s="65">
        <f>+'COMUNAS - HOME DELIVERY 2026'!K21*1.1</f>
        <v>5039.1527999999998</v>
      </c>
      <c r="L21" s="65">
        <f>+'COMUNAS - HOME DELIVERY 2026'!L21*1.1</f>
        <v>5899.6344000000008</v>
      </c>
      <c r="M21" s="66">
        <f>+'COMUNAS - HOME DELIVERY 2026'!M21*1.1</f>
        <v>340.56000000000006</v>
      </c>
      <c r="N21" s="67">
        <f>+'COMUNAS - HOME DELIVERY 2026'!N21*1.1</f>
        <v>259.96080000000001</v>
      </c>
      <c r="O21" s="60"/>
    </row>
    <row r="22" spans="2:15" ht="15.75" customHeight="1" x14ac:dyDescent="0.3">
      <c r="B22" s="2"/>
      <c r="C22" s="61" t="s">
        <v>74</v>
      </c>
      <c r="D22" s="62" t="s">
        <v>106</v>
      </c>
      <c r="E22" s="63" t="s">
        <v>107</v>
      </c>
      <c r="F22" s="64">
        <f>+'COMUNAS - HOME DELIVERY 2026'!F22*1.1</f>
        <v>3328.4064000000003</v>
      </c>
      <c r="G22" s="65">
        <f>+'COMUNAS - HOME DELIVERY 2026'!G22*1.1</f>
        <v>3452.1432</v>
      </c>
      <c r="H22" s="65">
        <f>+'COMUNAS - HOME DELIVERY 2026'!H22*1.1</f>
        <v>3674.6424000000006</v>
      </c>
      <c r="I22" s="65">
        <f>+'COMUNAS - HOME DELIVERY 2026'!I22*1.1</f>
        <v>4000.4448000000002</v>
      </c>
      <c r="J22" s="65">
        <f>+'COMUNAS - HOME DELIVERY 2026'!J22*1.1</f>
        <v>4632.7512000000006</v>
      </c>
      <c r="K22" s="65">
        <f>+'COMUNAS - HOME DELIVERY 2026'!K22*1.1</f>
        <v>5039.1527999999998</v>
      </c>
      <c r="L22" s="65">
        <f>+'COMUNAS - HOME DELIVERY 2026'!L22*1.1</f>
        <v>5899.6344000000008</v>
      </c>
      <c r="M22" s="66">
        <f>+'COMUNAS - HOME DELIVERY 2026'!M22*1.1</f>
        <v>340.56000000000006</v>
      </c>
      <c r="N22" s="67">
        <f>+'COMUNAS - HOME DELIVERY 2026'!N22*1.1</f>
        <v>259.96080000000001</v>
      </c>
      <c r="O22" s="60"/>
    </row>
    <row r="23" spans="2:15" ht="15.75" customHeight="1" x14ac:dyDescent="0.3">
      <c r="B23" s="2"/>
      <c r="C23" s="61" t="s">
        <v>74</v>
      </c>
      <c r="D23" s="62" t="s">
        <v>108</v>
      </c>
      <c r="E23" s="63" t="s">
        <v>109</v>
      </c>
      <c r="F23" s="64">
        <f>+'COMUNAS - HOME DELIVERY 2026'!F23*1.1</f>
        <v>3328.4064000000003</v>
      </c>
      <c r="G23" s="65">
        <f>+'COMUNAS - HOME DELIVERY 2026'!G23*1.1</f>
        <v>3452.1432</v>
      </c>
      <c r="H23" s="65">
        <f>+'COMUNAS - HOME DELIVERY 2026'!H23*1.1</f>
        <v>3674.6424000000006</v>
      </c>
      <c r="I23" s="65">
        <f>+'COMUNAS - HOME DELIVERY 2026'!I23*1.1</f>
        <v>4000.4448000000002</v>
      </c>
      <c r="J23" s="65">
        <f>+'COMUNAS - HOME DELIVERY 2026'!J23*1.1</f>
        <v>4632.7512000000006</v>
      </c>
      <c r="K23" s="65">
        <f>+'COMUNAS - HOME DELIVERY 2026'!K23*1.1</f>
        <v>5039.1527999999998</v>
      </c>
      <c r="L23" s="65">
        <f>+'COMUNAS - HOME DELIVERY 2026'!L23*1.1</f>
        <v>5899.6344000000008</v>
      </c>
      <c r="M23" s="66">
        <f>+'COMUNAS - HOME DELIVERY 2026'!M23*1.1</f>
        <v>340.56000000000006</v>
      </c>
      <c r="N23" s="67">
        <f>+'COMUNAS - HOME DELIVERY 2026'!N23*1.1</f>
        <v>259.96080000000001</v>
      </c>
      <c r="O23" s="60"/>
    </row>
    <row r="24" spans="2:15" ht="15.75" customHeight="1" x14ac:dyDescent="0.3">
      <c r="B24" s="2"/>
      <c r="C24" s="61" t="s">
        <v>74</v>
      </c>
      <c r="D24" s="62" t="s">
        <v>110</v>
      </c>
      <c r="E24" s="63" t="s">
        <v>111</v>
      </c>
      <c r="F24" s="64">
        <f>+'COMUNAS - HOME DELIVERY 2026'!F24*1.1</f>
        <v>3328.4064000000003</v>
      </c>
      <c r="G24" s="65">
        <f>+'COMUNAS - HOME DELIVERY 2026'!G24*1.1</f>
        <v>3452.1432</v>
      </c>
      <c r="H24" s="65">
        <f>+'COMUNAS - HOME DELIVERY 2026'!H24*1.1</f>
        <v>3674.6424000000006</v>
      </c>
      <c r="I24" s="65">
        <f>+'COMUNAS - HOME DELIVERY 2026'!I24*1.1</f>
        <v>4000.4448000000002</v>
      </c>
      <c r="J24" s="65">
        <f>+'COMUNAS - HOME DELIVERY 2026'!J24*1.1</f>
        <v>4632.7512000000006</v>
      </c>
      <c r="K24" s="65">
        <f>+'COMUNAS - HOME DELIVERY 2026'!K24*1.1</f>
        <v>5039.1527999999998</v>
      </c>
      <c r="L24" s="65">
        <f>+'COMUNAS - HOME DELIVERY 2026'!L24*1.1</f>
        <v>5899.6344000000008</v>
      </c>
      <c r="M24" s="66">
        <f>+'COMUNAS - HOME DELIVERY 2026'!M24*1.1</f>
        <v>340.56000000000006</v>
      </c>
      <c r="N24" s="67">
        <f>+'COMUNAS - HOME DELIVERY 2026'!N24*1.1</f>
        <v>259.96080000000001</v>
      </c>
      <c r="O24" s="60"/>
    </row>
    <row r="25" spans="2:15" ht="15.75" customHeight="1" x14ac:dyDescent="0.3">
      <c r="B25" s="2"/>
      <c r="C25" s="61" t="s">
        <v>74</v>
      </c>
      <c r="D25" s="62" t="s">
        <v>112</v>
      </c>
      <c r="E25" s="63" t="s">
        <v>113</v>
      </c>
      <c r="F25" s="64">
        <f>+'COMUNAS - HOME DELIVERY 2026'!F25*1.1</f>
        <v>3328.4064000000003</v>
      </c>
      <c r="G25" s="65">
        <f>+'COMUNAS - HOME DELIVERY 2026'!G25*1.1</f>
        <v>3452.1432</v>
      </c>
      <c r="H25" s="65">
        <f>+'COMUNAS - HOME DELIVERY 2026'!H25*1.1</f>
        <v>3674.6424000000006</v>
      </c>
      <c r="I25" s="65">
        <f>+'COMUNAS - HOME DELIVERY 2026'!I25*1.1</f>
        <v>4000.4448000000002</v>
      </c>
      <c r="J25" s="65">
        <f>+'COMUNAS - HOME DELIVERY 2026'!J25*1.1</f>
        <v>4632.7512000000006</v>
      </c>
      <c r="K25" s="65">
        <f>+'COMUNAS - HOME DELIVERY 2026'!K25*1.1</f>
        <v>5039.1527999999998</v>
      </c>
      <c r="L25" s="65">
        <f>+'COMUNAS - HOME DELIVERY 2026'!L25*1.1</f>
        <v>5899.6344000000008</v>
      </c>
      <c r="M25" s="66">
        <f>+'COMUNAS - HOME DELIVERY 2026'!M25*1.1</f>
        <v>340.56000000000006</v>
      </c>
      <c r="N25" s="67">
        <f>+'COMUNAS - HOME DELIVERY 2026'!N25*1.1</f>
        <v>259.96080000000001</v>
      </c>
      <c r="O25" s="60"/>
    </row>
    <row r="26" spans="2:15" ht="15.75" customHeight="1" x14ac:dyDescent="0.3">
      <c r="B26" s="2"/>
      <c r="C26" s="61" t="s">
        <v>74</v>
      </c>
      <c r="D26" s="62" t="s">
        <v>114</v>
      </c>
      <c r="E26" s="63" t="s">
        <v>115</v>
      </c>
      <c r="F26" s="64">
        <f>+'COMUNAS - HOME DELIVERY 2026'!F26*1.1</f>
        <v>3328.4064000000003</v>
      </c>
      <c r="G26" s="65">
        <f>+'COMUNAS - HOME DELIVERY 2026'!G26*1.1</f>
        <v>3452.1432</v>
      </c>
      <c r="H26" s="65">
        <f>+'COMUNAS - HOME DELIVERY 2026'!H26*1.1</f>
        <v>3674.6424000000006</v>
      </c>
      <c r="I26" s="65">
        <f>+'COMUNAS - HOME DELIVERY 2026'!I26*1.1</f>
        <v>4000.4448000000002</v>
      </c>
      <c r="J26" s="65">
        <f>+'COMUNAS - HOME DELIVERY 2026'!J26*1.1</f>
        <v>4632.7512000000006</v>
      </c>
      <c r="K26" s="65">
        <f>+'COMUNAS - HOME DELIVERY 2026'!K26*1.1</f>
        <v>5039.1527999999998</v>
      </c>
      <c r="L26" s="65">
        <f>+'COMUNAS - HOME DELIVERY 2026'!L26*1.1</f>
        <v>5899.6344000000008</v>
      </c>
      <c r="M26" s="66">
        <f>+'COMUNAS - HOME DELIVERY 2026'!M26*1.1</f>
        <v>340.56000000000006</v>
      </c>
      <c r="N26" s="67">
        <f>+'COMUNAS - HOME DELIVERY 2026'!N26*1.1</f>
        <v>259.96080000000001</v>
      </c>
      <c r="O26" s="60"/>
    </row>
    <row r="27" spans="2:15" ht="15.75" customHeight="1" x14ac:dyDescent="0.3">
      <c r="B27" s="2"/>
      <c r="C27" s="61" t="s">
        <v>74</v>
      </c>
      <c r="D27" s="62" t="s">
        <v>116</v>
      </c>
      <c r="E27" s="63" t="s">
        <v>117</v>
      </c>
      <c r="F27" s="64">
        <f>+'COMUNAS - HOME DELIVERY 2026'!F27*1.1</f>
        <v>3328.4064000000003</v>
      </c>
      <c r="G27" s="65">
        <f>+'COMUNAS - HOME DELIVERY 2026'!G27*1.1</f>
        <v>3452.1432</v>
      </c>
      <c r="H27" s="65">
        <f>+'COMUNAS - HOME DELIVERY 2026'!H27*1.1</f>
        <v>3674.6424000000006</v>
      </c>
      <c r="I27" s="65">
        <f>+'COMUNAS - HOME DELIVERY 2026'!I27*1.1</f>
        <v>4000.4448000000002</v>
      </c>
      <c r="J27" s="65">
        <f>+'COMUNAS - HOME DELIVERY 2026'!J27*1.1</f>
        <v>4632.7512000000006</v>
      </c>
      <c r="K27" s="65">
        <f>+'COMUNAS - HOME DELIVERY 2026'!K27*1.1</f>
        <v>5039.1527999999998</v>
      </c>
      <c r="L27" s="65">
        <f>+'COMUNAS - HOME DELIVERY 2026'!L27*1.1</f>
        <v>5899.6344000000008</v>
      </c>
      <c r="M27" s="66">
        <f>+'COMUNAS - HOME DELIVERY 2026'!M27*1.1</f>
        <v>340.56000000000006</v>
      </c>
      <c r="N27" s="67">
        <f>+'COMUNAS - HOME DELIVERY 2026'!N27*1.1</f>
        <v>259.96080000000001</v>
      </c>
      <c r="O27" s="60"/>
    </row>
    <row r="28" spans="2:15" ht="15.75" customHeight="1" x14ac:dyDescent="0.3">
      <c r="B28" s="2"/>
      <c r="C28" s="61" t="s">
        <v>74</v>
      </c>
      <c r="D28" s="62" t="s">
        <v>118</v>
      </c>
      <c r="E28" s="63" t="s">
        <v>119</v>
      </c>
      <c r="F28" s="64">
        <f>+'COMUNAS - HOME DELIVERY 2026'!F28*1.1</f>
        <v>3328.4064000000003</v>
      </c>
      <c r="G28" s="65">
        <f>+'COMUNAS - HOME DELIVERY 2026'!G28*1.1</f>
        <v>3452.1432</v>
      </c>
      <c r="H28" s="65">
        <f>+'COMUNAS - HOME DELIVERY 2026'!H28*1.1</f>
        <v>3674.6424000000006</v>
      </c>
      <c r="I28" s="65">
        <f>+'COMUNAS - HOME DELIVERY 2026'!I28*1.1</f>
        <v>4000.4448000000002</v>
      </c>
      <c r="J28" s="65">
        <f>+'COMUNAS - HOME DELIVERY 2026'!J28*1.1</f>
        <v>4632.7512000000006</v>
      </c>
      <c r="K28" s="65">
        <f>+'COMUNAS - HOME DELIVERY 2026'!K28*1.1</f>
        <v>5039.1527999999998</v>
      </c>
      <c r="L28" s="65">
        <f>+'COMUNAS - HOME DELIVERY 2026'!L28*1.1</f>
        <v>5899.6344000000008</v>
      </c>
      <c r="M28" s="66">
        <f>+'COMUNAS - HOME DELIVERY 2026'!M28*1.1</f>
        <v>340.56000000000006</v>
      </c>
      <c r="N28" s="67">
        <f>+'COMUNAS - HOME DELIVERY 2026'!N28*1.1</f>
        <v>259.96080000000001</v>
      </c>
      <c r="O28" s="60"/>
    </row>
    <row r="29" spans="2:15" ht="15.75" customHeight="1" x14ac:dyDescent="0.3">
      <c r="B29" s="2"/>
      <c r="C29" s="61" t="s">
        <v>74</v>
      </c>
      <c r="D29" s="62" t="s">
        <v>120</v>
      </c>
      <c r="E29" s="63" t="s">
        <v>121</v>
      </c>
      <c r="F29" s="64">
        <f>+'COMUNAS - HOME DELIVERY 2026'!F29*1.1</f>
        <v>3328.4064000000003</v>
      </c>
      <c r="G29" s="65">
        <f>+'COMUNAS - HOME DELIVERY 2026'!G29*1.1</f>
        <v>3452.1432</v>
      </c>
      <c r="H29" s="65">
        <f>+'COMUNAS - HOME DELIVERY 2026'!H29*1.1</f>
        <v>3674.6424000000006</v>
      </c>
      <c r="I29" s="65">
        <f>+'COMUNAS - HOME DELIVERY 2026'!I29*1.1</f>
        <v>4000.4448000000002</v>
      </c>
      <c r="J29" s="65">
        <f>+'COMUNAS - HOME DELIVERY 2026'!J29*1.1</f>
        <v>4632.7512000000006</v>
      </c>
      <c r="K29" s="65">
        <f>+'COMUNAS - HOME DELIVERY 2026'!K29*1.1</f>
        <v>5039.1527999999998</v>
      </c>
      <c r="L29" s="65">
        <f>+'COMUNAS - HOME DELIVERY 2026'!L29*1.1</f>
        <v>5899.6344000000008</v>
      </c>
      <c r="M29" s="66">
        <f>+'COMUNAS - HOME DELIVERY 2026'!M29*1.1</f>
        <v>340.56000000000006</v>
      </c>
      <c r="N29" s="67">
        <f>+'COMUNAS - HOME DELIVERY 2026'!N29*1.1</f>
        <v>259.96080000000001</v>
      </c>
      <c r="O29" s="60"/>
    </row>
    <row r="30" spans="2:15" ht="15.75" customHeight="1" x14ac:dyDescent="0.3">
      <c r="B30" s="2"/>
      <c r="C30" s="61" t="s">
        <v>74</v>
      </c>
      <c r="D30" s="62" t="s">
        <v>122</v>
      </c>
      <c r="E30" s="63" t="s">
        <v>123</v>
      </c>
      <c r="F30" s="64">
        <f>+'COMUNAS - HOME DELIVERY 2026'!F30*1.1</f>
        <v>3328.4064000000003</v>
      </c>
      <c r="G30" s="65">
        <f>+'COMUNAS - HOME DELIVERY 2026'!G30*1.1</f>
        <v>3452.1432</v>
      </c>
      <c r="H30" s="65">
        <f>+'COMUNAS - HOME DELIVERY 2026'!H30*1.1</f>
        <v>3674.6424000000006</v>
      </c>
      <c r="I30" s="65">
        <f>+'COMUNAS - HOME DELIVERY 2026'!I30*1.1</f>
        <v>4000.4448000000002</v>
      </c>
      <c r="J30" s="65">
        <f>+'COMUNAS - HOME DELIVERY 2026'!J30*1.1</f>
        <v>4632.7512000000006</v>
      </c>
      <c r="K30" s="65">
        <f>+'COMUNAS - HOME DELIVERY 2026'!K30*1.1</f>
        <v>5039.1527999999998</v>
      </c>
      <c r="L30" s="65">
        <f>+'COMUNAS - HOME DELIVERY 2026'!L30*1.1</f>
        <v>5899.6344000000008</v>
      </c>
      <c r="M30" s="66">
        <f>+'COMUNAS - HOME DELIVERY 2026'!M30*1.1</f>
        <v>340.56000000000006</v>
      </c>
      <c r="N30" s="67">
        <f>+'COMUNAS - HOME DELIVERY 2026'!N30*1.1</f>
        <v>259.96080000000001</v>
      </c>
      <c r="O30" s="60"/>
    </row>
    <row r="31" spans="2:15" ht="15.75" customHeight="1" x14ac:dyDescent="0.3">
      <c r="B31" s="2"/>
      <c r="C31" s="61" t="s">
        <v>74</v>
      </c>
      <c r="D31" s="62" t="s">
        <v>124</v>
      </c>
      <c r="E31" s="63" t="s">
        <v>125</v>
      </c>
      <c r="F31" s="64">
        <f>+'COMUNAS - HOME DELIVERY 2026'!F31*1.1</f>
        <v>3328.4064000000003</v>
      </c>
      <c r="G31" s="65">
        <f>+'COMUNAS - HOME DELIVERY 2026'!G31*1.1</f>
        <v>3452.1432</v>
      </c>
      <c r="H31" s="65">
        <f>+'COMUNAS - HOME DELIVERY 2026'!H31*1.1</f>
        <v>3674.6424000000006</v>
      </c>
      <c r="I31" s="65">
        <f>+'COMUNAS - HOME DELIVERY 2026'!I31*1.1</f>
        <v>4000.4448000000002</v>
      </c>
      <c r="J31" s="65">
        <f>+'COMUNAS - HOME DELIVERY 2026'!J31*1.1</f>
        <v>4632.7512000000006</v>
      </c>
      <c r="K31" s="65">
        <f>+'COMUNAS - HOME DELIVERY 2026'!K31*1.1</f>
        <v>5039.1527999999998</v>
      </c>
      <c r="L31" s="65">
        <f>+'COMUNAS - HOME DELIVERY 2026'!L31*1.1</f>
        <v>5899.6344000000008</v>
      </c>
      <c r="M31" s="66">
        <f>+'COMUNAS - HOME DELIVERY 2026'!M31*1.1</f>
        <v>340.56000000000006</v>
      </c>
      <c r="N31" s="67">
        <f>+'COMUNAS - HOME DELIVERY 2026'!N31*1.1</f>
        <v>259.96080000000001</v>
      </c>
      <c r="O31" s="60"/>
    </row>
    <row r="32" spans="2:15" ht="15.75" customHeight="1" x14ac:dyDescent="0.3">
      <c r="B32" s="2"/>
      <c r="C32" s="61" t="s">
        <v>74</v>
      </c>
      <c r="D32" s="62" t="s">
        <v>126</v>
      </c>
      <c r="E32" s="63" t="s">
        <v>127</v>
      </c>
      <c r="F32" s="64">
        <f>+'COMUNAS - HOME DELIVERY 2026'!F32*1.1</f>
        <v>3328.4064000000003</v>
      </c>
      <c r="G32" s="65">
        <f>+'COMUNAS - HOME DELIVERY 2026'!G32*1.1</f>
        <v>3452.1432</v>
      </c>
      <c r="H32" s="65">
        <f>+'COMUNAS - HOME DELIVERY 2026'!H32*1.1</f>
        <v>3674.6424000000006</v>
      </c>
      <c r="I32" s="65">
        <f>+'COMUNAS - HOME DELIVERY 2026'!I32*1.1</f>
        <v>4000.4448000000002</v>
      </c>
      <c r="J32" s="65">
        <f>+'COMUNAS - HOME DELIVERY 2026'!J32*1.1</f>
        <v>4632.7512000000006</v>
      </c>
      <c r="K32" s="65">
        <f>+'COMUNAS - HOME DELIVERY 2026'!K32*1.1</f>
        <v>5039.1527999999998</v>
      </c>
      <c r="L32" s="65">
        <f>+'COMUNAS - HOME DELIVERY 2026'!L32*1.1</f>
        <v>5899.6344000000008</v>
      </c>
      <c r="M32" s="66">
        <f>+'COMUNAS - HOME DELIVERY 2026'!M32*1.1</f>
        <v>340.56000000000006</v>
      </c>
      <c r="N32" s="67">
        <f>+'COMUNAS - HOME DELIVERY 2026'!N32*1.1</f>
        <v>259.96080000000001</v>
      </c>
      <c r="O32" s="60"/>
    </row>
    <row r="33" spans="2:25" ht="15.75" customHeight="1" x14ac:dyDescent="0.3">
      <c r="B33" s="2"/>
      <c r="C33" s="61" t="s">
        <v>74</v>
      </c>
      <c r="D33" s="62" t="s">
        <v>128</v>
      </c>
      <c r="E33" s="63" t="s">
        <v>129</v>
      </c>
      <c r="F33" s="64">
        <f>+'COMUNAS - HOME DELIVERY 2026'!F33*1.1</f>
        <v>3328.4064000000003</v>
      </c>
      <c r="G33" s="65">
        <f>+'COMUNAS - HOME DELIVERY 2026'!G33*1.1</f>
        <v>3452.1432</v>
      </c>
      <c r="H33" s="65">
        <f>+'COMUNAS - HOME DELIVERY 2026'!H33*1.1</f>
        <v>3674.6424000000006</v>
      </c>
      <c r="I33" s="65">
        <f>+'COMUNAS - HOME DELIVERY 2026'!I33*1.1</f>
        <v>4000.4448000000002</v>
      </c>
      <c r="J33" s="65">
        <f>+'COMUNAS - HOME DELIVERY 2026'!J33*1.1</f>
        <v>4632.7512000000006</v>
      </c>
      <c r="K33" s="65">
        <f>+'COMUNAS - HOME DELIVERY 2026'!K33*1.1</f>
        <v>5039.1527999999998</v>
      </c>
      <c r="L33" s="65">
        <f>+'COMUNAS - HOME DELIVERY 2026'!L33*1.1</f>
        <v>5899.6344000000008</v>
      </c>
      <c r="M33" s="66">
        <f>+'COMUNAS - HOME DELIVERY 2026'!M33*1.1</f>
        <v>340.56000000000006</v>
      </c>
      <c r="N33" s="67">
        <f>+'COMUNAS - HOME DELIVERY 2026'!N33*1.1</f>
        <v>259.96080000000001</v>
      </c>
      <c r="O33" s="60"/>
    </row>
    <row r="34" spans="2:25" ht="15.75" customHeight="1" x14ac:dyDescent="0.3">
      <c r="B34" s="2"/>
      <c r="C34" s="61" t="s">
        <v>74</v>
      </c>
      <c r="D34" s="62" t="s">
        <v>130</v>
      </c>
      <c r="E34" s="63" t="s">
        <v>131</v>
      </c>
      <c r="F34" s="64">
        <f>+'COMUNAS - HOME DELIVERY 2026'!F34*1.1</f>
        <v>3328.4064000000003</v>
      </c>
      <c r="G34" s="65">
        <f>+'COMUNAS - HOME DELIVERY 2026'!G34*1.1</f>
        <v>3452.1432</v>
      </c>
      <c r="H34" s="65">
        <f>+'COMUNAS - HOME DELIVERY 2026'!H34*1.1</f>
        <v>3674.6424000000006</v>
      </c>
      <c r="I34" s="65">
        <f>+'COMUNAS - HOME DELIVERY 2026'!I34*1.1</f>
        <v>4000.4448000000002</v>
      </c>
      <c r="J34" s="65">
        <f>+'COMUNAS - HOME DELIVERY 2026'!J34*1.1</f>
        <v>4632.7512000000006</v>
      </c>
      <c r="K34" s="65">
        <f>+'COMUNAS - HOME DELIVERY 2026'!K34*1.1</f>
        <v>5039.1527999999998</v>
      </c>
      <c r="L34" s="65">
        <f>+'COMUNAS - HOME DELIVERY 2026'!L34*1.1</f>
        <v>5899.6344000000008</v>
      </c>
      <c r="M34" s="66">
        <f>+'COMUNAS - HOME DELIVERY 2026'!M34*1.1</f>
        <v>340.56000000000006</v>
      </c>
      <c r="N34" s="67">
        <f>+'COMUNAS - HOME DELIVERY 2026'!N34*1.1</f>
        <v>259.96080000000001</v>
      </c>
      <c r="O34" s="60"/>
    </row>
    <row r="35" spans="2:25" ht="15.75" customHeight="1" x14ac:dyDescent="0.3">
      <c r="B35" s="2"/>
      <c r="C35" s="61" t="s">
        <v>74</v>
      </c>
      <c r="D35" s="62" t="s">
        <v>132</v>
      </c>
      <c r="E35" s="63" t="s">
        <v>133</v>
      </c>
      <c r="F35" s="64">
        <f>+'COMUNAS - HOME DELIVERY 2026'!F35*1.1</f>
        <v>3328.4064000000003</v>
      </c>
      <c r="G35" s="65">
        <f>+'COMUNAS - HOME DELIVERY 2026'!G35*1.1</f>
        <v>3452.1432</v>
      </c>
      <c r="H35" s="65">
        <f>+'COMUNAS - HOME DELIVERY 2026'!H35*1.1</f>
        <v>3674.6424000000006</v>
      </c>
      <c r="I35" s="65">
        <f>+'COMUNAS - HOME DELIVERY 2026'!I35*1.1</f>
        <v>4000.4448000000002</v>
      </c>
      <c r="J35" s="65">
        <f>+'COMUNAS - HOME DELIVERY 2026'!J35*1.1</f>
        <v>4632.7512000000006</v>
      </c>
      <c r="K35" s="65">
        <f>+'COMUNAS - HOME DELIVERY 2026'!K35*1.1</f>
        <v>5039.1527999999998</v>
      </c>
      <c r="L35" s="65">
        <f>+'COMUNAS - HOME DELIVERY 2026'!L35*1.1</f>
        <v>5899.6344000000008</v>
      </c>
      <c r="M35" s="66">
        <f>+'COMUNAS - HOME DELIVERY 2026'!M35*1.1</f>
        <v>340.56000000000006</v>
      </c>
      <c r="N35" s="67">
        <f>+'COMUNAS - HOME DELIVERY 2026'!N35*1.1</f>
        <v>259.96080000000001</v>
      </c>
      <c r="O35" s="60"/>
    </row>
    <row r="36" spans="2:25" ht="15.75" customHeight="1" x14ac:dyDescent="0.3">
      <c r="B36" s="2"/>
      <c r="C36" s="61" t="s">
        <v>74</v>
      </c>
      <c r="D36" s="62" t="s">
        <v>134</v>
      </c>
      <c r="E36" s="63" t="s">
        <v>135</v>
      </c>
      <c r="F36" s="64">
        <f>+'COMUNAS - HOME DELIVERY 2026'!F36*1.1</f>
        <v>3328.4064000000003</v>
      </c>
      <c r="G36" s="65">
        <f>+'COMUNAS - HOME DELIVERY 2026'!G36*1.1</f>
        <v>3452.1432</v>
      </c>
      <c r="H36" s="65">
        <f>+'COMUNAS - HOME DELIVERY 2026'!H36*1.1</f>
        <v>3674.6424000000006</v>
      </c>
      <c r="I36" s="65">
        <f>+'COMUNAS - HOME DELIVERY 2026'!I36*1.1</f>
        <v>4000.4448000000002</v>
      </c>
      <c r="J36" s="65">
        <f>+'COMUNAS - HOME DELIVERY 2026'!J36*1.1</f>
        <v>4632.7512000000006</v>
      </c>
      <c r="K36" s="65">
        <f>+'COMUNAS - HOME DELIVERY 2026'!K36*1.1</f>
        <v>5039.1527999999998</v>
      </c>
      <c r="L36" s="65">
        <f>+'COMUNAS - HOME DELIVERY 2026'!L36*1.1</f>
        <v>5899.6344000000008</v>
      </c>
      <c r="M36" s="66">
        <f>+'COMUNAS - HOME DELIVERY 2026'!M36*1.1</f>
        <v>340.56000000000006</v>
      </c>
      <c r="N36" s="67">
        <f>+'COMUNAS - HOME DELIVERY 2026'!N36*1.1</f>
        <v>259.96080000000001</v>
      </c>
      <c r="O36" s="60"/>
    </row>
    <row r="37" spans="2:25" ht="15.75" customHeight="1" x14ac:dyDescent="0.3">
      <c r="B37" s="2"/>
      <c r="C37" s="61" t="s">
        <v>74</v>
      </c>
      <c r="D37" s="62" t="s">
        <v>136</v>
      </c>
      <c r="E37" s="63" t="s">
        <v>137</v>
      </c>
      <c r="F37" s="64">
        <f>+'COMUNAS - HOME DELIVERY 2026'!F37*1.1</f>
        <v>3328.4064000000003</v>
      </c>
      <c r="G37" s="65">
        <f>+'COMUNAS - HOME DELIVERY 2026'!G37*1.1</f>
        <v>3452.1432</v>
      </c>
      <c r="H37" s="65">
        <f>+'COMUNAS - HOME DELIVERY 2026'!H37*1.1</f>
        <v>3674.6424000000006</v>
      </c>
      <c r="I37" s="65">
        <f>+'COMUNAS - HOME DELIVERY 2026'!I37*1.1</f>
        <v>4000.4448000000002</v>
      </c>
      <c r="J37" s="65">
        <f>+'COMUNAS - HOME DELIVERY 2026'!J37*1.1</f>
        <v>4632.7512000000006</v>
      </c>
      <c r="K37" s="65">
        <f>+'COMUNAS - HOME DELIVERY 2026'!K37*1.1</f>
        <v>5039.1527999999998</v>
      </c>
      <c r="L37" s="65">
        <f>+'COMUNAS - HOME DELIVERY 2026'!L37*1.1</f>
        <v>5899.6344000000008</v>
      </c>
      <c r="M37" s="66">
        <f>+'COMUNAS - HOME DELIVERY 2026'!M37*1.1</f>
        <v>340.56000000000006</v>
      </c>
      <c r="N37" s="67">
        <f>+'COMUNAS - HOME DELIVERY 2026'!N37*1.1</f>
        <v>259.96080000000001</v>
      </c>
      <c r="O37" s="60"/>
      <c r="P37" s="2"/>
      <c r="Q37" s="2"/>
      <c r="R37" s="2"/>
      <c r="S37" s="38"/>
    </row>
    <row r="38" spans="2:25" ht="15.75" customHeight="1" x14ac:dyDescent="0.3">
      <c r="B38" s="2"/>
      <c r="C38" s="61" t="s">
        <v>74</v>
      </c>
      <c r="D38" s="62" t="s">
        <v>138</v>
      </c>
      <c r="E38" s="63" t="s">
        <v>139</v>
      </c>
      <c r="F38" s="64">
        <f>+'COMUNAS - HOME DELIVERY 2026'!F38*1.1</f>
        <v>3328.4064000000003</v>
      </c>
      <c r="G38" s="65">
        <f>+'COMUNAS - HOME DELIVERY 2026'!G38*1.1</f>
        <v>3452.1432</v>
      </c>
      <c r="H38" s="65">
        <f>+'COMUNAS - HOME DELIVERY 2026'!H38*1.1</f>
        <v>3674.6424000000006</v>
      </c>
      <c r="I38" s="65">
        <f>+'COMUNAS - HOME DELIVERY 2026'!I38*1.1</f>
        <v>4000.4448000000002</v>
      </c>
      <c r="J38" s="65">
        <f>+'COMUNAS - HOME DELIVERY 2026'!J38*1.1</f>
        <v>4632.7512000000006</v>
      </c>
      <c r="K38" s="65">
        <f>+'COMUNAS - HOME DELIVERY 2026'!K38*1.1</f>
        <v>5039.1527999999998</v>
      </c>
      <c r="L38" s="65">
        <f>+'COMUNAS - HOME DELIVERY 2026'!L38*1.1</f>
        <v>5899.6344000000008</v>
      </c>
      <c r="M38" s="66">
        <f>+'COMUNAS - HOME DELIVERY 2026'!M38*1.1</f>
        <v>340.56000000000006</v>
      </c>
      <c r="N38" s="67">
        <f>+'COMUNAS - HOME DELIVERY 2026'!N38*1.1</f>
        <v>259.96080000000001</v>
      </c>
      <c r="O38" s="60"/>
      <c r="P38" s="2"/>
      <c r="Q38" s="2"/>
      <c r="R38" s="2"/>
      <c r="S38" s="38"/>
    </row>
    <row r="39" spans="2:25" ht="15.75" customHeight="1" x14ac:dyDescent="0.3">
      <c r="B39" s="2"/>
      <c r="C39" s="61" t="s">
        <v>74</v>
      </c>
      <c r="D39" s="62" t="s">
        <v>140</v>
      </c>
      <c r="E39" s="63" t="s">
        <v>141</v>
      </c>
      <c r="F39" s="64">
        <f>+'COMUNAS - HOME DELIVERY 2026'!F39*1.1</f>
        <v>3328.4064000000003</v>
      </c>
      <c r="G39" s="65">
        <f>+'COMUNAS - HOME DELIVERY 2026'!G39*1.1</f>
        <v>3452.1432</v>
      </c>
      <c r="H39" s="65">
        <f>+'COMUNAS - HOME DELIVERY 2026'!H39*1.1</f>
        <v>3674.6424000000006</v>
      </c>
      <c r="I39" s="65">
        <f>+'COMUNAS - HOME DELIVERY 2026'!I39*1.1</f>
        <v>4000.4448000000002</v>
      </c>
      <c r="J39" s="65">
        <f>+'COMUNAS - HOME DELIVERY 2026'!J39*1.1</f>
        <v>4632.7512000000006</v>
      </c>
      <c r="K39" s="65">
        <f>+'COMUNAS - HOME DELIVERY 2026'!K39*1.1</f>
        <v>5039.1527999999998</v>
      </c>
      <c r="L39" s="65">
        <f>+'COMUNAS - HOME DELIVERY 2026'!L39*1.1</f>
        <v>5899.6344000000008</v>
      </c>
      <c r="M39" s="66">
        <f>+'COMUNAS - HOME DELIVERY 2026'!M39*1.1</f>
        <v>340.56000000000006</v>
      </c>
      <c r="N39" s="67">
        <f>+'COMUNAS - HOME DELIVERY 2026'!N39*1.1</f>
        <v>259.96080000000001</v>
      </c>
      <c r="O39" s="60"/>
      <c r="P39" s="2"/>
      <c r="Q39" s="2"/>
      <c r="R39" s="2"/>
      <c r="S39" s="38"/>
    </row>
    <row r="40" spans="2:25" ht="15.75" customHeight="1" x14ac:dyDescent="0.3">
      <c r="B40" s="2"/>
      <c r="C40" s="61" t="s">
        <v>74</v>
      </c>
      <c r="D40" s="62" t="s">
        <v>142</v>
      </c>
      <c r="E40" s="63" t="s">
        <v>143</v>
      </c>
      <c r="F40" s="64">
        <f>+'COMUNAS - HOME DELIVERY 2026'!F40*1.1</f>
        <v>3328.4064000000003</v>
      </c>
      <c r="G40" s="65">
        <f>+'COMUNAS - HOME DELIVERY 2026'!G40*1.1</f>
        <v>3452.1432</v>
      </c>
      <c r="H40" s="65">
        <f>+'COMUNAS - HOME DELIVERY 2026'!H40*1.1</f>
        <v>3674.6424000000006</v>
      </c>
      <c r="I40" s="65">
        <f>+'COMUNAS - HOME DELIVERY 2026'!I40*1.1</f>
        <v>4000.4448000000002</v>
      </c>
      <c r="J40" s="65">
        <f>+'COMUNAS - HOME DELIVERY 2026'!J40*1.1</f>
        <v>4632.7512000000006</v>
      </c>
      <c r="K40" s="65">
        <f>+'COMUNAS - HOME DELIVERY 2026'!K40*1.1</f>
        <v>5039.1527999999998</v>
      </c>
      <c r="L40" s="65">
        <f>+'COMUNAS - HOME DELIVERY 2026'!L40*1.1</f>
        <v>5899.6344000000008</v>
      </c>
      <c r="M40" s="66">
        <f>+'COMUNAS - HOME DELIVERY 2026'!M40*1.1</f>
        <v>340.56000000000006</v>
      </c>
      <c r="N40" s="67">
        <f>+'COMUNAS - HOME DELIVERY 2026'!N40*1.1</f>
        <v>259.96080000000001</v>
      </c>
      <c r="O40" s="60"/>
      <c r="P40" s="2"/>
      <c r="Q40" s="2"/>
      <c r="R40" s="2"/>
      <c r="S40" s="2"/>
      <c r="T40" s="2"/>
      <c r="U40" s="2"/>
      <c r="V40" s="2"/>
      <c r="W40" s="2"/>
      <c r="X40" s="2"/>
      <c r="Y40" s="38"/>
    </row>
    <row r="41" spans="2:25" ht="15.75" customHeight="1" x14ac:dyDescent="0.3">
      <c r="B41" s="2"/>
      <c r="C41" s="61" t="s">
        <v>74</v>
      </c>
      <c r="D41" s="62" t="s">
        <v>144</v>
      </c>
      <c r="E41" s="63" t="s">
        <v>145</v>
      </c>
      <c r="F41" s="64">
        <f>+'COMUNAS - HOME DELIVERY 2026'!F41*1.1</f>
        <v>4074.2328000000002</v>
      </c>
      <c r="G41" s="65">
        <f>+'COMUNAS - HOME DELIVERY 2026'!G41*1.1</f>
        <v>4358.0328</v>
      </c>
      <c r="H41" s="65">
        <f>+'COMUNAS - HOME DELIVERY 2026'!H41*1.1</f>
        <v>4946.0664000000006</v>
      </c>
      <c r="I41" s="65">
        <f>+'COMUNAS - HOME DELIVERY 2026'!I41*1.1</f>
        <v>5857.6320000000005</v>
      </c>
      <c r="J41" s="65">
        <f>+'COMUNAS - HOME DELIVERY 2026'!J41*1.1</f>
        <v>7277.7672000000002</v>
      </c>
      <c r="K41" s="65">
        <f>+'COMUNAS - HOME DELIVERY 2026'!K41*1.1</f>
        <v>8224.5240000000013</v>
      </c>
      <c r="L41" s="65">
        <f>+'COMUNAS - HOME DELIVERY 2026'!L41*1.1</f>
        <v>9230.3112000000019</v>
      </c>
      <c r="M41" s="66">
        <f>+'COMUNAS - HOME DELIVERY 2026'!M41*1.1</f>
        <v>465.43200000000002</v>
      </c>
      <c r="N41" s="67">
        <f>+'COMUNAS - HOME DELIVERY 2026'!N41*1.1</f>
        <v>385.96800000000002</v>
      </c>
      <c r="O41" s="60"/>
      <c r="P41" s="2"/>
      <c r="Q41" s="2"/>
      <c r="R41" s="2"/>
      <c r="S41" s="2"/>
      <c r="T41" s="2"/>
      <c r="U41" s="2"/>
      <c r="V41" s="2"/>
      <c r="W41" s="2"/>
      <c r="X41" s="2"/>
      <c r="Y41" s="38"/>
    </row>
    <row r="42" spans="2:25" ht="15.75" customHeight="1" x14ac:dyDescent="0.3">
      <c r="B42" s="2"/>
      <c r="C42" s="61" t="s">
        <v>74</v>
      </c>
      <c r="D42" s="62" t="s">
        <v>146</v>
      </c>
      <c r="E42" s="63" t="s">
        <v>147</v>
      </c>
      <c r="F42" s="64">
        <f>+'COMUNAS - HOME DELIVERY 2026'!F42*1.1</f>
        <v>3328.4064000000003</v>
      </c>
      <c r="G42" s="65">
        <f>+'COMUNAS - HOME DELIVERY 2026'!G42*1.1</f>
        <v>3452.1432</v>
      </c>
      <c r="H42" s="65">
        <f>+'COMUNAS - HOME DELIVERY 2026'!H42*1.1</f>
        <v>3674.6424000000006</v>
      </c>
      <c r="I42" s="65">
        <f>+'COMUNAS - HOME DELIVERY 2026'!I42*1.1</f>
        <v>4000.4448000000002</v>
      </c>
      <c r="J42" s="65">
        <f>+'COMUNAS - HOME DELIVERY 2026'!J42*1.1</f>
        <v>4632.7512000000006</v>
      </c>
      <c r="K42" s="65">
        <f>+'COMUNAS - HOME DELIVERY 2026'!K42*1.1</f>
        <v>5039.1527999999998</v>
      </c>
      <c r="L42" s="65">
        <f>+'COMUNAS - HOME DELIVERY 2026'!L42*1.1</f>
        <v>5899.6344000000008</v>
      </c>
      <c r="M42" s="66">
        <f>+'COMUNAS - HOME DELIVERY 2026'!M42*1.1</f>
        <v>340.56000000000006</v>
      </c>
      <c r="N42" s="67">
        <f>+'COMUNAS - HOME DELIVERY 2026'!N42*1.1</f>
        <v>259.96080000000001</v>
      </c>
      <c r="O42" s="60"/>
      <c r="P42" s="2"/>
      <c r="Q42" s="2"/>
      <c r="R42" s="2"/>
      <c r="S42" s="2"/>
      <c r="T42" s="2"/>
      <c r="U42" s="2"/>
      <c r="V42" s="2"/>
      <c r="W42" s="2"/>
      <c r="X42" s="2"/>
      <c r="Y42" s="38"/>
    </row>
    <row r="43" spans="2:25" ht="15.75" customHeight="1" x14ac:dyDescent="0.3">
      <c r="B43" s="2"/>
      <c r="C43" s="61" t="s">
        <v>74</v>
      </c>
      <c r="D43" s="62" t="s">
        <v>148</v>
      </c>
      <c r="E43" s="63" t="s">
        <v>149</v>
      </c>
      <c r="F43" s="64">
        <f>+'COMUNAS - HOME DELIVERY 2026'!F43*1.1</f>
        <v>3328.4064000000003</v>
      </c>
      <c r="G43" s="65">
        <f>+'COMUNAS - HOME DELIVERY 2026'!G43*1.1</f>
        <v>3452.1432</v>
      </c>
      <c r="H43" s="65">
        <f>+'COMUNAS - HOME DELIVERY 2026'!H43*1.1</f>
        <v>3674.6424000000006</v>
      </c>
      <c r="I43" s="65">
        <f>+'COMUNAS - HOME DELIVERY 2026'!I43*1.1</f>
        <v>4000.4448000000002</v>
      </c>
      <c r="J43" s="65">
        <f>+'COMUNAS - HOME DELIVERY 2026'!J43*1.1</f>
        <v>4632.7512000000006</v>
      </c>
      <c r="K43" s="65">
        <f>+'COMUNAS - HOME DELIVERY 2026'!K43*1.1</f>
        <v>5039.1527999999998</v>
      </c>
      <c r="L43" s="65">
        <f>+'COMUNAS - HOME DELIVERY 2026'!L43*1.1</f>
        <v>5899.6344000000008</v>
      </c>
      <c r="M43" s="66">
        <f>+'COMUNAS - HOME DELIVERY 2026'!M43*1.1</f>
        <v>340.56000000000006</v>
      </c>
      <c r="N43" s="67">
        <f>+'COMUNAS - HOME DELIVERY 2026'!N43*1.1</f>
        <v>259.96080000000001</v>
      </c>
      <c r="O43" s="60"/>
      <c r="P43" s="2"/>
      <c r="Q43" s="2"/>
      <c r="R43" s="2"/>
      <c r="S43" s="2"/>
      <c r="T43" s="2"/>
      <c r="U43" s="2"/>
      <c r="V43" s="2"/>
      <c r="W43" s="2"/>
      <c r="X43" s="2"/>
      <c r="Y43" s="38"/>
    </row>
    <row r="44" spans="2:25" ht="15.75" customHeight="1" x14ac:dyDescent="0.3">
      <c r="B44" s="2"/>
      <c r="C44" s="61" t="s">
        <v>74</v>
      </c>
      <c r="D44" s="62" t="s">
        <v>150</v>
      </c>
      <c r="E44" s="63" t="s">
        <v>151</v>
      </c>
      <c r="F44" s="64">
        <f>+'COMUNAS - HOME DELIVERY 2026'!F44*1.1</f>
        <v>3328.4064000000003</v>
      </c>
      <c r="G44" s="65">
        <f>+'COMUNAS - HOME DELIVERY 2026'!G44*1.1</f>
        <v>3452.1432</v>
      </c>
      <c r="H44" s="65">
        <f>+'COMUNAS - HOME DELIVERY 2026'!H44*1.1</f>
        <v>3674.6424000000006</v>
      </c>
      <c r="I44" s="65">
        <f>+'COMUNAS - HOME DELIVERY 2026'!I44*1.1</f>
        <v>4000.4448000000002</v>
      </c>
      <c r="J44" s="65">
        <f>+'COMUNAS - HOME DELIVERY 2026'!J44*1.1</f>
        <v>4632.7512000000006</v>
      </c>
      <c r="K44" s="65">
        <f>+'COMUNAS - HOME DELIVERY 2026'!K44*1.1</f>
        <v>5039.1527999999998</v>
      </c>
      <c r="L44" s="65">
        <f>+'COMUNAS - HOME DELIVERY 2026'!L44*1.1</f>
        <v>5899.6344000000008</v>
      </c>
      <c r="M44" s="66">
        <f>+'COMUNAS - HOME DELIVERY 2026'!M44*1.1</f>
        <v>340.56000000000006</v>
      </c>
      <c r="N44" s="67">
        <f>+'COMUNAS - HOME DELIVERY 2026'!N44*1.1</f>
        <v>259.96080000000001</v>
      </c>
      <c r="O44" s="60"/>
      <c r="P44" s="2"/>
      <c r="Q44" s="2"/>
      <c r="R44" s="2"/>
      <c r="S44" s="2"/>
      <c r="T44" s="2"/>
      <c r="U44" s="2"/>
      <c r="V44" s="2"/>
      <c r="W44" s="2"/>
      <c r="X44" s="2"/>
      <c r="Y44" s="38"/>
    </row>
    <row r="45" spans="2:25" ht="15.75" customHeight="1" x14ac:dyDescent="0.3">
      <c r="B45" s="2"/>
      <c r="C45" s="61" t="s">
        <v>74</v>
      </c>
      <c r="D45" s="62" t="s">
        <v>152</v>
      </c>
      <c r="E45" s="63" t="s">
        <v>153</v>
      </c>
      <c r="F45" s="64">
        <f>+'COMUNAS - HOME DELIVERY 2026'!F45*1.1</f>
        <v>4074.2328000000002</v>
      </c>
      <c r="G45" s="65">
        <f>+'COMUNAS - HOME DELIVERY 2026'!G45*1.1</f>
        <v>4358.0328</v>
      </c>
      <c r="H45" s="65">
        <f>+'COMUNAS - HOME DELIVERY 2026'!H45*1.1</f>
        <v>4946.0664000000006</v>
      </c>
      <c r="I45" s="65">
        <f>+'COMUNAS - HOME DELIVERY 2026'!I45*1.1</f>
        <v>5857.6320000000005</v>
      </c>
      <c r="J45" s="65">
        <f>+'COMUNAS - HOME DELIVERY 2026'!J45*1.1</f>
        <v>7277.7672000000002</v>
      </c>
      <c r="K45" s="65">
        <f>+'COMUNAS - HOME DELIVERY 2026'!K45*1.1</f>
        <v>8224.5240000000013</v>
      </c>
      <c r="L45" s="65">
        <f>+'COMUNAS - HOME DELIVERY 2026'!L45*1.1</f>
        <v>9230.3112000000019</v>
      </c>
      <c r="M45" s="66">
        <f>+'COMUNAS - HOME DELIVERY 2026'!M45*1.1</f>
        <v>465.43200000000002</v>
      </c>
      <c r="N45" s="67">
        <f>+'COMUNAS - HOME DELIVERY 2026'!N45*1.1</f>
        <v>385.96800000000002</v>
      </c>
      <c r="O45" s="60"/>
      <c r="P45" s="2"/>
      <c r="Q45" s="2"/>
      <c r="R45" s="2"/>
      <c r="S45" s="2"/>
      <c r="T45" s="2"/>
      <c r="U45" s="2"/>
      <c r="V45" s="2"/>
      <c r="W45" s="2"/>
      <c r="X45" s="2"/>
      <c r="Y45" s="38"/>
    </row>
    <row r="46" spans="2:25" ht="15.75" customHeight="1" x14ac:dyDescent="0.3">
      <c r="B46" s="2"/>
      <c r="C46" s="61" t="s">
        <v>74</v>
      </c>
      <c r="D46" s="62" t="s">
        <v>154</v>
      </c>
      <c r="E46" s="63" t="s">
        <v>155</v>
      </c>
      <c r="F46" s="64">
        <f>+'COMUNAS - HOME DELIVERY 2026'!F46*1.1</f>
        <v>4074.2328000000002</v>
      </c>
      <c r="G46" s="65">
        <f>+'COMUNAS - HOME DELIVERY 2026'!G46*1.1</f>
        <v>4358.0328</v>
      </c>
      <c r="H46" s="65">
        <f>+'COMUNAS - HOME DELIVERY 2026'!H46*1.1</f>
        <v>4946.0664000000006</v>
      </c>
      <c r="I46" s="65">
        <f>+'COMUNAS - HOME DELIVERY 2026'!I46*1.1</f>
        <v>5857.6320000000005</v>
      </c>
      <c r="J46" s="65">
        <f>+'COMUNAS - HOME DELIVERY 2026'!J46*1.1</f>
        <v>7277.7672000000002</v>
      </c>
      <c r="K46" s="65">
        <f>+'COMUNAS - HOME DELIVERY 2026'!K46*1.1</f>
        <v>8224.5240000000013</v>
      </c>
      <c r="L46" s="65">
        <f>+'COMUNAS - HOME DELIVERY 2026'!L46*1.1</f>
        <v>9230.3112000000019</v>
      </c>
      <c r="M46" s="66">
        <f>+'COMUNAS - HOME DELIVERY 2026'!M46*1.1</f>
        <v>465.43200000000002</v>
      </c>
      <c r="N46" s="67">
        <f>+'COMUNAS - HOME DELIVERY 2026'!N46*1.1</f>
        <v>385.96800000000002</v>
      </c>
      <c r="O46" s="60"/>
      <c r="P46" s="2"/>
      <c r="Q46" s="2"/>
      <c r="R46" s="2"/>
      <c r="S46" s="2"/>
      <c r="T46" s="2"/>
      <c r="U46" s="2"/>
      <c r="V46" s="2"/>
      <c r="W46" s="2"/>
      <c r="X46" s="2"/>
      <c r="Y46" s="38"/>
    </row>
    <row r="47" spans="2:25" ht="15.75" customHeight="1" x14ac:dyDescent="0.3">
      <c r="B47" s="2"/>
      <c r="C47" s="61" t="s">
        <v>74</v>
      </c>
      <c r="D47" s="62" t="s">
        <v>156</v>
      </c>
      <c r="E47" s="63" t="s">
        <v>157</v>
      </c>
      <c r="F47" s="64">
        <f>+'COMUNAS - HOME DELIVERY 2026'!F47*1.1</f>
        <v>3328.4064000000003</v>
      </c>
      <c r="G47" s="65">
        <f>+'COMUNAS - HOME DELIVERY 2026'!G47*1.1</f>
        <v>3452.1432</v>
      </c>
      <c r="H47" s="65">
        <f>+'COMUNAS - HOME DELIVERY 2026'!H47*1.1</f>
        <v>3674.6424000000006</v>
      </c>
      <c r="I47" s="65">
        <f>+'COMUNAS - HOME DELIVERY 2026'!I47*1.1</f>
        <v>4000.4448000000002</v>
      </c>
      <c r="J47" s="65">
        <f>+'COMUNAS - HOME DELIVERY 2026'!J47*1.1</f>
        <v>4632.7512000000006</v>
      </c>
      <c r="K47" s="65">
        <f>+'COMUNAS - HOME DELIVERY 2026'!K47*1.1</f>
        <v>5039.1527999999998</v>
      </c>
      <c r="L47" s="65">
        <f>+'COMUNAS - HOME DELIVERY 2026'!L47*1.1</f>
        <v>5899.6344000000008</v>
      </c>
      <c r="M47" s="66">
        <f>+'COMUNAS - HOME DELIVERY 2026'!M47*1.1</f>
        <v>340.56000000000006</v>
      </c>
      <c r="N47" s="67">
        <f>+'COMUNAS - HOME DELIVERY 2026'!N47*1.1</f>
        <v>259.96080000000001</v>
      </c>
      <c r="O47" s="60"/>
      <c r="P47" s="2"/>
      <c r="Q47" s="2"/>
      <c r="R47" s="2"/>
      <c r="S47" s="2"/>
      <c r="T47" s="2"/>
      <c r="U47" s="2"/>
      <c r="V47" s="2"/>
      <c r="W47" s="2"/>
      <c r="X47" s="2"/>
      <c r="Y47" s="38"/>
    </row>
    <row r="48" spans="2:25" ht="15.75" customHeight="1" x14ac:dyDescent="0.3">
      <c r="B48" s="2"/>
      <c r="C48" s="61" t="s">
        <v>74</v>
      </c>
      <c r="D48" s="62" t="s">
        <v>158</v>
      </c>
      <c r="E48" s="63" t="s">
        <v>159</v>
      </c>
      <c r="F48" s="64">
        <f>+'COMUNAS - HOME DELIVERY 2026'!F48*1.1</f>
        <v>3328.4064000000003</v>
      </c>
      <c r="G48" s="65">
        <f>+'COMUNAS - HOME DELIVERY 2026'!G48*1.1</f>
        <v>3452.1432</v>
      </c>
      <c r="H48" s="65">
        <f>+'COMUNAS - HOME DELIVERY 2026'!H48*1.1</f>
        <v>3674.6424000000006</v>
      </c>
      <c r="I48" s="65">
        <f>+'COMUNAS - HOME DELIVERY 2026'!I48*1.1</f>
        <v>4000.4448000000002</v>
      </c>
      <c r="J48" s="65">
        <f>+'COMUNAS - HOME DELIVERY 2026'!J48*1.1</f>
        <v>4632.7512000000006</v>
      </c>
      <c r="K48" s="65">
        <f>+'COMUNAS - HOME DELIVERY 2026'!K48*1.1</f>
        <v>5039.1527999999998</v>
      </c>
      <c r="L48" s="65">
        <f>+'COMUNAS - HOME DELIVERY 2026'!L48*1.1</f>
        <v>5899.6344000000008</v>
      </c>
      <c r="M48" s="66">
        <f>+'COMUNAS - HOME DELIVERY 2026'!M48*1.1</f>
        <v>340.56000000000006</v>
      </c>
      <c r="N48" s="67">
        <f>+'COMUNAS - HOME DELIVERY 2026'!N48*1.1</f>
        <v>259.96080000000001</v>
      </c>
      <c r="O48" s="60"/>
      <c r="P48" s="2"/>
      <c r="Q48" s="2"/>
      <c r="R48" s="2"/>
      <c r="S48" s="2"/>
      <c r="T48" s="2"/>
      <c r="U48" s="2"/>
      <c r="V48" s="2"/>
      <c r="W48" s="2"/>
      <c r="X48" s="2"/>
      <c r="Y48" s="38"/>
    </row>
    <row r="49" spans="2:25" ht="15.75" customHeight="1" x14ac:dyDescent="0.3">
      <c r="B49" s="2"/>
      <c r="C49" s="61" t="s">
        <v>74</v>
      </c>
      <c r="D49" s="62" t="s">
        <v>160</v>
      </c>
      <c r="E49" s="63" t="s">
        <v>161</v>
      </c>
      <c r="F49" s="64">
        <f>+'COMUNAS - HOME DELIVERY 2026'!F49*1.1</f>
        <v>4074.2328000000002</v>
      </c>
      <c r="G49" s="65">
        <f>+'COMUNAS - HOME DELIVERY 2026'!G49*1.1</f>
        <v>4358.0328</v>
      </c>
      <c r="H49" s="65">
        <f>+'COMUNAS - HOME DELIVERY 2026'!H49*1.1</f>
        <v>4946.0664000000006</v>
      </c>
      <c r="I49" s="65">
        <f>+'COMUNAS - HOME DELIVERY 2026'!I49*1.1</f>
        <v>5857.6320000000005</v>
      </c>
      <c r="J49" s="65">
        <f>+'COMUNAS - HOME DELIVERY 2026'!J49*1.1</f>
        <v>7277.7672000000002</v>
      </c>
      <c r="K49" s="65">
        <f>+'COMUNAS - HOME DELIVERY 2026'!K49*1.1</f>
        <v>8224.5240000000013</v>
      </c>
      <c r="L49" s="65">
        <f>+'COMUNAS - HOME DELIVERY 2026'!L49*1.1</f>
        <v>9230.3112000000019</v>
      </c>
      <c r="M49" s="66">
        <f>+'COMUNAS - HOME DELIVERY 2026'!M49*1.1</f>
        <v>465.43200000000002</v>
      </c>
      <c r="N49" s="67">
        <f>+'COMUNAS - HOME DELIVERY 2026'!N49*1.1</f>
        <v>385.96800000000002</v>
      </c>
      <c r="O49" s="60"/>
      <c r="P49" s="2"/>
      <c r="Q49" s="2"/>
      <c r="R49" s="2"/>
      <c r="S49" s="2"/>
      <c r="T49" s="2"/>
      <c r="U49" s="2"/>
      <c r="V49" s="2"/>
      <c r="W49" s="2"/>
      <c r="X49" s="2"/>
      <c r="Y49" s="38"/>
    </row>
    <row r="50" spans="2:25" ht="15.75" customHeight="1" x14ac:dyDescent="0.3">
      <c r="B50" s="2"/>
      <c r="C50" s="61" t="s">
        <v>74</v>
      </c>
      <c r="D50" s="62" t="s">
        <v>162</v>
      </c>
      <c r="E50" s="63" t="s">
        <v>34</v>
      </c>
      <c r="F50" s="64">
        <f>+'COMUNAS - HOME DELIVERY 2026'!F50*1.1</f>
        <v>4074.2328000000002</v>
      </c>
      <c r="G50" s="65">
        <f>+'COMUNAS - HOME DELIVERY 2026'!G50*1.1</f>
        <v>4358.0328</v>
      </c>
      <c r="H50" s="65">
        <f>+'COMUNAS - HOME DELIVERY 2026'!H50*1.1</f>
        <v>4946.0664000000006</v>
      </c>
      <c r="I50" s="65">
        <f>+'COMUNAS - HOME DELIVERY 2026'!I50*1.1</f>
        <v>5857.6320000000005</v>
      </c>
      <c r="J50" s="65">
        <f>+'COMUNAS - HOME DELIVERY 2026'!J50*1.1</f>
        <v>7277.7672000000002</v>
      </c>
      <c r="K50" s="65">
        <f>+'COMUNAS - HOME DELIVERY 2026'!K50*1.1</f>
        <v>8224.5240000000013</v>
      </c>
      <c r="L50" s="65">
        <f>+'COMUNAS - HOME DELIVERY 2026'!L50*1.1</f>
        <v>9230.3112000000019</v>
      </c>
      <c r="M50" s="66">
        <f>+'COMUNAS - HOME DELIVERY 2026'!M50*1.1</f>
        <v>465.43200000000002</v>
      </c>
      <c r="N50" s="67">
        <f>+'COMUNAS - HOME DELIVERY 2026'!N50*1.1</f>
        <v>385.96800000000002</v>
      </c>
      <c r="O50" s="60"/>
      <c r="P50" s="2"/>
      <c r="Q50" s="2"/>
      <c r="R50" s="2"/>
      <c r="S50" s="2"/>
      <c r="T50" s="2"/>
      <c r="U50" s="2"/>
      <c r="V50" s="2"/>
      <c r="W50" s="2"/>
      <c r="X50" s="2"/>
      <c r="Y50" s="38"/>
    </row>
    <row r="51" spans="2:25" ht="15.75" customHeight="1" x14ac:dyDescent="0.3">
      <c r="B51" s="2"/>
      <c r="C51" s="61" t="s">
        <v>74</v>
      </c>
      <c r="D51" s="62" t="s">
        <v>163</v>
      </c>
      <c r="E51" s="63" t="s">
        <v>164</v>
      </c>
      <c r="F51" s="64">
        <f>+'COMUNAS - HOME DELIVERY 2026'!F51*1.1</f>
        <v>3328.4064000000003</v>
      </c>
      <c r="G51" s="65">
        <f>+'COMUNAS - HOME DELIVERY 2026'!G51*1.1</f>
        <v>3452.1432</v>
      </c>
      <c r="H51" s="65">
        <f>+'COMUNAS - HOME DELIVERY 2026'!H51*1.1</f>
        <v>3674.6424000000006</v>
      </c>
      <c r="I51" s="65">
        <f>+'COMUNAS - HOME DELIVERY 2026'!I51*1.1</f>
        <v>4000.4448000000002</v>
      </c>
      <c r="J51" s="65">
        <f>+'COMUNAS - HOME DELIVERY 2026'!J51*1.1</f>
        <v>4632.7512000000006</v>
      </c>
      <c r="K51" s="65">
        <f>+'COMUNAS - HOME DELIVERY 2026'!K51*1.1</f>
        <v>5039.1527999999998</v>
      </c>
      <c r="L51" s="65">
        <f>+'COMUNAS - HOME DELIVERY 2026'!L51*1.1</f>
        <v>5899.6344000000008</v>
      </c>
      <c r="M51" s="66">
        <f>+'COMUNAS - HOME DELIVERY 2026'!M51*1.1</f>
        <v>340.56000000000006</v>
      </c>
      <c r="N51" s="67">
        <f>+'COMUNAS - HOME DELIVERY 2026'!N51*1.1</f>
        <v>259.96080000000001</v>
      </c>
      <c r="O51" s="60"/>
      <c r="P51" s="2"/>
      <c r="Q51" s="2"/>
      <c r="R51" s="2"/>
      <c r="S51" s="2"/>
      <c r="T51" s="2"/>
      <c r="U51" s="2"/>
      <c r="V51" s="2"/>
      <c r="W51" s="2"/>
      <c r="X51" s="2"/>
      <c r="Y51" s="38"/>
    </row>
    <row r="52" spans="2:25" ht="15.75" customHeight="1" x14ac:dyDescent="0.3">
      <c r="B52" s="2"/>
      <c r="C52" s="61" t="s">
        <v>74</v>
      </c>
      <c r="D52" s="62" t="s">
        <v>165</v>
      </c>
      <c r="E52" s="63" t="s">
        <v>166</v>
      </c>
      <c r="F52" s="64">
        <f>+'COMUNAS - HOME DELIVERY 2026'!F52*1.1</f>
        <v>3328.4064000000003</v>
      </c>
      <c r="G52" s="65">
        <f>+'COMUNAS - HOME DELIVERY 2026'!G52*1.1</f>
        <v>3452.1432</v>
      </c>
      <c r="H52" s="65">
        <f>+'COMUNAS - HOME DELIVERY 2026'!H52*1.1</f>
        <v>3674.6424000000006</v>
      </c>
      <c r="I52" s="65">
        <f>+'COMUNAS - HOME DELIVERY 2026'!I52*1.1</f>
        <v>4000.4448000000002</v>
      </c>
      <c r="J52" s="65">
        <f>+'COMUNAS - HOME DELIVERY 2026'!J52*1.1</f>
        <v>4632.7512000000006</v>
      </c>
      <c r="K52" s="65">
        <f>+'COMUNAS - HOME DELIVERY 2026'!K52*1.1</f>
        <v>5039.1527999999998</v>
      </c>
      <c r="L52" s="65">
        <f>+'COMUNAS - HOME DELIVERY 2026'!L52*1.1</f>
        <v>5899.6344000000008</v>
      </c>
      <c r="M52" s="66">
        <f>+'COMUNAS - HOME DELIVERY 2026'!M52*1.1</f>
        <v>340.56000000000006</v>
      </c>
      <c r="N52" s="67">
        <f>+'COMUNAS - HOME DELIVERY 2026'!N52*1.1</f>
        <v>259.96080000000001</v>
      </c>
      <c r="O52" s="60"/>
      <c r="P52" s="2"/>
      <c r="Q52" s="2"/>
      <c r="R52" s="2"/>
      <c r="S52" s="2"/>
      <c r="T52" s="2"/>
      <c r="U52" s="2"/>
      <c r="V52" s="2"/>
      <c r="W52" s="2"/>
      <c r="X52" s="2"/>
      <c r="Y52" s="38"/>
    </row>
    <row r="53" spans="2:25" ht="15.75" customHeight="1" x14ac:dyDescent="0.3">
      <c r="B53" s="2"/>
      <c r="C53" s="61" t="s">
        <v>74</v>
      </c>
      <c r="D53" s="62" t="s">
        <v>167</v>
      </c>
      <c r="E53" s="63" t="s">
        <v>168</v>
      </c>
      <c r="F53" s="64">
        <f>+'COMUNAS - HOME DELIVERY 2026'!F53*1.1</f>
        <v>3328.4064000000003</v>
      </c>
      <c r="G53" s="65">
        <f>+'COMUNAS - HOME DELIVERY 2026'!G53*1.1</f>
        <v>3452.1432</v>
      </c>
      <c r="H53" s="65">
        <f>+'COMUNAS - HOME DELIVERY 2026'!H53*1.1</f>
        <v>3674.6424000000006</v>
      </c>
      <c r="I53" s="65">
        <f>+'COMUNAS - HOME DELIVERY 2026'!I53*1.1</f>
        <v>4000.4448000000002</v>
      </c>
      <c r="J53" s="65">
        <f>+'COMUNAS - HOME DELIVERY 2026'!J53*1.1</f>
        <v>4632.7512000000006</v>
      </c>
      <c r="K53" s="65">
        <f>+'COMUNAS - HOME DELIVERY 2026'!K53*1.1</f>
        <v>5039.1527999999998</v>
      </c>
      <c r="L53" s="65">
        <f>+'COMUNAS - HOME DELIVERY 2026'!L53*1.1</f>
        <v>5899.6344000000008</v>
      </c>
      <c r="M53" s="66">
        <f>+'COMUNAS - HOME DELIVERY 2026'!M53*1.1</f>
        <v>340.56000000000006</v>
      </c>
      <c r="N53" s="67">
        <f>+'COMUNAS - HOME DELIVERY 2026'!N53*1.1</f>
        <v>259.96080000000001</v>
      </c>
      <c r="O53" s="60"/>
      <c r="P53" s="2"/>
      <c r="Q53" s="2"/>
      <c r="R53" s="2"/>
      <c r="S53" s="2"/>
      <c r="T53" s="2"/>
      <c r="U53" s="2"/>
      <c r="V53" s="2"/>
      <c r="W53" s="2"/>
      <c r="X53" s="2"/>
      <c r="Y53" s="38"/>
    </row>
    <row r="54" spans="2:25" ht="15.75" customHeight="1" x14ac:dyDescent="0.3">
      <c r="B54" s="2"/>
      <c r="C54" s="61" t="s">
        <v>74</v>
      </c>
      <c r="D54" s="62" t="s">
        <v>169</v>
      </c>
      <c r="E54" s="63" t="s">
        <v>170</v>
      </c>
      <c r="F54" s="64">
        <f>+'COMUNAS - HOME DELIVERY 2026'!F54*1.1</f>
        <v>3328.4064000000003</v>
      </c>
      <c r="G54" s="65">
        <f>+'COMUNAS - HOME DELIVERY 2026'!G54*1.1</f>
        <v>3452.1432</v>
      </c>
      <c r="H54" s="65">
        <f>+'COMUNAS - HOME DELIVERY 2026'!H54*1.1</f>
        <v>3674.6424000000006</v>
      </c>
      <c r="I54" s="65">
        <f>+'COMUNAS - HOME DELIVERY 2026'!I54*1.1</f>
        <v>4000.4448000000002</v>
      </c>
      <c r="J54" s="65">
        <f>+'COMUNAS - HOME DELIVERY 2026'!J54*1.1</f>
        <v>4632.7512000000006</v>
      </c>
      <c r="K54" s="65">
        <f>+'COMUNAS - HOME DELIVERY 2026'!K54*1.1</f>
        <v>5039.1527999999998</v>
      </c>
      <c r="L54" s="65">
        <f>+'COMUNAS - HOME DELIVERY 2026'!L54*1.1</f>
        <v>5899.6344000000008</v>
      </c>
      <c r="M54" s="66">
        <f>+'COMUNAS - HOME DELIVERY 2026'!M54*1.1</f>
        <v>340.56000000000006</v>
      </c>
      <c r="N54" s="67">
        <f>+'COMUNAS - HOME DELIVERY 2026'!N54*1.1</f>
        <v>259.96080000000001</v>
      </c>
      <c r="O54" s="60"/>
      <c r="P54" s="2"/>
      <c r="Q54" s="2"/>
      <c r="R54" s="2"/>
      <c r="S54" s="2"/>
      <c r="T54" s="2"/>
      <c r="U54" s="2"/>
      <c r="V54" s="2"/>
      <c r="W54" s="2"/>
      <c r="X54" s="2"/>
      <c r="Y54" s="38"/>
    </row>
    <row r="55" spans="2:25" ht="15.75" customHeight="1" x14ac:dyDescent="0.3">
      <c r="B55" s="2"/>
      <c r="C55" s="61" t="s">
        <v>74</v>
      </c>
      <c r="D55" s="62" t="s">
        <v>171</v>
      </c>
      <c r="E55" s="63" t="s">
        <v>172</v>
      </c>
      <c r="F55" s="64">
        <f>+'COMUNAS - HOME DELIVERY 2026'!F55*1.1</f>
        <v>3328.4064000000003</v>
      </c>
      <c r="G55" s="65">
        <f>+'COMUNAS - HOME DELIVERY 2026'!G55*1.1</f>
        <v>3452.1432</v>
      </c>
      <c r="H55" s="65">
        <f>+'COMUNAS - HOME DELIVERY 2026'!H55*1.1</f>
        <v>3674.6424000000006</v>
      </c>
      <c r="I55" s="65">
        <f>+'COMUNAS - HOME DELIVERY 2026'!I55*1.1</f>
        <v>4000.4448000000002</v>
      </c>
      <c r="J55" s="65">
        <f>+'COMUNAS - HOME DELIVERY 2026'!J55*1.1</f>
        <v>4632.7512000000006</v>
      </c>
      <c r="K55" s="65">
        <f>+'COMUNAS - HOME DELIVERY 2026'!K55*1.1</f>
        <v>5039.1527999999998</v>
      </c>
      <c r="L55" s="65">
        <f>+'COMUNAS - HOME DELIVERY 2026'!L55*1.1</f>
        <v>5899.6344000000008</v>
      </c>
      <c r="M55" s="66">
        <f>+'COMUNAS - HOME DELIVERY 2026'!M55*1.1</f>
        <v>340.56000000000006</v>
      </c>
      <c r="N55" s="67">
        <f>+'COMUNAS - HOME DELIVERY 2026'!N55*1.1</f>
        <v>259.96080000000001</v>
      </c>
      <c r="O55" s="60"/>
      <c r="P55" s="2"/>
      <c r="Q55" s="2"/>
      <c r="R55" s="2"/>
      <c r="S55" s="2"/>
      <c r="T55" s="2"/>
      <c r="U55" s="2"/>
      <c r="V55" s="2"/>
      <c r="W55" s="2"/>
      <c r="X55" s="2"/>
      <c r="Y55" s="38"/>
    </row>
    <row r="56" spans="2:25" ht="15.75" customHeight="1" x14ac:dyDescent="0.3">
      <c r="B56" s="2"/>
      <c r="C56" s="61" t="s">
        <v>74</v>
      </c>
      <c r="D56" s="62" t="s">
        <v>173</v>
      </c>
      <c r="E56" s="63" t="s">
        <v>174</v>
      </c>
      <c r="F56" s="64">
        <f>+'COMUNAS - HOME DELIVERY 2026'!F56*1.1</f>
        <v>4074.2328000000002</v>
      </c>
      <c r="G56" s="65">
        <f>+'COMUNAS - HOME DELIVERY 2026'!G56*1.1</f>
        <v>4358.0328</v>
      </c>
      <c r="H56" s="65">
        <f>+'COMUNAS - HOME DELIVERY 2026'!H56*1.1</f>
        <v>4946.0664000000006</v>
      </c>
      <c r="I56" s="65">
        <f>+'COMUNAS - HOME DELIVERY 2026'!I56*1.1</f>
        <v>5857.6320000000005</v>
      </c>
      <c r="J56" s="65">
        <f>+'COMUNAS - HOME DELIVERY 2026'!J56*1.1</f>
        <v>7277.7672000000002</v>
      </c>
      <c r="K56" s="65">
        <f>+'COMUNAS - HOME DELIVERY 2026'!K56*1.1</f>
        <v>8224.5240000000013</v>
      </c>
      <c r="L56" s="65">
        <f>+'COMUNAS - HOME DELIVERY 2026'!L56*1.1</f>
        <v>9230.3112000000019</v>
      </c>
      <c r="M56" s="66">
        <f>+'COMUNAS - HOME DELIVERY 2026'!M56*1.1</f>
        <v>465.43200000000002</v>
      </c>
      <c r="N56" s="67">
        <f>+'COMUNAS - HOME DELIVERY 2026'!N56*1.1</f>
        <v>385.96800000000002</v>
      </c>
      <c r="O56" s="60"/>
      <c r="P56" s="2"/>
      <c r="Q56" s="2"/>
      <c r="R56" s="2"/>
      <c r="S56" s="2"/>
      <c r="T56" s="2"/>
      <c r="U56" s="2"/>
      <c r="V56" s="2"/>
      <c r="W56" s="2"/>
      <c r="X56" s="2"/>
      <c r="Y56" s="38"/>
    </row>
    <row r="57" spans="2:25" ht="15.75" customHeight="1" thickBot="1" x14ac:dyDescent="0.35">
      <c r="B57" s="2"/>
      <c r="C57" s="68" t="s">
        <v>74</v>
      </c>
      <c r="D57" s="69" t="s">
        <v>175</v>
      </c>
      <c r="E57" s="70" t="s">
        <v>176</v>
      </c>
      <c r="F57" s="71">
        <f>+'COMUNAS - HOME DELIVERY 2026'!F57*1.1</f>
        <v>3328.4064000000003</v>
      </c>
      <c r="G57" s="72">
        <f>+'COMUNAS - HOME DELIVERY 2026'!G57*1.1</f>
        <v>3452.1432</v>
      </c>
      <c r="H57" s="72">
        <f>+'COMUNAS - HOME DELIVERY 2026'!H57*1.1</f>
        <v>3674.6424000000006</v>
      </c>
      <c r="I57" s="72">
        <f>+'COMUNAS - HOME DELIVERY 2026'!I57*1.1</f>
        <v>4000.4448000000002</v>
      </c>
      <c r="J57" s="72">
        <f>+'COMUNAS - HOME DELIVERY 2026'!J57*1.1</f>
        <v>4632.7512000000006</v>
      </c>
      <c r="K57" s="72">
        <f>+'COMUNAS - HOME DELIVERY 2026'!K57*1.1</f>
        <v>5039.1527999999998</v>
      </c>
      <c r="L57" s="72">
        <f>+'COMUNAS - HOME DELIVERY 2026'!L57*1.1</f>
        <v>5899.6344000000008</v>
      </c>
      <c r="M57" s="73">
        <f>+'COMUNAS - HOME DELIVERY 2026'!M57*1.1</f>
        <v>340.56000000000006</v>
      </c>
      <c r="N57" s="74">
        <f>+'COMUNAS - HOME DELIVERY 2026'!N57*1.1</f>
        <v>259.96080000000001</v>
      </c>
      <c r="O57" s="60"/>
      <c r="P57" s="2"/>
      <c r="Q57" s="2"/>
      <c r="R57" s="2"/>
      <c r="S57" s="2"/>
      <c r="T57" s="2"/>
      <c r="U57" s="2"/>
      <c r="V57" s="2"/>
      <c r="W57" s="2"/>
      <c r="X57" s="2"/>
      <c r="Y57" s="38"/>
    </row>
    <row r="58" spans="2:25" ht="15.75" customHeight="1" x14ac:dyDescent="0.3">
      <c r="B58" s="2"/>
      <c r="C58" s="53" t="s">
        <v>177</v>
      </c>
      <c r="D58" s="54" t="s">
        <v>178</v>
      </c>
      <c r="E58" s="55" t="s">
        <v>20</v>
      </c>
      <c r="F58" s="56">
        <f>+'COMUNAS - HOME DELIVERY 2026'!F58*1.1</f>
        <v>5137.9152000000004</v>
      </c>
      <c r="G58" s="57">
        <f>+'COMUNAS - HOME DELIVERY 2026'!G58*1.1</f>
        <v>5655.5664000000006</v>
      </c>
      <c r="H58" s="57">
        <f>+'COMUNAS - HOME DELIVERY 2026'!H58*1.1</f>
        <v>6285.6024000000007</v>
      </c>
      <c r="I58" s="57">
        <f>+'COMUNAS - HOME DELIVERY 2026'!I58*1.1</f>
        <v>7105.2168000000011</v>
      </c>
      <c r="J58" s="57">
        <f>+'COMUNAS - HOME DELIVERY 2026'!J58*1.1</f>
        <v>8850.0192000000006</v>
      </c>
      <c r="K58" s="57">
        <f>+'COMUNAS - HOME DELIVERY 2026'!K58*1.1</f>
        <v>10573.252800000002</v>
      </c>
      <c r="L58" s="57">
        <f>+'COMUNAS - HOME DELIVERY 2026'!L58*1.1</f>
        <v>11994.523200000001</v>
      </c>
      <c r="M58" s="58">
        <f>+'COMUNAS - HOME DELIVERY 2026'!M58*1.1</f>
        <v>614.14320000000009</v>
      </c>
      <c r="N58" s="59">
        <f>+'COMUNAS - HOME DELIVERY 2026'!N58*1.1</f>
        <v>504.02880000000005</v>
      </c>
      <c r="O58" s="60"/>
      <c r="P58" s="2"/>
      <c r="Q58" s="2"/>
      <c r="R58" s="2"/>
      <c r="S58" s="2"/>
      <c r="T58" s="2"/>
      <c r="U58" s="2"/>
      <c r="V58" s="2"/>
      <c r="W58" s="2"/>
      <c r="X58" s="2"/>
      <c r="Y58" s="38"/>
    </row>
    <row r="59" spans="2:25" ht="15.75" customHeight="1" x14ac:dyDescent="0.3">
      <c r="B59" s="2"/>
      <c r="C59" s="61" t="s">
        <v>177</v>
      </c>
      <c r="D59" s="62" t="s">
        <v>179</v>
      </c>
      <c r="E59" s="63" t="s">
        <v>180</v>
      </c>
      <c r="F59" s="64">
        <f>+'COMUNAS - HOME DELIVERY 2026'!F59*1.1</f>
        <v>4817.7888000000003</v>
      </c>
      <c r="G59" s="65">
        <f>+'COMUNAS - HOME DELIVERY 2026'!G59*1.1</f>
        <v>5303.6544000000004</v>
      </c>
      <c r="H59" s="65">
        <f>+'COMUNAS - HOME DELIVERY 2026'!H59*1.1</f>
        <v>5893.9584000000004</v>
      </c>
      <c r="I59" s="65">
        <f>+'COMUNAS - HOME DELIVERY 2026'!I59*1.1</f>
        <v>6662.4888000000001</v>
      </c>
      <c r="J59" s="65">
        <f>+'COMUNAS - HOME DELIVERY 2026'!J59*1.1</f>
        <v>8174.5752000000002</v>
      </c>
      <c r="K59" s="65">
        <f>+'COMUNAS - HOME DELIVERY 2026'!K59*1.1</f>
        <v>9767.2608</v>
      </c>
      <c r="L59" s="65">
        <f>+'COMUNAS - HOME DELIVERY 2026'!L59*1.1</f>
        <v>11087.4984</v>
      </c>
      <c r="M59" s="66">
        <f>+'COMUNAS - HOME DELIVERY 2026'!M59*1.1</f>
        <v>603.92640000000006</v>
      </c>
      <c r="N59" s="67">
        <f>+'COMUNAS - HOME DELIVERY 2026'!N59*1.1</f>
        <v>494.94720000000007</v>
      </c>
      <c r="O59" s="60"/>
      <c r="P59" s="2"/>
      <c r="Q59" s="2"/>
      <c r="R59" s="2"/>
      <c r="S59" s="2"/>
      <c r="T59" s="2"/>
      <c r="U59" s="2"/>
      <c r="V59" s="2"/>
      <c r="W59" s="2"/>
      <c r="X59" s="2"/>
      <c r="Y59" s="38"/>
    </row>
    <row r="60" spans="2:25" ht="15.75" customHeight="1" x14ac:dyDescent="0.3">
      <c r="B60" s="2"/>
      <c r="C60" s="61" t="s">
        <v>177</v>
      </c>
      <c r="D60" s="62" t="s">
        <v>181</v>
      </c>
      <c r="E60" s="63" t="s">
        <v>182</v>
      </c>
      <c r="F60" s="64">
        <f>+'COMUNAS - HOME DELIVERY 2026'!F60*1.1</f>
        <v>4817.7888000000003</v>
      </c>
      <c r="G60" s="65">
        <f>+'COMUNAS - HOME DELIVERY 2026'!G60*1.1</f>
        <v>5303.6544000000004</v>
      </c>
      <c r="H60" s="65">
        <f>+'COMUNAS - HOME DELIVERY 2026'!H60*1.1</f>
        <v>5893.9584000000004</v>
      </c>
      <c r="I60" s="65">
        <f>+'COMUNAS - HOME DELIVERY 2026'!I60*1.1</f>
        <v>6662.4888000000001</v>
      </c>
      <c r="J60" s="65">
        <f>+'COMUNAS - HOME DELIVERY 2026'!J60*1.1</f>
        <v>8174.5752000000002</v>
      </c>
      <c r="K60" s="65">
        <f>+'COMUNAS - HOME DELIVERY 2026'!K60*1.1</f>
        <v>9767.2608</v>
      </c>
      <c r="L60" s="65">
        <f>+'COMUNAS - HOME DELIVERY 2026'!L60*1.1</f>
        <v>11087.4984</v>
      </c>
      <c r="M60" s="66">
        <f>+'COMUNAS - HOME DELIVERY 2026'!M60*1.1</f>
        <v>603.92640000000006</v>
      </c>
      <c r="N60" s="67">
        <f>+'COMUNAS - HOME DELIVERY 2026'!N60*1.1</f>
        <v>494.94720000000007</v>
      </c>
      <c r="O60" s="60"/>
      <c r="P60" s="2"/>
      <c r="Q60" s="2"/>
      <c r="R60" s="2"/>
      <c r="S60" s="2"/>
      <c r="T60" s="2"/>
      <c r="U60" s="2"/>
      <c r="V60" s="2"/>
      <c r="W60" s="2"/>
      <c r="X60" s="2"/>
      <c r="Y60" s="38"/>
    </row>
    <row r="61" spans="2:25" ht="15.75" customHeight="1" x14ac:dyDescent="0.3">
      <c r="B61" s="2"/>
      <c r="C61" s="61" t="s">
        <v>177</v>
      </c>
      <c r="D61" s="62" t="s">
        <v>183</v>
      </c>
      <c r="E61" s="63" t="s">
        <v>184</v>
      </c>
      <c r="F61" s="64">
        <f>+'COMUNAS - HOME DELIVERY 2026'!F61*1.1</f>
        <v>5137.9152000000004</v>
      </c>
      <c r="G61" s="65">
        <f>+'COMUNAS - HOME DELIVERY 2026'!G61*1.1</f>
        <v>5655.5664000000006</v>
      </c>
      <c r="H61" s="65">
        <f>+'COMUNAS - HOME DELIVERY 2026'!H61*1.1</f>
        <v>6285.6024000000007</v>
      </c>
      <c r="I61" s="65">
        <f>+'COMUNAS - HOME DELIVERY 2026'!I61*1.1</f>
        <v>7105.2168000000011</v>
      </c>
      <c r="J61" s="65">
        <f>+'COMUNAS - HOME DELIVERY 2026'!J61*1.1</f>
        <v>8850.0192000000006</v>
      </c>
      <c r="K61" s="65">
        <f>+'COMUNAS - HOME DELIVERY 2026'!K61*1.1</f>
        <v>10573.252800000002</v>
      </c>
      <c r="L61" s="65">
        <f>+'COMUNAS - HOME DELIVERY 2026'!L61*1.1</f>
        <v>11994.523200000001</v>
      </c>
      <c r="M61" s="66">
        <f>+'COMUNAS - HOME DELIVERY 2026'!M61*1.1</f>
        <v>614.14320000000009</v>
      </c>
      <c r="N61" s="67">
        <f>+'COMUNAS - HOME DELIVERY 2026'!N61*1.1</f>
        <v>504.02880000000005</v>
      </c>
      <c r="O61" s="60"/>
      <c r="P61" s="2"/>
      <c r="Q61" s="2"/>
      <c r="R61" s="2"/>
      <c r="S61" s="2"/>
      <c r="T61" s="2"/>
      <c r="U61" s="2"/>
      <c r="V61" s="2"/>
      <c r="W61" s="2"/>
      <c r="X61" s="2"/>
      <c r="Y61" s="38"/>
    </row>
    <row r="62" spans="2:25" ht="15.75" customHeight="1" x14ac:dyDescent="0.3">
      <c r="B62" s="2"/>
      <c r="C62" s="61" t="s">
        <v>177</v>
      </c>
      <c r="D62" s="62" t="s">
        <v>185</v>
      </c>
      <c r="E62" s="63" t="s">
        <v>186</v>
      </c>
      <c r="F62" s="64">
        <f>+'COMUNAS - HOME DELIVERY 2026'!F62*1.1</f>
        <v>7706.872800000001</v>
      </c>
      <c r="G62" s="65">
        <f>+'COMUNAS - HOME DELIVERY 2026'!G62*1.1</f>
        <v>8483.3496000000014</v>
      </c>
      <c r="H62" s="65">
        <f>+'COMUNAS - HOME DELIVERY 2026'!H62*1.1</f>
        <v>9428.4036000000015</v>
      </c>
      <c r="I62" s="65">
        <f>+'COMUNAS - HOME DELIVERY 2026'!I62*1.1</f>
        <v>10657.825200000001</v>
      </c>
      <c r="J62" s="65">
        <f>+'COMUNAS - HOME DELIVERY 2026'!J62*1.1</f>
        <v>13275.028800000002</v>
      </c>
      <c r="K62" s="65">
        <f>+'COMUNAS - HOME DELIVERY 2026'!K62*1.1</f>
        <v>15859.879200000001</v>
      </c>
      <c r="L62" s="65">
        <f>+'COMUNAS - HOME DELIVERY 2026'!L62*1.1</f>
        <v>17991.784800000001</v>
      </c>
      <c r="M62" s="66">
        <f>+'COMUNAS - HOME DELIVERY 2026'!M62*1.1</f>
        <v>921.2148000000002</v>
      </c>
      <c r="N62" s="67">
        <f>+'COMUNAS - HOME DELIVERY 2026'!N62*1.1</f>
        <v>756.04320000000007</v>
      </c>
      <c r="O62" s="60"/>
      <c r="P62" s="2"/>
      <c r="Q62" s="2"/>
      <c r="R62" s="2"/>
      <c r="S62" s="2"/>
      <c r="T62" s="2"/>
      <c r="U62" s="2"/>
      <c r="V62" s="2"/>
      <c r="W62" s="2"/>
      <c r="X62" s="2"/>
      <c r="Y62" s="38"/>
    </row>
    <row r="63" spans="2:25" ht="15.75" customHeight="1" x14ac:dyDescent="0.3">
      <c r="B63" s="2"/>
      <c r="C63" s="61" t="s">
        <v>177</v>
      </c>
      <c r="D63" s="62" t="s">
        <v>187</v>
      </c>
      <c r="E63" s="63" t="s">
        <v>188</v>
      </c>
      <c r="F63" s="64">
        <f>+'COMUNAS - HOME DELIVERY 2026'!F63*1.1</f>
        <v>7706.872800000001</v>
      </c>
      <c r="G63" s="65">
        <f>+'COMUNAS - HOME DELIVERY 2026'!G63*1.1</f>
        <v>8483.3496000000014</v>
      </c>
      <c r="H63" s="65">
        <f>+'COMUNAS - HOME DELIVERY 2026'!H63*1.1</f>
        <v>9428.4036000000015</v>
      </c>
      <c r="I63" s="65">
        <f>+'COMUNAS - HOME DELIVERY 2026'!I63*1.1</f>
        <v>10657.825200000001</v>
      </c>
      <c r="J63" s="65">
        <f>+'COMUNAS - HOME DELIVERY 2026'!J63*1.1</f>
        <v>13275.028800000002</v>
      </c>
      <c r="K63" s="65">
        <f>+'COMUNAS - HOME DELIVERY 2026'!K63*1.1</f>
        <v>15859.879200000001</v>
      </c>
      <c r="L63" s="65">
        <f>+'COMUNAS - HOME DELIVERY 2026'!L63*1.1</f>
        <v>17991.784800000001</v>
      </c>
      <c r="M63" s="66">
        <f>+'COMUNAS - HOME DELIVERY 2026'!M63*1.1</f>
        <v>921.2148000000002</v>
      </c>
      <c r="N63" s="67">
        <f>+'COMUNAS - HOME DELIVERY 2026'!N63*1.1</f>
        <v>756.04320000000007</v>
      </c>
      <c r="O63" s="60"/>
      <c r="P63" s="2"/>
      <c r="Q63" s="2"/>
      <c r="R63" s="2"/>
      <c r="S63" s="2"/>
      <c r="T63" s="2"/>
      <c r="U63" s="2"/>
      <c r="V63" s="2"/>
      <c r="W63" s="2"/>
      <c r="X63" s="2"/>
      <c r="Y63" s="38"/>
    </row>
    <row r="64" spans="2:25" ht="15.75" customHeight="1" x14ac:dyDescent="0.3">
      <c r="B64" s="2"/>
      <c r="C64" s="61" t="s">
        <v>177</v>
      </c>
      <c r="D64" s="62" t="s">
        <v>189</v>
      </c>
      <c r="E64" s="63" t="s">
        <v>190</v>
      </c>
      <c r="F64" s="64">
        <f>+'COMUNAS - HOME DELIVERY 2026'!F64*1.1</f>
        <v>7226.6832000000013</v>
      </c>
      <c r="G64" s="65">
        <f>+'COMUNAS - HOME DELIVERY 2026'!G64*1.1</f>
        <v>7955.481600000001</v>
      </c>
      <c r="H64" s="65">
        <f>+'COMUNAS - HOME DELIVERY 2026'!H64*1.1</f>
        <v>8840.9376000000011</v>
      </c>
      <c r="I64" s="65">
        <f>+'COMUNAS - HOME DELIVERY 2026'!I64*1.1</f>
        <v>9993.7332000000006</v>
      </c>
      <c r="J64" s="65">
        <f>+'COMUNAS - HOME DELIVERY 2026'!J64*1.1</f>
        <v>12261.862800000003</v>
      </c>
      <c r="K64" s="65">
        <f>+'COMUNAS - HOME DELIVERY 2026'!K64*1.1</f>
        <v>14650.891200000002</v>
      </c>
      <c r="L64" s="65">
        <f>+'COMUNAS - HOME DELIVERY 2026'!L64*1.1</f>
        <v>16631.247600000002</v>
      </c>
      <c r="M64" s="66">
        <f>+'COMUNAS - HOME DELIVERY 2026'!M64*1.1</f>
        <v>905.88960000000009</v>
      </c>
      <c r="N64" s="67">
        <f>+'COMUNAS - HOME DELIVERY 2026'!N64*1.1</f>
        <v>742.4208000000001</v>
      </c>
      <c r="O64" s="60"/>
      <c r="P64" s="2"/>
      <c r="Q64" s="2"/>
      <c r="R64" s="2"/>
      <c r="S64" s="2"/>
      <c r="T64" s="2"/>
      <c r="U64" s="2"/>
      <c r="V64" s="2"/>
      <c r="W64" s="2"/>
      <c r="X64" s="2"/>
      <c r="Y64" s="38"/>
    </row>
    <row r="65" spans="2:25" ht="15.75" customHeight="1" x14ac:dyDescent="0.3">
      <c r="B65" s="2"/>
      <c r="C65" s="61" t="s">
        <v>177</v>
      </c>
      <c r="D65" s="62" t="s">
        <v>191</v>
      </c>
      <c r="E65" s="63" t="s">
        <v>192</v>
      </c>
      <c r="F65" s="64">
        <f>+'COMUNAS - HOME DELIVERY 2026'!F65*1.1</f>
        <v>5137.9152000000004</v>
      </c>
      <c r="G65" s="65">
        <f>+'COMUNAS - HOME DELIVERY 2026'!G65*1.1</f>
        <v>5655.5664000000006</v>
      </c>
      <c r="H65" s="65">
        <f>+'COMUNAS - HOME DELIVERY 2026'!H65*1.1</f>
        <v>6285.6024000000007</v>
      </c>
      <c r="I65" s="65">
        <f>+'COMUNAS - HOME DELIVERY 2026'!I65*1.1</f>
        <v>7105.2168000000011</v>
      </c>
      <c r="J65" s="65">
        <f>+'COMUNAS - HOME DELIVERY 2026'!J65*1.1</f>
        <v>8850.0192000000006</v>
      </c>
      <c r="K65" s="65">
        <f>+'COMUNAS - HOME DELIVERY 2026'!K65*1.1</f>
        <v>10573.252800000002</v>
      </c>
      <c r="L65" s="65">
        <f>+'COMUNAS - HOME DELIVERY 2026'!L65*1.1</f>
        <v>11994.523200000001</v>
      </c>
      <c r="M65" s="66">
        <f>+'COMUNAS - HOME DELIVERY 2026'!M65*1.1</f>
        <v>614.14320000000009</v>
      </c>
      <c r="N65" s="67">
        <f>+'COMUNAS - HOME DELIVERY 2026'!N65*1.1</f>
        <v>504.02880000000005</v>
      </c>
      <c r="O65" s="60"/>
      <c r="P65" s="2"/>
      <c r="Q65" s="2"/>
      <c r="R65" s="2"/>
      <c r="S65" s="2"/>
      <c r="T65" s="2"/>
      <c r="U65" s="2"/>
      <c r="V65" s="2"/>
      <c r="W65" s="2"/>
      <c r="X65" s="2"/>
      <c r="Y65" s="38"/>
    </row>
    <row r="66" spans="2:25" ht="15.75" customHeight="1" thickBot="1" x14ac:dyDescent="0.35">
      <c r="B66" s="2"/>
      <c r="C66" s="68" t="s">
        <v>177</v>
      </c>
      <c r="D66" s="69" t="s">
        <v>193</v>
      </c>
      <c r="E66" s="70" t="s">
        <v>194</v>
      </c>
      <c r="F66" s="71">
        <f>+'COMUNAS - HOME DELIVERY 2026'!F66*1.1</f>
        <v>4817.7888000000003</v>
      </c>
      <c r="G66" s="72">
        <f>+'COMUNAS - HOME DELIVERY 2026'!G66*1.1</f>
        <v>5303.6544000000004</v>
      </c>
      <c r="H66" s="72">
        <f>+'COMUNAS - HOME DELIVERY 2026'!H66*1.1</f>
        <v>5893.9584000000004</v>
      </c>
      <c r="I66" s="72">
        <f>+'COMUNAS - HOME DELIVERY 2026'!I66*1.1</f>
        <v>6662.4888000000001</v>
      </c>
      <c r="J66" s="72">
        <f>+'COMUNAS - HOME DELIVERY 2026'!J66*1.1</f>
        <v>8174.5752000000002</v>
      </c>
      <c r="K66" s="72">
        <f>+'COMUNAS - HOME DELIVERY 2026'!K66*1.1</f>
        <v>9767.2608</v>
      </c>
      <c r="L66" s="72">
        <f>+'COMUNAS - HOME DELIVERY 2026'!L66*1.1</f>
        <v>11087.4984</v>
      </c>
      <c r="M66" s="73">
        <f>+'COMUNAS - HOME DELIVERY 2026'!M66*1.1</f>
        <v>603.92640000000006</v>
      </c>
      <c r="N66" s="74">
        <f>+'COMUNAS - HOME DELIVERY 2026'!N66*1.1</f>
        <v>494.94720000000007</v>
      </c>
      <c r="O66" s="60"/>
      <c r="P66" s="2"/>
      <c r="Q66" s="2"/>
      <c r="R66" s="2"/>
      <c r="S66" s="2"/>
      <c r="T66" s="2"/>
      <c r="U66" s="2"/>
      <c r="V66" s="2"/>
      <c r="W66" s="2"/>
      <c r="X66" s="2"/>
      <c r="Y66" s="38"/>
    </row>
    <row r="67" spans="2:25" ht="15.75" customHeight="1" x14ac:dyDescent="0.3">
      <c r="B67" s="2"/>
      <c r="C67" s="53" t="s">
        <v>195</v>
      </c>
      <c r="D67" s="54" t="s">
        <v>196</v>
      </c>
      <c r="E67" s="55" t="s">
        <v>197</v>
      </c>
      <c r="F67" s="56">
        <f>+'COMUNAS - HOME DELIVERY 2026'!F67*1.1</f>
        <v>4817.7888000000003</v>
      </c>
      <c r="G67" s="57">
        <f>+'COMUNAS - HOME DELIVERY 2026'!G67*1.1</f>
        <v>5303.6544000000004</v>
      </c>
      <c r="H67" s="57">
        <f>+'COMUNAS - HOME DELIVERY 2026'!H67*1.1</f>
        <v>5893.9584000000004</v>
      </c>
      <c r="I67" s="57">
        <f>+'COMUNAS - HOME DELIVERY 2026'!I67*1.1</f>
        <v>6662.4888000000001</v>
      </c>
      <c r="J67" s="57">
        <f>+'COMUNAS - HOME DELIVERY 2026'!J67*1.1</f>
        <v>8174.5752000000002</v>
      </c>
      <c r="K67" s="57">
        <f>+'COMUNAS - HOME DELIVERY 2026'!K67*1.1</f>
        <v>9767.2608</v>
      </c>
      <c r="L67" s="57">
        <f>+'COMUNAS - HOME DELIVERY 2026'!L67*1.1</f>
        <v>11087.4984</v>
      </c>
      <c r="M67" s="58">
        <f>+'COMUNAS - HOME DELIVERY 2026'!M67*1.1</f>
        <v>603.92640000000006</v>
      </c>
      <c r="N67" s="59">
        <f>+'COMUNAS - HOME DELIVERY 2026'!N67*1.1</f>
        <v>494.94720000000007</v>
      </c>
      <c r="O67" s="60"/>
      <c r="P67" s="2"/>
      <c r="Q67" s="2"/>
      <c r="R67" s="2"/>
      <c r="S67" s="2"/>
      <c r="T67" s="2"/>
      <c r="U67" s="2"/>
      <c r="V67" s="2"/>
      <c r="W67" s="2"/>
      <c r="X67" s="2"/>
      <c r="Y67" s="38"/>
    </row>
    <row r="68" spans="2:25" ht="15.75" customHeight="1" x14ac:dyDescent="0.3">
      <c r="B68" s="2"/>
      <c r="C68" s="61" t="s">
        <v>195</v>
      </c>
      <c r="D68" s="62" t="s">
        <v>198</v>
      </c>
      <c r="E68" s="63" t="s">
        <v>199</v>
      </c>
      <c r="F68" s="64">
        <f>+'COMUNAS - HOME DELIVERY 2026'!F68*1.1</f>
        <v>7226.6832000000013</v>
      </c>
      <c r="G68" s="65">
        <f>+'COMUNAS - HOME DELIVERY 2026'!G68*1.1</f>
        <v>7955.481600000001</v>
      </c>
      <c r="H68" s="65">
        <f>+'COMUNAS - HOME DELIVERY 2026'!H68*1.1</f>
        <v>8840.9376000000011</v>
      </c>
      <c r="I68" s="65">
        <f>+'COMUNAS - HOME DELIVERY 2026'!I68*1.1</f>
        <v>9993.7332000000006</v>
      </c>
      <c r="J68" s="65">
        <f>+'COMUNAS - HOME DELIVERY 2026'!J68*1.1</f>
        <v>12261.862800000003</v>
      </c>
      <c r="K68" s="65">
        <f>+'COMUNAS - HOME DELIVERY 2026'!K68*1.1</f>
        <v>14650.891200000002</v>
      </c>
      <c r="L68" s="65">
        <f>+'COMUNAS - HOME DELIVERY 2026'!L68*1.1</f>
        <v>16631.247600000002</v>
      </c>
      <c r="M68" s="66">
        <f>+'COMUNAS - HOME DELIVERY 2026'!M68*1.1</f>
        <v>905.88960000000009</v>
      </c>
      <c r="N68" s="67">
        <f>+'COMUNAS - HOME DELIVERY 2026'!N68*1.1</f>
        <v>742.4208000000001</v>
      </c>
      <c r="O68" s="60"/>
      <c r="P68" s="2"/>
      <c r="Q68" s="2"/>
      <c r="R68" s="2"/>
      <c r="S68" s="2"/>
      <c r="T68" s="2"/>
      <c r="U68" s="2"/>
      <c r="V68" s="2"/>
      <c r="W68" s="2"/>
      <c r="X68" s="2"/>
      <c r="Y68" s="38"/>
    </row>
    <row r="69" spans="2:25" ht="15.75" customHeight="1" x14ac:dyDescent="0.3">
      <c r="B69" s="2"/>
      <c r="C69" s="61" t="s">
        <v>195</v>
      </c>
      <c r="D69" s="62" t="s">
        <v>200</v>
      </c>
      <c r="E69" s="63" t="s">
        <v>201</v>
      </c>
      <c r="F69" s="64">
        <f>+'COMUNAS - HOME DELIVERY 2026'!F69*1.1</f>
        <v>6317.3880000000008</v>
      </c>
      <c r="G69" s="65">
        <f>+'COMUNAS - HOME DELIVERY 2026'!G69*1.1</f>
        <v>6683.4900000000007</v>
      </c>
      <c r="H69" s="65">
        <f>+'COMUNAS - HOME DELIVERY 2026'!H69*1.1</f>
        <v>7734.1176000000014</v>
      </c>
      <c r="I69" s="65">
        <f>+'COMUNAS - HOME DELIVERY 2026'!I69*1.1</f>
        <v>8994.1896000000015</v>
      </c>
      <c r="J69" s="65">
        <f>+'COMUNAS - HOME DELIVERY 2026'!J69*1.1</f>
        <v>11117.581200000001</v>
      </c>
      <c r="K69" s="65">
        <f>+'COMUNAS - HOME DELIVERY 2026'!K69*1.1</f>
        <v>13361.871600000002</v>
      </c>
      <c r="L69" s="65">
        <f>+'COMUNAS - HOME DELIVERY 2026'!L69*1.1</f>
        <v>15008.479200000002</v>
      </c>
      <c r="M69" s="66">
        <f>+'COMUNAS - HOME DELIVERY 2026'!M69*1.1</f>
        <v>761.15160000000003</v>
      </c>
      <c r="N69" s="67">
        <f>+'COMUNAS - HOME DELIVERY 2026'!N69*1.1</f>
        <v>640.25280000000009</v>
      </c>
      <c r="O69" s="60"/>
      <c r="P69" s="2"/>
      <c r="Q69" s="2"/>
      <c r="R69" s="2"/>
      <c r="S69" s="2"/>
      <c r="T69" s="2"/>
      <c r="U69" s="2"/>
      <c r="V69" s="2"/>
      <c r="W69" s="2"/>
      <c r="X69" s="2"/>
      <c r="Y69" s="38"/>
    </row>
    <row r="70" spans="2:25" ht="15.75" customHeight="1" x14ac:dyDescent="0.3">
      <c r="B70" s="2"/>
      <c r="C70" s="61" t="s">
        <v>195</v>
      </c>
      <c r="D70" s="62" t="s">
        <v>202</v>
      </c>
      <c r="E70" s="63" t="s">
        <v>203</v>
      </c>
      <c r="F70" s="64">
        <f>+'COMUNAS - HOME DELIVERY 2026'!F70*1.1</f>
        <v>7330.554000000001</v>
      </c>
      <c r="G70" s="65">
        <f>+'COMUNAS - HOME DELIVERY 2026'!G70*1.1</f>
        <v>8072.9748000000009</v>
      </c>
      <c r="H70" s="65">
        <f>+'COMUNAS - HOME DELIVERY 2026'!H70*1.1</f>
        <v>8968.6476000000002</v>
      </c>
      <c r="I70" s="65">
        <f>+'COMUNAS - HOME DELIVERY 2026'!I70*1.1</f>
        <v>10140.174000000001</v>
      </c>
      <c r="J70" s="65">
        <f>+'COMUNAS - HOME DELIVERY 2026'!J70*1.1</f>
        <v>12142.666800000001</v>
      </c>
      <c r="K70" s="65">
        <f>+'COMUNAS - HOME DELIVERY 2026'!K70*1.1</f>
        <v>14671.324800000002</v>
      </c>
      <c r="L70" s="65">
        <f>+'COMUNAS - HOME DELIVERY 2026'!L70*1.1</f>
        <v>16655.086800000001</v>
      </c>
      <c r="M70" s="66">
        <f>+'COMUNAS - HOME DELIVERY 2026'!M70*1.1</f>
        <v>907.59240000000011</v>
      </c>
      <c r="N70" s="67">
        <f>+'COMUNAS - HOME DELIVERY 2026'!N70*1.1</f>
        <v>744.12360000000001</v>
      </c>
      <c r="O70" s="60"/>
      <c r="P70" s="2"/>
      <c r="Q70" s="2"/>
      <c r="R70" s="2"/>
      <c r="S70" s="2"/>
      <c r="T70" s="2"/>
      <c r="U70" s="2"/>
      <c r="V70" s="2"/>
      <c r="W70" s="2"/>
      <c r="X70" s="2"/>
      <c r="Y70" s="38"/>
    </row>
    <row r="71" spans="2:25" ht="15.75" customHeight="1" x14ac:dyDescent="0.3">
      <c r="B71" s="2"/>
      <c r="C71" s="61" t="s">
        <v>195</v>
      </c>
      <c r="D71" s="62" t="s">
        <v>204</v>
      </c>
      <c r="E71" s="63" t="s">
        <v>205</v>
      </c>
      <c r="F71" s="64">
        <f>+'COMUNAS - HOME DELIVERY 2026'!F71*1.1</f>
        <v>4211.5920000000006</v>
      </c>
      <c r="G71" s="65">
        <f>+'COMUNAS - HOME DELIVERY 2026'!G71*1.1</f>
        <v>4455.66</v>
      </c>
      <c r="H71" s="65">
        <f>+'COMUNAS - HOME DELIVERY 2026'!H71*1.1</f>
        <v>5156.0784000000003</v>
      </c>
      <c r="I71" s="65">
        <f>+'COMUNAS - HOME DELIVERY 2026'!I71*1.1</f>
        <v>5996.126400000001</v>
      </c>
      <c r="J71" s="65">
        <f>+'COMUNAS - HOME DELIVERY 2026'!J71*1.1</f>
        <v>7411.7208000000001</v>
      </c>
      <c r="K71" s="65">
        <f>+'COMUNAS - HOME DELIVERY 2026'!K71*1.1</f>
        <v>8907.9144000000015</v>
      </c>
      <c r="L71" s="65">
        <f>+'COMUNAS - HOME DELIVERY 2026'!L71*1.1</f>
        <v>10005.652800000002</v>
      </c>
      <c r="M71" s="66">
        <f>+'COMUNAS - HOME DELIVERY 2026'!M71*1.1</f>
        <v>507.4344000000001</v>
      </c>
      <c r="N71" s="67">
        <f>+'COMUNAS - HOME DELIVERY 2026'!N71*1.1</f>
        <v>426.8352000000001</v>
      </c>
      <c r="O71" s="60"/>
      <c r="P71" s="2"/>
      <c r="Q71" s="2"/>
      <c r="R71" s="2"/>
      <c r="S71" s="2"/>
      <c r="T71" s="2"/>
      <c r="U71" s="2"/>
      <c r="V71" s="2"/>
      <c r="W71" s="2"/>
      <c r="X71" s="2"/>
      <c r="Y71" s="38"/>
    </row>
    <row r="72" spans="2:25" ht="15.75" customHeight="1" x14ac:dyDescent="0.3">
      <c r="B72" s="2"/>
      <c r="C72" s="61" t="s">
        <v>195</v>
      </c>
      <c r="D72" s="62" t="s">
        <v>206</v>
      </c>
      <c r="E72" s="63" t="s">
        <v>22</v>
      </c>
      <c r="F72" s="64">
        <f>+'COMUNAS - HOME DELIVERY 2026'!F72*1.1</f>
        <v>4817.7888000000003</v>
      </c>
      <c r="G72" s="65">
        <f>+'COMUNAS - HOME DELIVERY 2026'!G72*1.1</f>
        <v>5303.6544000000004</v>
      </c>
      <c r="H72" s="65">
        <f>+'COMUNAS - HOME DELIVERY 2026'!H72*1.1</f>
        <v>5893.9584000000004</v>
      </c>
      <c r="I72" s="65">
        <f>+'COMUNAS - HOME DELIVERY 2026'!I72*1.1</f>
        <v>6662.4888000000001</v>
      </c>
      <c r="J72" s="65">
        <f>+'COMUNAS - HOME DELIVERY 2026'!J72*1.1</f>
        <v>8174.5752000000002</v>
      </c>
      <c r="K72" s="65">
        <f>+'COMUNAS - HOME DELIVERY 2026'!K72*1.1</f>
        <v>9767.2608</v>
      </c>
      <c r="L72" s="65">
        <f>+'COMUNAS - HOME DELIVERY 2026'!L72*1.1</f>
        <v>11087.4984</v>
      </c>
      <c r="M72" s="66">
        <f>+'COMUNAS - HOME DELIVERY 2026'!M72*1.1</f>
        <v>603.92640000000006</v>
      </c>
      <c r="N72" s="67">
        <f>+'COMUNAS - HOME DELIVERY 2026'!N72*1.1</f>
        <v>494.94720000000007</v>
      </c>
      <c r="O72" s="60"/>
      <c r="P72" s="2"/>
      <c r="Q72" s="2"/>
      <c r="R72" s="2"/>
      <c r="S72" s="2"/>
      <c r="T72" s="2"/>
      <c r="U72" s="2"/>
      <c r="V72" s="2"/>
      <c r="W72" s="2"/>
      <c r="X72" s="2"/>
      <c r="Y72" s="38"/>
    </row>
    <row r="73" spans="2:25" ht="15.75" customHeight="1" x14ac:dyDescent="0.3">
      <c r="B73" s="2"/>
      <c r="C73" s="61" t="s">
        <v>195</v>
      </c>
      <c r="D73" s="62" t="s">
        <v>207</v>
      </c>
      <c r="E73" s="63" t="s">
        <v>208</v>
      </c>
      <c r="F73" s="64">
        <f>+'COMUNAS - HOME DELIVERY 2026'!F73*1.1</f>
        <v>4817.7888000000003</v>
      </c>
      <c r="G73" s="65">
        <f>+'COMUNAS - HOME DELIVERY 2026'!G73*1.1</f>
        <v>5303.6544000000004</v>
      </c>
      <c r="H73" s="65">
        <f>+'COMUNAS - HOME DELIVERY 2026'!H73*1.1</f>
        <v>5893.9584000000004</v>
      </c>
      <c r="I73" s="65">
        <f>+'COMUNAS - HOME DELIVERY 2026'!I73*1.1</f>
        <v>6662.4888000000001</v>
      </c>
      <c r="J73" s="65">
        <f>+'COMUNAS - HOME DELIVERY 2026'!J73*1.1</f>
        <v>8174.5752000000002</v>
      </c>
      <c r="K73" s="65">
        <f>+'COMUNAS - HOME DELIVERY 2026'!K73*1.1</f>
        <v>9767.2608</v>
      </c>
      <c r="L73" s="65">
        <f>+'COMUNAS - HOME DELIVERY 2026'!L73*1.1</f>
        <v>11087.4984</v>
      </c>
      <c r="M73" s="66">
        <f>+'COMUNAS - HOME DELIVERY 2026'!M73*1.1</f>
        <v>603.92640000000006</v>
      </c>
      <c r="N73" s="67">
        <f>+'COMUNAS - HOME DELIVERY 2026'!N73*1.1</f>
        <v>494.94720000000007</v>
      </c>
      <c r="O73" s="60"/>
      <c r="P73" s="2"/>
      <c r="Q73" s="146"/>
      <c r="R73" s="2"/>
      <c r="S73" s="2"/>
      <c r="T73" s="2"/>
      <c r="U73" s="2"/>
      <c r="V73" s="2"/>
      <c r="W73" s="2"/>
      <c r="X73" s="2"/>
      <c r="Y73" s="38"/>
    </row>
    <row r="74" spans="2:25" ht="15.75" customHeight="1" x14ac:dyDescent="0.3">
      <c r="B74" s="2"/>
      <c r="C74" s="61" t="s">
        <v>195</v>
      </c>
      <c r="D74" s="62" t="s">
        <v>209</v>
      </c>
      <c r="E74" s="63" t="s">
        <v>210</v>
      </c>
      <c r="F74" s="64">
        <f>+'COMUNAS - HOME DELIVERY 2026'!F74*1.1</f>
        <v>4211.5920000000006</v>
      </c>
      <c r="G74" s="65">
        <f>+'COMUNAS - HOME DELIVERY 2026'!G74*1.1</f>
        <v>4455.66</v>
      </c>
      <c r="H74" s="65">
        <f>+'COMUNAS - HOME DELIVERY 2026'!H74*1.1</f>
        <v>5156.0784000000003</v>
      </c>
      <c r="I74" s="65">
        <f>+'COMUNAS - HOME DELIVERY 2026'!I74*1.1</f>
        <v>5996.126400000001</v>
      </c>
      <c r="J74" s="65">
        <f>+'COMUNAS - HOME DELIVERY 2026'!J74*1.1</f>
        <v>7411.7208000000001</v>
      </c>
      <c r="K74" s="65">
        <f>+'COMUNAS - HOME DELIVERY 2026'!K74*1.1</f>
        <v>8907.9144000000015</v>
      </c>
      <c r="L74" s="65">
        <f>+'COMUNAS - HOME DELIVERY 2026'!L74*1.1</f>
        <v>10005.652800000002</v>
      </c>
      <c r="M74" s="66">
        <f>+'COMUNAS - HOME DELIVERY 2026'!M74*1.1</f>
        <v>507.4344000000001</v>
      </c>
      <c r="N74" s="67">
        <f>+'COMUNAS - HOME DELIVERY 2026'!N74*1.1</f>
        <v>426.8352000000001</v>
      </c>
      <c r="O74" s="60"/>
      <c r="P74" s="2"/>
      <c r="Q74" s="146"/>
      <c r="R74" s="2"/>
      <c r="S74" s="2"/>
      <c r="T74" s="2"/>
      <c r="U74" s="2"/>
      <c r="V74" s="2"/>
      <c r="W74" s="2"/>
      <c r="X74" s="2"/>
      <c r="Y74" s="38"/>
    </row>
    <row r="75" spans="2:25" ht="15.75" customHeight="1" x14ac:dyDescent="0.3">
      <c r="B75" s="2"/>
      <c r="C75" s="61" t="s">
        <v>195</v>
      </c>
      <c r="D75" s="62" t="s">
        <v>211</v>
      </c>
      <c r="E75" s="63" t="s">
        <v>212</v>
      </c>
      <c r="F75" s="64">
        <f>+'COMUNAS - HOME DELIVERY 2026'!F75*1.1</f>
        <v>7330.554000000001</v>
      </c>
      <c r="G75" s="65">
        <f>+'COMUNAS - HOME DELIVERY 2026'!G75*1.1</f>
        <v>8072.9748000000009</v>
      </c>
      <c r="H75" s="65">
        <f>+'COMUNAS - HOME DELIVERY 2026'!H75*1.1</f>
        <v>8968.6476000000002</v>
      </c>
      <c r="I75" s="65">
        <f>+'COMUNAS - HOME DELIVERY 2026'!I75*1.1</f>
        <v>10140.174000000001</v>
      </c>
      <c r="J75" s="65">
        <f>+'COMUNAS - HOME DELIVERY 2026'!J75*1.1</f>
        <v>12142.666800000001</v>
      </c>
      <c r="K75" s="65">
        <f>+'COMUNAS - HOME DELIVERY 2026'!K75*1.1</f>
        <v>14671.324800000002</v>
      </c>
      <c r="L75" s="65">
        <f>+'COMUNAS - HOME DELIVERY 2026'!L75*1.1</f>
        <v>16655.086800000001</v>
      </c>
      <c r="M75" s="66">
        <f>+'COMUNAS - HOME DELIVERY 2026'!M75*1.1</f>
        <v>907.59240000000011</v>
      </c>
      <c r="N75" s="67">
        <f>+'COMUNAS - HOME DELIVERY 2026'!N75*1.1</f>
        <v>744.12360000000001</v>
      </c>
      <c r="O75" s="60"/>
      <c r="P75" s="2"/>
      <c r="Q75" s="2"/>
      <c r="R75" s="2"/>
      <c r="S75" s="2"/>
      <c r="T75" s="2"/>
      <c r="U75" s="2"/>
      <c r="V75" s="2"/>
      <c r="W75" s="2"/>
      <c r="X75" s="2"/>
      <c r="Y75" s="38"/>
    </row>
    <row r="76" spans="2:25" ht="15.75" customHeight="1" x14ac:dyDescent="0.3">
      <c r="B76" s="2"/>
      <c r="C76" s="61" t="s">
        <v>195</v>
      </c>
      <c r="D76" s="62" t="s">
        <v>213</v>
      </c>
      <c r="E76" s="63" t="s">
        <v>24</v>
      </c>
      <c r="F76" s="64">
        <f>+'COMUNAS - HOME DELIVERY 2026'!F76*1.1</f>
        <v>4887.036000000001</v>
      </c>
      <c r="G76" s="65">
        <f>+'COMUNAS - HOME DELIVERY 2026'!G76*1.1</f>
        <v>5381.9832000000006</v>
      </c>
      <c r="H76" s="65">
        <f>+'COMUNAS - HOME DELIVERY 2026'!H76*1.1</f>
        <v>5979.0984000000008</v>
      </c>
      <c r="I76" s="65">
        <f>+'COMUNAS - HOME DELIVERY 2026'!I76*1.1</f>
        <v>6760.1160000000009</v>
      </c>
      <c r="J76" s="65">
        <f>+'COMUNAS - HOME DELIVERY 2026'!J76*1.1</f>
        <v>8095.1112000000003</v>
      </c>
      <c r="K76" s="65">
        <f>+'COMUNAS - HOME DELIVERY 2026'!K76*1.1</f>
        <v>9780.8832000000002</v>
      </c>
      <c r="L76" s="65">
        <f>+'COMUNAS - HOME DELIVERY 2026'!L76*1.1</f>
        <v>11103.391200000002</v>
      </c>
      <c r="M76" s="66">
        <f>+'COMUNAS - HOME DELIVERY 2026'!M76*1.1</f>
        <v>605.06160000000011</v>
      </c>
      <c r="N76" s="67">
        <f>+'COMUNAS - HOME DELIVERY 2026'!N76*1.1</f>
        <v>496.08240000000006</v>
      </c>
      <c r="O76" s="60"/>
      <c r="P76" s="2"/>
      <c r="Q76" s="2"/>
      <c r="R76" s="2"/>
      <c r="S76" s="2"/>
      <c r="T76" s="2"/>
      <c r="U76" s="2"/>
      <c r="V76" s="2"/>
      <c r="W76" s="2"/>
      <c r="X76" s="2"/>
      <c r="Y76" s="38"/>
    </row>
    <row r="77" spans="2:25" ht="15.75" customHeight="1" x14ac:dyDescent="0.3">
      <c r="B77" s="2"/>
      <c r="C77" s="61" t="s">
        <v>195</v>
      </c>
      <c r="D77" s="62" t="s">
        <v>214</v>
      </c>
      <c r="E77" s="63" t="s">
        <v>215</v>
      </c>
      <c r="F77" s="64">
        <f>+'COMUNAS - HOME DELIVERY 2026'!F77*1.1</f>
        <v>7226.6832000000013</v>
      </c>
      <c r="G77" s="65">
        <f>+'COMUNAS - HOME DELIVERY 2026'!G77*1.1</f>
        <v>7955.481600000001</v>
      </c>
      <c r="H77" s="65">
        <f>+'COMUNAS - HOME DELIVERY 2026'!H77*1.1</f>
        <v>8840.9376000000011</v>
      </c>
      <c r="I77" s="65">
        <f>+'COMUNAS - HOME DELIVERY 2026'!I77*1.1</f>
        <v>9993.7332000000006</v>
      </c>
      <c r="J77" s="65">
        <f>+'COMUNAS - HOME DELIVERY 2026'!J77*1.1</f>
        <v>12261.862800000003</v>
      </c>
      <c r="K77" s="65">
        <f>+'COMUNAS - HOME DELIVERY 2026'!K77*1.1</f>
        <v>14650.891200000002</v>
      </c>
      <c r="L77" s="65">
        <f>+'COMUNAS - HOME DELIVERY 2026'!L77*1.1</f>
        <v>16631.247600000002</v>
      </c>
      <c r="M77" s="66">
        <f>+'COMUNAS - HOME DELIVERY 2026'!M77*1.1</f>
        <v>905.88960000000009</v>
      </c>
      <c r="N77" s="67">
        <f>+'COMUNAS - HOME DELIVERY 2026'!N77*1.1</f>
        <v>742.4208000000001</v>
      </c>
      <c r="O77" s="60"/>
      <c r="P77" s="2"/>
      <c r="Q77" s="2"/>
      <c r="R77" s="2"/>
      <c r="S77" s="2"/>
      <c r="T77" s="2"/>
      <c r="U77" s="2"/>
      <c r="V77" s="2"/>
      <c r="W77" s="2"/>
      <c r="X77" s="2"/>
      <c r="Y77" s="38"/>
    </row>
    <row r="78" spans="2:25" ht="15.75" customHeight="1" x14ac:dyDescent="0.3">
      <c r="B78" s="2"/>
      <c r="C78" s="61" t="s">
        <v>195</v>
      </c>
      <c r="D78" s="62" t="s">
        <v>216</v>
      </c>
      <c r="E78" s="63" t="s">
        <v>217</v>
      </c>
      <c r="F78" s="64">
        <f>+'COMUNAS - HOME DELIVERY 2026'!F78*1.1</f>
        <v>4887.036000000001</v>
      </c>
      <c r="G78" s="65">
        <f>+'COMUNAS - HOME DELIVERY 2026'!G78*1.1</f>
        <v>5381.9832000000006</v>
      </c>
      <c r="H78" s="65">
        <f>+'COMUNAS - HOME DELIVERY 2026'!H78*1.1</f>
        <v>5979.0984000000008</v>
      </c>
      <c r="I78" s="65">
        <f>+'COMUNAS - HOME DELIVERY 2026'!I78*1.1</f>
        <v>6760.1160000000009</v>
      </c>
      <c r="J78" s="65">
        <f>+'COMUNAS - HOME DELIVERY 2026'!J78*1.1</f>
        <v>8095.1112000000003</v>
      </c>
      <c r="K78" s="65">
        <f>+'COMUNAS - HOME DELIVERY 2026'!K78*1.1</f>
        <v>9780.8832000000002</v>
      </c>
      <c r="L78" s="65">
        <f>+'COMUNAS - HOME DELIVERY 2026'!L78*1.1</f>
        <v>11103.391200000002</v>
      </c>
      <c r="M78" s="66">
        <f>+'COMUNAS - HOME DELIVERY 2026'!M78*1.1</f>
        <v>605.06160000000011</v>
      </c>
      <c r="N78" s="67">
        <f>+'COMUNAS - HOME DELIVERY 2026'!N78*1.1</f>
        <v>496.08240000000006</v>
      </c>
      <c r="O78" s="60"/>
      <c r="P78" s="2"/>
      <c r="Q78" s="2"/>
      <c r="R78" s="2"/>
      <c r="S78" s="2"/>
      <c r="T78" s="2"/>
      <c r="U78" s="2"/>
      <c r="V78" s="2"/>
      <c r="W78" s="2"/>
      <c r="X78" s="2"/>
      <c r="Y78" s="38"/>
    </row>
    <row r="79" spans="2:25" ht="15.75" customHeight="1" x14ac:dyDescent="0.3">
      <c r="B79" s="2"/>
      <c r="C79" s="61" t="s">
        <v>195</v>
      </c>
      <c r="D79" s="62" t="s">
        <v>218</v>
      </c>
      <c r="E79" s="63" t="s">
        <v>219</v>
      </c>
      <c r="F79" s="64">
        <f>+'COMUNAS - HOME DELIVERY 2026'!F79*1.1</f>
        <v>7330.554000000001</v>
      </c>
      <c r="G79" s="65">
        <f>+'COMUNAS - HOME DELIVERY 2026'!G79*1.1</f>
        <v>8072.9748000000009</v>
      </c>
      <c r="H79" s="65">
        <f>+'COMUNAS - HOME DELIVERY 2026'!H79*1.1</f>
        <v>8968.6476000000002</v>
      </c>
      <c r="I79" s="65">
        <f>+'COMUNAS - HOME DELIVERY 2026'!I79*1.1</f>
        <v>10140.174000000001</v>
      </c>
      <c r="J79" s="65">
        <f>+'COMUNAS - HOME DELIVERY 2026'!J79*1.1</f>
        <v>12142.666800000001</v>
      </c>
      <c r="K79" s="65">
        <f>+'COMUNAS - HOME DELIVERY 2026'!K79*1.1</f>
        <v>14671.324800000002</v>
      </c>
      <c r="L79" s="65">
        <f>+'COMUNAS - HOME DELIVERY 2026'!L79*1.1</f>
        <v>16655.086800000001</v>
      </c>
      <c r="M79" s="66">
        <f>+'COMUNAS - HOME DELIVERY 2026'!M79*1.1</f>
        <v>907.59240000000011</v>
      </c>
      <c r="N79" s="67">
        <f>+'COMUNAS - HOME DELIVERY 2026'!N79*1.1</f>
        <v>744.12360000000001</v>
      </c>
      <c r="O79" s="60"/>
      <c r="P79" s="2"/>
      <c r="Q79" s="2"/>
      <c r="R79" s="2"/>
      <c r="S79" s="2"/>
      <c r="T79" s="2"/>
      <c r="U79" s="2"/>
      <c r="V79" s="2"/>
      <c r="W79" s="2"/>
      <c r="X79" s="2"/>
      <c r="Y79" s="38"/>
    </row>
    <row r="80" spans="2:25" ht="15.75" customHeight="1" x14ac:dyDescent="0.3">
      <c r="B80" s="2"/>
      <c r="C80" s="61" t="s">
        <v>195</v>
      </c>
      <c r="D80" s="62" t="s">
        <v>220</v>
      </c>
      <c r="E80" s="63" t="s">
        <v>221</v>
      </c>
      <c r="F80" s="64">
        <f>+'COMUNAS - HOME DELIVERY 2026'!F80*1.1</f>
        <v>6317.3880000000008</v>
      </c>
      <c r="G80" s="65">
        <f>+'COMUNAS - HOME DELIVERY 2026'!G80*1.1</f>
        <v>6683.4900000000007</v>
      </c>
      <c r="H80" s="65">
        <f>+'COMUNAS - HOME DELIVERY 2026'!H80*1.1</f>
        <v>7734.1176000000014</v>
      </c>
      <c r="I80" s="65">
        <f>+'COMUNAS - HOME DELIVERY 2026'!I80*1.1</f>
        <v>8994.1896000000015</v>
      </c>
      <c r="J80" s="65">
        <f>+'COMUNAS - HOME DELIVERY 2026'!J80*1.1</f>
        <v>11117.581200000001</v>
      </c>
      <c r="K80" s="65">
        <f>+'COMUNAS - HOME DELIVERY 2026'!K80*1.1</f>
        <v>13361.871600000002</v>
      </c>
      <c r="L80" s="65">
        <f>+'COMUNAS - HOME DELIVERY 2026'!L80*1.1</f>
        <v>15008.479200000002</v>
      </c>
      <c r="M80" s="66">
        <f>+'COMUNAS - HOME DELIVERY 2026'!M80*1.1</f>
        <v>761.15160000000003</v>
      </c>
      <c r="N80" s="67">
        <f>+'COMUNAS - HOME DELIVERY 2026'!N80*1.1</f>
        <v>640.25280000000009</v>
      </c>
      <c r="O80" s="60"/>
      <c r="P80" s="2"/>
      <c r="Q80" s="2"/>
      <c r="R80" s="2"/>
      <c r="S80" s="2"/>
      <c r="T80" s="2"/>
      <c r="U80" s="2"/>
      <c r="V80" s="2"/>
      <c r="W80" s="2"/>
      <c r="X80" s="2"/>
      <c r="Y80" s="38"/>
    </row>
    <row r="81" spans="2:25" ht="15.75" customHeight="1" thickBot="1" x14ac:dyDescent="0.35">
      <c r="B81" s="2"/>
      <c r="C81" s="68" t="s">
        <v>195</v>
      </c>
      <c r="D81" s="69" t="s">
        <v>222</v>
      </c>
      <c r="E81" s="70" t="s">
        <v>223</v>
      </c>
      <c r="F81" s="71">
        <f>+'COMUNAS - HOME DELIVERY 2026'!F81*1.1</f>
        <v>4817.7888000000003</v>
      </c>
      <c r="G81" s="72">
        <f>+'COMUNAS - HOME DELIVERY 2026'!G81*1.1</f>
        <v>5303.6544000000004</v>
      </c>
      <c r="H81" s="72">
        <f>+'COMUNAS - HOME DELIVERY 2026'!H81*1.1</f>
        <v>5893.9584000000004</v>
      </c>
      <c r="I81" s="72">
        <f>+'COMUNAS - HOME DELIVERY 2026'!I81*1.1</f>
        <v>6662.4888000000001</v>
      </c>
      <c r="J81" s="72">
        <f>+'COMUNAS - HOME DELIVERY 2026'!J81*1.1</f>
        <v>8174.5752000000002</v>
      </c>
      <c r="K81" s="72">
        <f>+'COMUNAS - HOME DELIVERY 2026'!K81*1.1</f>
        <v>9767.2608</v>
      </c>
      <c r="L81" s="72">
        <f>+'COMUNAS - HOME DELIVERY 2026'!L81*1.1</f>
        <v>11087.4984</v>
      </c>
      <c r="M81" s="73">
        <f>+'COMUNAS - HOME DELIVERY 2026'!M81*1.1</f>
        <v>603.92640000000006</v>
      </c>
      <c r="N81" s="74">
        <f>+'COMUNAS - HOME DELIVERY 2026'!N81*1.1</f>
        <v>494.94720000000007</v>
      </c>
      <c r="O81" s="60"/>
      <c r="P81" s="2"/>
      <c r="Q81" s="2"/>
      <c r="R81" s="2"/>
      <c r="S81" s="2"/>
      <c r="T81" s="2"/>
      <c r="U81" s="2"/>
      <c r="V81" s="2"/>
      <c r="W81" s="2"/>
      <c r="X81" s="2"/>
      <c r="Y81" s="38"/>
    </row>
    <row r="82" spans="2:25" ht="15.75" customHeight="1" x14ac:dyDescent="0.3">
      <c r="B82" s="2"/>
      <c r="C82" s="53" t="s">
        <v>224</v>
      </c>
      <c r="D82" s="54" t="s">
        <v>225</v>
      </c>
      <c r="E82" s="55" t="s">
        <v>30</v>
      </c>
      <c r="F82" s="56">
        <f>+'COMUNAS - HOME DELIVERY 2026'!F82*1.1</f>
        <v>4074.2328000000002</v>
      </c>
      <c r="G82" s="57">
        <f>+'COMUNAS - HOME DELIVERY 2026'!G82*1.1</f>
        <v>4358.0328</v>
      </c>
      <c r="H82" s="57">
        <f>+'COMUNAS - HOME DELIVERY 2026'!H82*1.1</f>
        <v>4946.0664000000006</v>
      </c>
      <c r="I82" s="57">
        <f>+'COMUNAS - HOME DELIVERY 2026'!I82*1.1</f>
        <v>5857.6320000000005</v>
      </c>
      <c r="J82" s="57">
        <f>+'COMUNAS - HOME DELIVERY 2026'!J82*1.1</f>
        <v>7277.7672000000002</v>
      </c>
      <c r="K82" s="57">
        <f>+'COMUNAS - HOME DELIVERY 2026'!K82*1.1</f>
        <v>8224.5240000000013</v>
      </c>
      <c r="L82" s="57">
        <f>+'COMUNAS - HOME DELIVERY 2026'!L82*1.1</f>
        <v>9230.3112000000019</v>
      </c>
      <c r="M82" s="58">
        <f>+'COMUNAS - HOME DELIVERY 2026'!M82*1.1</f>
        <v>465.43200000000002</v>
      </c>
      <c r="N82" s="59">
        <f>+'COMUNAS - HOME DELIVERY 2026'!N82*1.1</f>
        <v>385.96800000000002</v>
      </c>
      <c r="O82" s="60"/>
      <c r="P82" s="2"/>
      <c r="Q82" s="2"/>
      <c r="R82" s="2"/>
      <c r="S82" s="2"/>
      <c r="T82" s="2"/>
      <c r="U82" s="2"/>
      <c r="V82" s="2"/>
      <c r="W82" s="2"/>
      <c r="X82" s="2"/>
      <c r="Y82" s="38"/>
    </row>
    <row r="83" spans="2:25" ht="15.75" customHeight="1" x14ac:dyDescent="0.3">
      <c r="B83" s="2"/>
      <c r="C83" s="61" t="s">
        <v>224</v>
      </c>
      <c r="D83" s="62" t="s">
        <v>226</v>
      </c>
      <c r="E83" s="63" t="s">
        <v>227</v>
      </c>
      <c r="F83" s="64">
        <f>+'COMUNAS - HOME DELIVERY 2026'!F83*1.1</f>
        <v>4074.2328000000002</v>
      </c>
      <c r="G83" s="65">
        <f>+'COMUNAS - HOME DELIVERY 2026'!G83*1.1</f>
        <v>4358.0328</v>
      </c>
      <c r="H83" s="65">
        <f>+'COMUNAS - HOME DELIVERY 2026'!H83*1.1</f>
        <v>4946.0664000000006</v>
      </c>
      <c r="I83" s="65">
        <f>+'COMUNAS - HOME DELIVERY 2026'!I83*1.1</f>
        <v>5857.6320000000005</v>
      </c>
      <c r="J83" s="65">
        <f>+'COMUNAS - HOME DELIVERY 2026'!J83*1.1</f>
        <v>7277.7672000000002</v>
      </c>
      <c r="K83" s="65">
        <f>+'COMUNAS - HOME DELIVERY 2026'!K83*1.1</f>
        <v>8224.5240000000013</v>
      </c>
      <c r="L83" s="65">
        <f>+'COMUNAS - HOME DELIVERY 2026'!L83*1.1</f>
        <v>9230.3112000000019</v>
      </c>
      <c r="M83" s="66">
        <f>+'COMUNAS - HOME DELIVERY 2026'!M83*1.1</f>
        <v>465.43200000000002</v>
      </c>
      <c r="N83" s="67">
        <f>+'COMUNAS - HOME DELIVERY 2026'!N83*1.1</f>
        <v>385.96800000000002</v>
      </c>
      <c r="O83" s="60"/>
      <c r="P83" s="2"/>
      <c r="Q83" s="2"/>
      <c r="R83" s="2"/>
      <c r="S83" s="2"/>
      <c r="T83" s="2"/>
      <c r="U83" s="2"/>
      <c r="V83" s="2"/>
      <c r="W83" s="2"/>
      <c r="X83" s="2"/>
      <c r="Y83" s="38"/>
    </row>
    <row r="84" spans="2:25" ht="15.75" customHeight="1" x14ac:dyDescent="0.3">
      <c r="B84" s="2"/>
      <c r="C84" s="61" t="s">
        <v>224</v>
      </c>
      <c r="D84" s="62" t="s">
        <v>228</v>
      </c>
      <c r="E84" s="63" t="s">
        <v>229</v>
      </c>
      <c r="F84" s="64">
        <f>+'COMUNAS - HOME DELIVERY 2026'!F84*1.1</f>
        <v>4211.5920000000006</v>
      </c>
      <c r="G84" s="65">
        <f>+'COMUNAS - HOME DELIVERY 2026'!G84*1.1</f>
        <v>4455.66</v>
      </c>
      <c r="H84" s="65">
        <f>+'COMUNAS - HOME DELIVERY 2026'!H84*1.1</f>
        <v>5156.0784000000003</v>
      </c>
      <c r="I84" s="65">
        <f>+'COMUNAS - HOME DELIVERY 2026'!I84*1.1</f>
        <v>5996.126400000001</v>
      </c>
      <c r="J84" s="65">
        <f>+'COMUNAS - HOME DELIVERY 2026'!J84*1.1</f>
        <v>7411.7208000000001</v>
      </c>
      <c r="K84" s="65">
        <f>+'COMUNAS - HOME DELIVERY 2026'!K84*1.1</f>
        <v>8907.9144000000015</v>
      </c>
      <c r="L84" s="65">
        <f>+'COMUNAS - HOME DELIVERY 2026'!L84*1.1</f>
        <v>10005.652800000002</v>
      </c>
      <c r="M84" s="66">
        <f>+'COMUNAS - HOME DELIVERY 2026'!M84*1.1</f>
        <v>507.4344000000001</v>
      </c>
      <c r="N84" s="67">
        <f>+'COMUNAS - HOME DELIVERY 2026'!N84*1.1</f>
        <v>426.8352000000001</v>
      </c>
      <c r="O84" s="60"/>
      <c r="P84" s="2"/>
      <c r="Q84" s="2"/>
      <c r="R84" s="2"/>
      <c r="S84" s="2"/>
      <c r="T84" s="2"/>
      <c r="U84" s="2"/>
      <c r="V84" s="2"/>
      <c r="W84" s="2"/>
      <c r="X84" s="2"/>
      <c r="Y84" s="38"/>
    </row>
    <row r="85" spans="2:25" ht="15.75" customHeight="1" x14ac:dyDescent="0.3">
      <c r="B85" s="2"/>
      <c r="C85" s="61" t="s">
        <v>224</v>
      </c>
      <c r="D85" s="62" t="s">
        <v>230</v>
      </c>
      <c r="E85" s="63" t="s">
        <v>231</v>
      </c>
      <c r="F85" s="64">
        <f>+'COMUNAS - HOME DELIVERY 2026'!F85*1.1</f>
        <v>4169.5896000000002</v>
      </c>
      <c r="G85" s="65">
        <f>+'COMUNAS - HOME DELIVERY 2026'!G85*1.1</f>
        <v>4411.387200000001</v>
      </c>
      <c r="H85" s="65">
        <f>+'COMUNAS - HOME DELIVERY 2026'!H85*1.1</f>
        <v>5103.8592000000008</v>
      </c>
      <c r="I85" s="65">
        <f>+'COMUNAS - HOME DELIVERY 2026'!I85*1.1</f>
        <v>5937.0960000000014</v>
      </c>
      <c r="J85" s="65">
        <f>+'COMUNAS - HOME DELIVERY 2026'!J85*1.1</f>
        <v>7339.0680000000011</v>
      </c>
      <c r="K85" s="65">
        <f>+'COMUNAS - HOME DELIVERY 2026'!K85*1.1</f>
        <v>8819.3688000000002</v>
      </c>
      <c r="L85" s="65">
        <f>+'COMUNAS - HOME DELIVERY 2026'!L85*1.1</f>
        <v>9911.4312000000009</v>
      </c>
      <c r="M85" s="66">
        <f>+'COMUNAS - HOME DELIVERY 2026'!M85*1.1</f>
        <v>505.16400000000004</v>
      </c>
      <c r="N85" s="67">
        <f>+'COMUNAS - HOME DELIVERY 2026'!N85*1.1</f>
        <v>424.56480000000005</v>
      </c>
      <c r="O85" s="60"/>
      <c r="P85" s="2"/>
      <c r="Q85" s="2"/>
      <c r="R85" s="2"/>
      <c r="S85" s="2"/>
      <c r="T85" s="2"/>
      <c r="U85" s="2"/>
      <c r="V85" s="2"/>
      <c r="W85" s="2"/>
      <c r="X85" s="2"/>
      <c r="Y85" s="38"/>
    </row>
    <row r="86" spans="2:25" ht="15.75" customHeight="1" x14ac:dyDescent="0.3">
      <c r="B86" s="2"/>
      <c r="C86" s="61" t="s">
        <v>224</v>
      </c>
      <c r="D86" s="62" t="s">
        <v>232</v>
      </c>
      <c r="E86" s="63" t="s">
        <v>233</v>
      </c>
      <c r="F86" s="64">
        <f>+'COMUNAS - HOME DELIVERY 2026'!F86*1.1</f>
        <v>4074.2328000000002</v>
      </c>
      <c r="G86" s="65">
        <f>+'COMUNAS - HOME DELIVERY 2026'!G86*1.1</f>
        <v>4358.0328</v>
      </c>
      <c r="H86" s="65">
        <f>+'COMUNAS - HOME DELIVERY 2026'!H86*1.1</f>
        <v>4946.0664000000006</v>
      </c>
      <c r="I86" s="65">
        <f>+'COMUNAS - HOME DELIVERY 2026'!I86*1.1</f>
        <v>5857.6320000000005</v>
      </c>
      <c r="J86" s="65">
        <f>+'COMUNAS - HOME DELIVERY 2026'!J86*1.1</f>
        <v>7277.7672000000002</v>
      </c>
      <c r="K86" s="65">
        <f>+'COMUNAS - HOME DELIVERY 2026'!K86*1.1</f>
        <v>8224.5240000000013</v>
      </c>
      <c r="L86" s="65">
        <f>+'COMUNAS - HOME DELIVERY 2026'!L86*1.1</f>
        <v>9230.3112000000019</v>
      </c>
      <c r="M86" s="66">
        <f>+'COMUNAS - HOME DELIVERY 2026'!M86*1.1</f>
        <v>465.43200000000002</v>
      </c>
      <c r="N86" s="67">
        <f>+'COMUNAS - HOME DELIVERY 2026'!N86*1.1</f>
        <v>385.96800000000002</v>
      </c>
      <c r="O86" s="60"/>
      <c r="P86" s="2"/>
      <c r="Q86" s="2"/>
      <c r="R86" s="2"/>
      <c r="S86" s="2"/>
      <c r="T86" s="2"/>
      <c r="U86" s="2"/>
      <c r="V86" s="2"/>
      <c r="W86" s="2"/>
      <c r="X86" s="2"/>
      <c r="Y86" s="38"/>
    </row>
    <row r="87" spans="2:25" ht="15.75" customHeight="1" x14ac:dyDescent="0.3">
      <c r="B87" s="2"/>
      <c r="C87" s="61" t="s">
        <v>224</v>
      </c>
      <c r="D87" s="62" t="s">
        <v>234</v>
      </c>
      <c r="E87" s="63" t="s">
        <v>235</v>
      </c>
      <c r="F87" s="64">
        <f>+'COMUNAS - HOME DELIVERY 2026'!F87*1.1</f>
        <v>4074.2328000000002</v>
      </c>
      <c r="G87" s="65">
        <f>+'COMUNAS - HOME DELIVERY 2026'!G87*1.1</f>
        <v>4358.0328</v>
      </c>
      <c r="H87" s="65">
        <f>+'COMUNAS - HOME DELIVERY 2026'!H87*1.1</f>
        <v>4946.0664000000006</v>
      </c>
      <c r="I87" s="65">
        <f>+'COMUNAS - HOME DELIVERY 2026'!I87*1.1</f>
        <v>5857.6320000000005</v>
      </c>
      <c r="J87" s="65">
        <f>+'COMUNAS - HOME DELIVERY 2026'!J87*1.1</f>
        <v>7277.7672000000002</v>
      </c>
      <c r="K87" s="65">
        <f>+'COMUNAS - HOME DELIVERY 2026'!K87*1.1</f>
        <v>8224.5240000000013</v>
      </c>
      <c r="L87" s="65">
        <f>+'COMUNAS - HOME DELIVERY 2026'!L87*1.1</f>
        <v>9230.3112000000019</v>
      </c>
      <c r="M87" s="66">
        <f>+'COMUNAS - HOME DELIVERY 2026'!M87*1.1</f>
        <v>465.43200000000002</v>
      </c>
      <c r="N87" s="67">
        <f>+'COMUNAS - HOME DELIVERY 2026'!N87*1.1</f>
        <v>385.96800000000002</v>
      </c>
      <c r="O87" s="60"/>
      <c r="P87" s="2"/>
      <c r="Q87" s="2"/>
      <c r="R87" s="2"/>
      <c r="S87" s="2"/>
      <c r="T87" s="2"/>
      <c r="U87" s="2"/>
      <c r="V87" s="2"/>
      <c r="W87" s="2"/>
      <c r="X87" s="2"/>
      <c r="Y87" s="38"/>
    </row>
    <row r="88" spans="2:25" ht="15.75" customHeight="1" x14ac:dyDescent="0.3">
      <c r="B88" s="2"/>
      <c r="C88" s="61" t="s">
        <v>224</v>
      </c>
      <c r="D88" s="62" t="s">
        <v>236</v>
      </c>
      <c r="E88" s="63" t="s">
        <v>237</v>
      </c>
      <c r="F88" s="64">
        <f>+'COMUNAS - HOME DELIVERY 2026'!F88*1.1</f>
        <v>4169.5896000000002</v>
      </c>
      <c r="G88" s="65">
        <f>+'COMUNAS - HOME DELIVERY 2026'!G88*1.1</f>
        <v>4411.387200000001</v>
      </c>
      <c r="H88" s="65">
        <f>+'COMUNAS - HOME DELIVERY 2026'!H88*1.1</f>
        <v>5103.8592000000008</v>
      </c>
      <c r="I88" s="65">
        <f>+'COMUNAS - HOME DELIVERY 2026'!I88*1.1</f>
        <v>5937.0960000000014</v>
      </c>
      <c r="J88" s="65">
        <f>+'COMUNAS - HOME DELIVERY 2026'!J88*1.1</f>
        <v>7339.0680000000011</v>
      </c>
      <c r="K88" s="65">
        <f>+'COMUNAS - HOME DELIVERY 2026'!K88*1.1</f>
        <v>8819.3688000000002</v>
      </c>
      <c r="L88" s="65">
        <f>+'COMUNAS - HOME DELIVERY 2026'!L88*1.1</f>
        <v>9911.4312000000009</v>
      </c>
      <c r="M88" s="66">
        <f>+'COMUNAS - HOME DELIVERY 2026'!M88*1.1</f>
        <v>505.16400000000004</v>
      </c>
      <c r="N88" s="67">
        <f>+'COMUNAS - HOME DELIVERY 2026'!N88*1.1</f>
        <v>424.56480000000005</v>
      </c>
      <c r="O88" s="60"/>
      <c r="P88" s="2"/>
      <c r="Q88" s="2"/>
      <c r="R88" s="2"/>
      <c r="S88" s="2"/>
      <c r="T88" s="2"/>
      <c r="U88" s="2"/>
      <c r="V88" s="2"/>
      <c r="W88" s="2"/>
      <c r="X88" s="2"/>
      <c r="Y88" s="38"/>
    </row>
    <row r="89" spans="2:25" ht="15.75" customHeight="1" x14ac:dyDescent="0.3">
      <c r="B89" s="2"/>
      <c r="C89" s="61" t="s">
        <v>224</v>
      </c>
      <c r="D89" s="62" t="s">
        <v>238</v>
      </c>
      <c r="E89" s="63" t="s">
        <v>239</v>
      </c>
      <c r="F89" s="64">
        <f>+'COMUNAS - HOME DELIVERY 2026'!F89*1.1</f>
        <v>4074.2328000000002</v>
      </c>
      <c r="G89" s="65">
        <f>+'COMUNAS - HOME DELIVERY 2026'!G89*1.1</f>
        <v>4358.0328</v>
      </c>
      <c r="H89" s="65">
        <f>+'COMUNAS - HOME DELIVERY 2026'!H89*1.1</f>
        <v>4946.0664000000006</v>
      </c>
      <c r="I89" s="65">
        <f>+'COMUNAS - HOME DELIVERY 2026'!I89*1.1</f>
        <v>5857.6320000000005</v>
      </c>
      <c r="J89" s="65">
        <f>+'COMUNAS - HOME DELIVERY 2026'!J89*1.1</f>
        <v>7277.7672000000002</v>
      </c>
      <c r="K89" s="65">
        <f>+'COMUNAS - HOME DELIVERY 2026'!K89*1.1</f>
        <v>8224.5240000000013</v>
      </c>
      <c r="L89" s="65">
        <f>+'COMUNAS - HOME DELIVERY 2026'!L89*1.1</f>
        <v>9230.3112000000019</v>
      </c>
      <c r="M89" s="66">
        <f>+'COMUNAS - HOME DELIVERY 2026'!M89*1.1</f>
        <v>465.43200000000002</v>
      </c>
      <c r="N89" s="67">
        <f>+'COMUNAS - HOME DELIVERY 2026'!N89*1.1</f>
        <v>385.96800000000002</v>
      </c>
      <c r="O89" s="60"/>
      <c r="P89" s="2"/>
      <c r="Q89" s="2"/>
      <c r="R89" s="2"/>
      <c r="S89" s="2"/>
      <c r="T89" s="2"/>
      <c r="U89" s="2"/>
      <c r="V89" s="2"/>
      <c r="W89" s="2"/>
      <c r="X89" s="2"/>
      <c r="Y89" s="38"/>
    </row>
    <row r="90" spans="2:25" ht="15.75" customHeight="1" x14ac:dyDescent="0.3">
      <c r="B90" s="2"/>
      <c r="C90" s="61" t="s">
        <v>224</v>
      </c>
      <c r="D90" s="62" t="s">
        <v>240</v>
      </c>
      <c r="E90" s="63" t="s">
        <v>241</v>
      </c>
      <c r="F90" s="64">
        <f>+'COMUNAS - HOME DELIVERY 2026'!F90*1.1</f>
        <v>4074.2328000000002</v>
      </c>
      <c r="G90" s="65">
        <f>+'COMUNAS - HOME DELIVERY 2026'!G90*1.1</f>
        <v>4358.0328</v>
      </c>
      <c r="H90" s="65">
        <f>+'COMUNAS - HOME DELIVERY 2026'!H90*1.1</f>
        <v>4946.0664000000006</v>
      </c>
      <c r="I90" s="65">
        <f>+'COMUNAS - HOME DELIVERY 2026'!I90*1.1</f>
        <v>5857.6320000000005</v>
      </c>
      <c r="J90" s="65">
        <f>+'COMUNAS - HOME DELIVERY 2026'!J90*1.1</f>
        <v>7277.7672000000002</v>
      </c>
      <c r="K90" s="65">
        <f>+'COMUNAS - HOME DELIVERY 2026'!K90*1.1</f>
        <v>8224.5240000000013</v>
      </c>
      <c r="L90" s="65">
        <f>+'COMUNAS - HOME DELIVERY 2026'!L90*1.1</f>
        <v>9230.3112000000019</v>
      </c>
      <c r="M90" s="66">
        <f>+'COMUNAS - HOME DELIVERY 2026'!M90*1.1</f>
        <v>465.43200000000002</v>
      </c>
      <c r="N90" s="67">
        <f>+'COMUNAS - HOME DELIVERY 2026'!N90*1.1</f>
        <v>385.96800000000002</v>
      </c>
      <c r="O90" s="60"/>
      <c r="P90" s="2"/>
      <c r="Q90" s="2"/>
      <c r="R90" s="2"/>
      <c r="S90" s="2"/>
      <c r="T90" s="2"/>
      <c r="U90" s="2"/>
      <c r="V90" s="2"/>
      <c r="W90" s="2"/>
      <c r="X90" s="2"/>
      <c r="Y90" s="38"/>
    </row>
    <row r="91" spans="2:25" ht="15.75" customHeight="1" x14ac:dyDescent="0.3">
      <c r="B91" s="2"/>
      <c r="C91" s="61" t="s">
        <v>224</v>
      </c>
      <c r="D91" s="62" t="s">
        <v>242</v>
      </c>
      <c r="E91" s="63" t="s">
        <v>243</v>
      </c>
      <c r="F91" s="64">
        <f>+'COMUNAS - HOME DELIVERY 2026'!F91*1.1</f>
        <v>4074.2328000000002</v>
      </c>
      <c r="G91" s="65">
        <f>+'COMUNAS - HOME DELIVERY 2026'!G91*1.1</f>
        <v>4358.0328</v>
      </c>
      <c r="H91" s="65">
        <f>+'COMUNAS - HOME DELIVERY 2026'!H91*1.1</f>
        <v>4946.0664000000006</v>
      </c>
      <c r="I91" s="65">
        <f>+'COMUNAS - HOME DELIVERY 2026'!I91*1.1</f>
        <v>5857.6320000000005</v>
      </c>
      <c r="J91" s="65">
        <f>+'COMUNAS - HOME DELIVERY 2026'!J91*1.1</f>
        <v>7277.7672000000002</v>
      </c>
      <c r="K91" s="65">
        <f>+'COMUNAS - HOME DELIVERY 2026'!K91*1.1</f>
        <v>8224.5240000000013</v>
      </c>
      <c r="L91" s="65">
        <f>+'COMUNAS - HOME DELIVERY 2026'!L91*1.1</f>
        <v>9230.3112000000019</v>
      </c>
      <c r="M91" s="66">
        <f>+'COMUNAS - HOME DELIVERY 2026'!M91*1.1</f>
        <v>465.43200000000002</v>
      </c>
      <c r="N91" s="67">
        <f>+'COMUNAS - HOME DELIVERY 2026'!N91*1.1</f>
        <v>385.96800000000002</v>
      </c>
      <c r="O91" s="60"/>
      <c r="P91" s="2"/>
      <c r="Q91" s="2"/>
      <c r="R91" s="2"/>
      <c r="S91" s="2"/>
      <c r="T91" s="2"/>
      <c r="U91" s="2"/>
      <c r="V91" s="2"/>
      <c r="W91" s="2"/>
      <c r="X91" s="2"/>
      <c r="Y91" s="38"/>
    </row>
    <row r="92" spans="2:25" ht="15.75" customHeight="1" x14ac:dyDescent="0.3">
      <c r="B92" s="2"/>
      <c r="C92" s="61" t="s">
        <v>224</v>
      </c>
      <c r="D92" s="62" t="s">
        <v>244</v>
      </c>
      <c r="E92" s="63" t="s">
        <v>245</v>
      </c>
      <c r="F92" s="64">
        <f>+'COMUNAS - HOME DELIVERY 2026'!F92*1.1</f>
        <v>4211.5920000000006</v>
      </c>
      <c r="G92" s="65">
        <f>+'COMUNAS - HOME DELIVERY 2026'!G92*1.1</f>
        <v>4455.66</v>
      </c>
      <c r="H92" s="65">
        <f>+'COMUNAS - HOME DELIVERY 2026'!H92*1.1</f>
        <v>5156.0784000000003</v>
      </c>
      <c r="I92" s="65">
        <f>+'COMUNAS - HOME DELIVERY 2026'!I92*1.1</f>
        <v>5996.126400000001</v>
      </c>
      <c r="J92" s="65">
        <f>+'COMUNAS - HOME DELIVERY 2026'!J92*1.1</f>
        <v>7411.7208000000001</v>
      </c>
      <c r="K92" s="65">
        <f>+'COMUNAS - HOME DELIVERY 2026'!K92*1.1</f>
        <v>8907.9144000000015</v>
      </c>
      <c r="L92" s="65">
        <f>+'COMUNAS - HOME DELIVERY 2026'!L92*1.1</f>
        <v>10005.652800000002</v>
      </c>
      <c r="M92" s="66">
        <f>+'COMUNAS - HOME DELIVERY 2026'!M92*1.1</f>
        <v>507.4344000000001</v>
      </c>
      <c r="N92" s="67">
        <f>+'COMUNAS - HOME DELIVERY 2026'!N92*1.1</f>
        <v>426.8352000000001</v>
      </c>
      <c r="O92" s="60"/>
      <c r="P92" s="2"/>
      <c r="Q92" s="2"/>
      <c r="R92" s="2"/>
      <c r="S92" s="2"/>
      <c r="T92" s="2"/>
      <c r="U92" s="2"/>
      <c r="V92" s="2"/>
      <c r="W92" s="2"/>
      <c r="X92" s="2"/>
      <c r="Y92" s="38"/>
    </row>
    <row r="93" spans="2:25" ht="15.75" customHeight="1" x14ac:dyDescent="0.3">
      <c r="B93" s="2"/>
      <c r="C93" s="61" t="s">
        <v>224</v>
      </c>
      <c r="D93" s="62" t="s">
        <v>246</v>
      </c>
      <c r="E93" s="63" t="s">
        <v>247</v>
      </c>
      <c r="F93" s="64">
        <f>+'COMUNAS - HOME DELIVERY 2026'!F93*1.1</f>
        <v>22020.609600000003</v>
      </c>
      <c r="G93" s="65">
        <f>+'COMUNAS - HOME DELIVERY 2026'!G93*1.1</f>
        <v>22206.214800000002</v>
      </c>
      <c r="H93" s="65">
        <f>+'COMUNAS - HOME DELIVERY 2026'!H93*1.1</f>
        <v>22539.963600000003</v>
      </c>
      <c r="I93" s="65">
        <f>+'COMUNAS - HOME DELIVERY 2026'!I93*1.1</f>
        <v>23028.667200000004</v>
      </c>
      <c r="J93" s="65">
        <f>+'COMUNAS - HOME DELIVERY 2026'!J93*1.1</f>
        <v>23977.126800000002</v>
      </c>
      <c r="K93" s="65">
        <f>+'COMUNAS - HOME DELIVERY 2026'!K93*1.1</f>
        <v>24586.729200000002</v>
      </c>
      <c r="L93" s="65">
        <f>+'COMUNAS - HOME DELIVERY 2026'!L93*1.1</f>
        <v>25877.451600000004</v>
      </c>
      <c r="M93" s="66">
        <f>+'COMUNAS - HOME DELIVERY 2026'!M93*1.1</f>
        <v>510.84000000000009</v>
      </c>
      <c r="N93" s="67">
        <f>+'COMUNAS - HOME DELIVERY 2026'!N93*1.1</f>
        <v>389.94120000000004</v>
      </c>
      <c r="O93" s="60"/>
      <c r="P93" s="2"/>
      <c r="Q93" s="2"/>
      <c r="R93" s="2"/>
      <c r="S93" s="2"/>
      <c r="T93" s="2"/>
      <c r="U93" s="2"/>
      <c r="V93" s="2"/>
      <c r="W93" s="2"/>
      <c r="X93" s="2"/>
      <c r="Y93" s="38"/>
    </row>
    <row r="94" spans="2:25" ht="15.75" customHeight="1" x14ac:dyDescent="0.3">
      <c r="B94" s="2"/>
      <c r="C94" s="61" t="s">
        <v>224</v>
      </c>
      <c r="D94" s="62" t="s">
        <v>248</v>
      </c>
      <c r="E94" s="63" t="s">
        <v>249</v>
      </c>
      <c r="F94" s="64">
        <f>+'COMUNAS - HOME DELIVERY 2026'!F94*1.1</f>
        <v>22020.609600000003</v>
      </c>
      <c r="G94" s="65">
        <f>+'COMUNAS - HOME DELIVERY 2026'!G94*1.1</f>
        <v>22206.214800000002</v>
      </c>
      <c r="H94" s="65">
        <f>+'COMUNAS - HOME DELIVERY 2026'!H94*1.1</f>
        <v>22539.963600000003</v>
      </c>
      <c r="I94" s="65">
        <f>+'COMUNAS - HOME DELIVERY 2026'!I94*1.1</f>
        <v>23028.667200000004</v>
      </c>
      <c r="J94" s="65">
        <f>+'COMUNAS - HOME DELIVERY 2026'!J94*1.1</f>
        <v>23977.126800000002</v>
      </c>
      <c r="K94" s="65">
        <f>+'COMUNAS - HOME DELIVERY 2026'!K94*1.1</f>
        <v>24586.729200000002</v>
      </c>
      <c r="L94" s="65">
        <f>+'COMUNAS - HOME DELIVERY 2026'!L94*1.1</f>
        <v>25877.451600000004</v>
      </c>
      <c r="M94" s="66">
        <f>+'COMUNAS - HOME DELIVERY 2026'!M94*1.1</f>
        <v>510.84000000000009</v>
      </c>
      <c r="N94" s="67">
        <f>+'COMUNAS - HOME DELIVERY 2026'!N94*1.1</f>
        <v>389.94120000000004</v>
      </c>
      <c r="O94" s="60"/>
      <c r="P94" s="2"/>
      <c r="Q94" s="2"/>
      <c r="R94" s="2"/>
      <c r="S94" s="2"/>
      <c r="T94" s="2"/>
      <c r="U94" s="2"/>
      <c r="V94" s="2"/>
      <c r="W94" s="2"/>
      <c r="X94" s="2"/>
      <c r="Y94" s="38"/>
    </row>
    <row r="95" spans="2:25" ht="15.75" customHeight="1" x14ac:dyDescent="0.3">
      <c r="B95" s="2"/>
      <c r="C95" s="61" t="s">
        <v>224</v>
      </c>
      <c r="D95" s="62" t="s">
        <v>250</v>
      </c>
      <c r="E95" s="63" t="s">
        <v>251</v>
      </c>
      <c r="F95" s="64">
        <f>+'COMUNAS - HOME DELIVERY 2026'!F95*1.1</f>
        <v>4211.5920000000006</v>
      </c>
      <c r="G95" s="65">
        <f>+'COMUNAS - HOME DELIVERY 2026'!G95*1.1</f>
        <v>4455.66</v>
      </c>
      <c r="H95" s="65">
        <f>+'COMUNAS - HOME DELIVERY 2026'!H95*1.1</f>
        <v>5156.0784000000003</v>
      </c>
      <c r="I95" s="65">
        <f>+'COMUNAS - HOME DELIVERY 2026'!I95*1.1</f>
        <v>5996.126400000001</v>
      </c>
      <c r="J95" s="65">
        <f>+'COMUNAS - HOME DELIVERY 2026'!J95*1.1</f>
        <v>7411.7208000000001</v>
      </c>
      <c r="K95" s="65">
        <f>+'COMUNAS - HOME DELIVERY 2026'!K95*1.1</f>
        <v>8907.9144000000015</v>
      </c>
      <c r="L95" s="65">
        <f>+'COMUNAS - HOME DELIVERY 2026'!L95*1.1</f>
        <v>10005.652800000002</v>
      </c>
      <c r="M95" s="66">
        <f>+'COMUNAS - HOME DELIVERY 2026'!M95*1.1</f>
        <v>507.4344000000001</v>
      </c>
      <c r="N95" s="67">
        <f>+'COMUNAS - HOME DELIVERY 2026'!N95*1.1</f>
        <v>426.8352000000001</v>
      </c>
      <c r="O95" s="60"/>
      <c r="P95" s="2"/>
      <c r="Q95" s="2"/>
      <c r="R95" s="2"/>
      <c r="S95" s="2"/>
      <c r="T95" s="2"/>
      <c r="U95" s="2"/>
      <c r="V95" s="2"/>
      <c r="W95" s="2"/>
      <c r="X95" s="2"/>
      <c r="Y95" s="38"/>
    </row>
    <row r="96" spans="2:25" ht="15.75" customHeight="1" x14ac:dyDescent="0.3">
      <c r="B96" s="2"/>
      <c r="C96" s="61" t="s">
        <v>224</v>
      </c>
      <c r="D96" s="62" t="s">
        <v>252</v>
      </c>
      <c r="E96" s="63" t="s">
        <v>253</v>
      </c>
      <c r="F96" s="64">
        <f>+'COMUNAS - HOME DELIVERY 2026'!F96*1.1</f>
        <v>4211.5920000000006</v>
      </c>
      <c r="G96" s="65">
        <f>+'COMUNAS - HOME DELIVERY 2026'!G96*1.1</f>
        <v>4455.66</v>
      </c>
      <c r="H96" s="65">
        <f>+'COMUNAS - HOME DELIVERY 2026'!H96*1.1</f>
        <v>5156.0784000000003</v>
      </c>
      <c r="I96" s="65">
        <f>+'COMUNAS - HOME DELIVERY 2026'!I96*1.1</f>
        <v>5996.126400000001</v>
      </c>
      <c r="J96" s="65">
        <f>+'COMUNAS - HOME DELIVERY 2026'!J96*1.1</f>
        <v>7411.7208000000001</v>
      </c>
      <c r="K96" s="65">
        <f>+'COMUNAS - HOME DELIVERY 2026'!K96*1.1</f>
        <v>8907.9144000000015</v>
      </c>
      <c r="L96" s="65">
        <f>+'COMUNAS - HOME DELIVERY 2026'!L96*1.1</f>
        <v>10005.652800000002</v>
      </c>
      <c r="M96" s="66">
        <f>+'COMUNAS - HOME DELIVERY 2026'!M96*1.1</f>
        <v>507.4344000000001</v>
      </c>
      <c r="N96" s="67">
        <f>+'COMUNAS - HOME DELIVERY 2026'!N96*1.1</f>
        <v>426.8352000000001</v>
      </c>
      <c r="O96" s="60"/>
      <c r="P96" s="2"/>
      <c r="Q96" s="2"/>
      <c r="R96" s="2"/>
      <c r="S96" s="2"/>
      <c r="T96" s="2"/>
      <c r="U96" s="2"/>
      <c r="V96" s="2"/>
      <c r="W96" s="2"/>
      <c r="X96" s="2"/>
      <c r="Y96" s="38"/>
    </row>
    <row r="97" spans="2:25" ht="15.75" customHeight="1" x14ac:dyDescent="0.3">
      <c r="B97" s="2"/>
      <c r="C97" s="61" t="s">
        <v>224</v>
      </c>
      <c r="D97" s="62" t="s">
        <v>254</v>
      </c>
      <c r="E97" s="63" t="s">
        <v>255</v>
      </c>
      <c r="F97" s="64">
        <f>+'COMUNAS - HOME DELIVERY 2026'!F97*1.1</f>
        <v>4211.5920000000006</v>
      </c>
      <c r="G97" s="65">
        <f>+'COMUNAS - HOME DELIVERY 2026'!G97*1.1</f>
        <v>4455.66</v>
      </c>
      <c r="H97" s="65">
        <f>+'COMUNAS - HOME DELIVERY 2026'!H97*1.1</f>
        <v>5156.0784000000003</v>
      </c>
      <c r="I97" s="65">
        <f>+'COMUNAS - HOME DELIVERY 2026'!I97*1.1</f>
        <v>5996.126400000001</v>
      </c>
      <c r="J97" s="65">
        <f>+'COMUNAS - HOME DELIVERY 2026'!J97*1.1</f>
        <v>7411.7208000000001</v>
      </c>
      <c r="K97" s="65">
        <f>+'COMUNAS - HOME DELIVERY 2026'!K97*1.1</f>
        <v>8907.9144000000015</v>
      </c>
      <c r="L97" s="65">
        <f>+'COMUNAS - HOME DELIVERY 2026'!L97*1.1</f>
        <v>10005.652800000002</v>
      </c>
      <c r="M97" s="66">
        <f>+'COMUNAS - HOME DELIVERY 2026'!M97*1.1</f>
        <v>507.4344000000001</v>
      </c>
      <c r="N97" s="67">
        <f>+'COMUNAS - HOME DELIVERY 2026'!N97*1.1</f>
        <v>426.8352000000001</v>
      </c>
      <c r="O97" s="60"/>
      <c r="P97" s="2"/>
      <c r="Q97" s="2"/>
      <c r="R97" s="2"/>
      <c r="S97" s="2"/>
      <c r="T97" s="2"/>
      <c r="U97" s="2"/>
      <c r="V97" s="2"/>
      <c r="W97" s="2"/>
      <c r="X97" s="2"/>
      <c r="Y97" s="38"/>
    </row>
    <row r="98" spans="2:25" ht="15.75" customHeight="1" x14ac:dyDescent="0.3">
      <c r="B98" s="2"/>
      <c r="C98" s="61" t="s">
        <v>224</v>
      </c>
      <c r="D98" s="62" t="s">
        <v>256</v>
      </c>
      <c r="E98" s="63" t="s">
        <v>257</v>
      </c>
      <c r="F98" s="64">
        <f>+'COMUNAS - HOME DELIVERY 2026'!F98*1.1</f>
        <v>4211.5920000000006</v>
      </c>
      <c r="G98" s="65">
        <f>+'COMUNAS - HOME DELIVERY 2026'!G98*1.1</f>
        <v>4455.66</v>
      </c>
      <c r="H98" s="65">
        <f>+'COMUNAS - HOME DELIVERY 2026'!H98*1.1</f>
        <v>5156.0784000000003</v>
      </c>
      <c r="I98" s="65">
        <f>+'COMUNAS - HOME DELIVERY 2026'!I98*1.1</f>
        <v>5996.126400000001</v>
      </c>
      <c r="J98" s="65">
        <f>+'COMUNAS - HOME DELIVERY 2026'!J98*1.1</f>
        <v>7411.7208000000001</v>
      </c>
      <c r="K98" s="65">
        <f>+'COMUNAS - HOME DELIVERY 2026'!K98*1.1</f>
        <v>8907.9144000000015</v>
      </c>
      <c r="L98" s="65">
        <f>+'COMUNAS - HOME DELIVERY 2026'!L98*1.1</f>
        <v>10005.652800000002</v>
      </c>
      <c r="M98" s="66">
        <f>+'COMUNAS - HOME DELIVERY 2026'!M98*1.1</f>
        <v>507.4344000000001</v>
      </c>
      <c r="N98" s="67">
        <f>+'COMUNAS - HOME DELIVERY 2026'!N98*1.1</f>
        <v>426.8352000000001</v>
      </c>
      <c r="O98" s="60"/>
      <c r="P98" s="2"/>
      <c r="Q98" s="2"/>
      <c r="R98" s="2"/>
      <c r="S98" s="2"/>
      <c r="T98" s="2"/>
      <c r="U98" s="2"/>
      <c r="V98" s="2"/>
      <c r="W98" s="2"/>
      <c r="X98" s="2"/>
      <c r="Y98" s="38"/>
    </row>
    <row r="99" spans="2:25" ht="15.75" customHeight="1" x14ac:dyDescent="0.3">
      <c r="B99" s="2"/>
      <c r="C99" s="61" t="s">
        <v>224</v>
      </c>
      <c r="D99" s="62" t="s">
        <v>258</v>
      </c>
      <c r="E99" s="63" t="s">
        <v>259</v>
      </c>
      <c r="F99" s="64">
        <f>+'COMUNAS - HOME DELIVERY 2026'!F99*1.1</f>
        <v>4169.5896000000002</v>
      </c>
      <c r="G99" s="65">
        <f>+'COMUNAS - HOME DELIVERY 2026'!G99*1.1</f>
        <v>4411.387200000001</v>
      </c>
      <c r="H99" s="65">
        <f>+'COMUNAS - HOME DELIVERY 2026'!H99*1.1</f>
        <v>5103.8592000000008</v>
      </c>
      <c r="I99" s="65">
        <f>+'COMUNAS - HOME DELIVERY 2026'!I99*1.1</f>
        <v>5937.0960000000014</v>
      </c>
      <c r="J99" s="65">
        <f>+'COMUNAS - HOME DELIVERY 2026'!J99*1.1</f>
        <v>7339.0680000000011</v>
      </c>
      <c r="K99" s="65">
        <f>+'COMUNAS - HOME DELIVERY 2026'!K99*1.1</f>
        <v>8819.3688000000002</v>
      </c>
      <c r="L99" s="65">
        <f>+'COMUNAS - HOME DELIVERY 2026'!L99*1.1</f>
        <v>9911.4312000000009</v>
      </c>
      <c r="M99" s="66">
        <f>+'COMUNAS - HOME DELIVERY 2026'!M99*1.1</f>
        <v>505.16400000000004</v>
      </c>
      <c r="N99" s="67">
        <f>+'COMUNAS - HOME DELIVERY 2026'!N99*1.1</f>
        <v>424.56480000000005</v>
      </c>
      <c r="O99" s="60"/>
      <c r="P99" s="2"/>
      <c r="Q99" s="2"/>
      <c r="R99" s="2"/>
      <c r="S99" s="2"/>
      <c r="T99" s="2"/>
      <c r="U99" s="2"/>
      <c r="V99" s="2"/>
      <c r="W99" s="2"/>
      <c r="X99" s="2"/>
      <c r="Y99" s="38"/>
    </row>
    <row r="100" spans="2:25" ht="15.75" customHeight="1" x14ac:dyDescent="0.3">
      <c r="B100" s="2"/>
      <c r="C100" s="61" t="s">
        <v>224</v>
      </c>
      <c r="D100" s="62" t="s">
        <v>260</v>
      </c>
      <c r="E100" s="63" t="s">
        <v>28</v>
      </c>
      <c r="F100" s="64">
        <f>+'COMUNAS - HOME DELIVERY 2026'!F100*1.1</f>
        <v>4169.5896000000002</v>
      </c>
      <c r="G100" s="65">
        <f>+'COMUNAS - HOME DELIVERY 2026'!G100*1.1</f>
        <v>4411.387200000001</v>
      </c>
      <c r="H100" s="65">
        <f>+'COMUNAS - HOME DELIVERY 2026'!H100*1.1</f>
        <v>5103.8592000000008</v>
      </c>
      <c r="I100" s="65">
        <f>+'COMUNAS - HOME DELIVERY 2026'!I100*1.1</f>
        <v>5937.0960000000014</v>
      </c>
      <c r="J100" s="65">
        <f>+'COMUNAS - HOME DELIVERY 2026'!J100*1.1</f>
        <v>7339.0680000000011</v>
      </c>
      <c r="K100" s="65">
        <f>+'COMUNAS - HOME DELIVERY 2026'!K100*1.1</f>
        <v>8819.3688000000002</v>
      </c>
      <c r="L100" s="65">
        <f>+'COMUNAS - HOME DELIVERY 2026'!L100*1.1</f>
        <v>9911.4312000000009</v>
      </c>
      <c r="M100" s="66">
        <f>+'COMUNAS - HOME DELIVERY 2026'!M100*1.1</f>
        <v>505.16400000000004</v>
      </c>
      <c r="N100" s="67">
        <f>+'COMUNAS - HOME DELIVERY 2026'!N100*1.1</f>
        <v>424.56480000000005</v>
      </c>
      <c r="O100" s="60"/>
      <c r="P100" s="2"/>
      <c r="Q100" s="2"/>
      <c r="R100" s="2"/>
      <c r="S100" s="2"/>
      <c r="T100" s="2"/>
      <c r="U100" s="2"/>
      <c r="V100" s="2"/>
      <c r="W100" s="2"/>
      <c r="X100" s="2"/>
      <c r="Y100" s="38"/>
    </row>
    <row r="101" spans="2:25" ht="15.75" customHeight="1" x14ac:dyDescent="0.3">
      <c r="B101" s="2"/>
      <c r="C101" s="61" t="s">
        <v>224</v>
      </c>
      <c r="D101" s="62" t="s">
        <v>261</v>
      </c>
      <c r="E101" s="63" t="s">
        <v>262</v>
      </c>
      <c r="F101" s="64">
        <f>+'COMUNAS - HOME DELIVERY 2026'!F101*1.1</f>
        <v>4211.5920000000006</v>
      </c>
      <c r="G101" s="65">
        <f>+'COMUNAS - HOME DELIVERY 2026'!G101*1.1</f>
        <v>4455.66</v>
      </c>
      <c r="H101" s="65">
        <f>+'COMUNAS - HOME DELIVERY 2026'!H101*1.1</f>
        <v>5156.0784000000003</v>
      </c>
      <c r="I101" s="65">
        <f>+'COMUNAS - HOME DELIVERY 2026'!I101*1.1</f>
        <v>5996.126400000001</v>
      </c>
      <c r="J101" s="65">
        <f>+'COMUNAS - HOME DELIVERY 2026'!J101*1.1</f>
        <v>7411.7208000000001</v>
      </c>
      <c r="K101" s="65">
        <f>+'COMUNAS - HOME DELIVERY 2026'!K101*1.1</f>
        <v>8907.9144000000015</v>
      </c>
      <c r="L101" s="65">
        <f>+'COMUNAS - HOME DELIVERY 2026'!L101*1.1</f>
        <v>10005.652800000002</v>
      </c>
      <c r="M101" s="66">
        <f>+'COMUNAS - HOME DELIVERY 2026'!M101*1.1</f>
        <v>507.4344000000001</v>
      </c>
      <c r="N101" s="67">
        <f>+'COMUNAS - HOME DELIVERY 2026'!N101*1.1</f>
        <v>426.8352000000001</v>
      </c>
      <c r="O101" s="60"/>
      <c r="P101" s="2"/>
      <c r="Q101" s="2"/>
      <c r="R101" s="2"/>
      <c r="S101" s="2"/>
      <c r="T101" s="2"/>
      <c r="U101" s="2"/>
      <c r="V101" s="2"/>
      <c r="W101" s="2"/>
      <c r="X101" s="2"/>
      <c r="Y101" s="38"/>
    </row>
    <row r="102" spans="2:25" ht="15.75" customHeight="1" x14ac:dyDescent="0.3">
      <c r="B102" s="2"/>
      <c r="C102" s="61" t="s">
        <v>224</v>
      </c>
      <c r="D102" s="62" t="s">
        <v>263</v>
      </c>
      <c r="E102" s="63" t="s">
        <v>264</v>
      </c>
      <c r="F102" s="64">
        <f>+'COMUNAS - HOME DELIVERY 2026'!F102*1.1</f>
        <v>4211.5920000000006</v>
      </c>
      <c r="G102" s="65">
        <f>+'COMUNAS - HOME DELIVERY 2026'!G102*1.1</f>
        <v>4455.66</v>
      </c>
      <c r="H102" s="65">
        <f>+'COMUNAS - HOME DELIVERY 2026'!H102*1.1</f>
        <v>5156.0784000000003</v>
      </c>
      <c r="I102" s="65">
        <f>+'COMUNAS - HOME DELIVERY 2026'!I102*1.1</f>
        <v>5996.126400000001</v>
      </c>
      <c r="J102" s="65">
        <f>+'COMUNAS - HOME DELIVERY 2026'!J102*1.1</f>
        <v>7411.7208000000001</v>
      </c>
      <c r="K102" s="65">
        <f>+'COMUNAS - HOME DELIVERY 2026'!K102*1.1</f>
        <v>8907.9144000000015</v>
      </c>
      <c r="L102" s="65">
        <f>+'COMUNAS - HOME DELIVERY 2026'!L102*1.1</f>
        <v>10005.652800000002</v>
      </c>
      <c r="M102" s="66">
        <f>+'COMUNAS - HOME DELIVERY 2026'!M102*1.1</f>
        <v>507.4344000000001</v>
      </c>
      <c r="N102" s="67">
        <f>+'COMUNAS - HOME DELIVERY 2026'!N102*1.1</f>
        <v>426.8352000000001</v>
      </c>
      <c r="O102" s="60"/>
      <c r="P102" s="2"/>
      <c r="Q102" s="2"/>
      <c r="R102" s="2"/>
      <c r="S102" s="2"/>
      <c r="T102" s="2"/>
      <c r="U102" s="2"/>
      <c r="V102" s="2"/>
      <c r="W102" s="2"/>
      <c r="X102" s="2"/>
      <c r="Y102" s="38"/>
    </row>
    <row r="103" spans="2:25" ht="15.75" customHeight="1" x14ac:dyDescent="0.3">
      <c r="B103" s="2"/>
      <c r="C103" s="61" t="s">
        <v>224</v>
      </c>
      <c r="D103" s="62" t="s">
        <v>265</v>
      </c>
      <c r="E103" s="63" t="s">
        <v>266</v>
      </c>
      <c r="F103" s="64">
        <f>+'COMUNAS - HOME DELIVERY 2026'!F103*1.1</f>
        <v>4169.5896000000002</v>
      </c>
      <c r="G103" s="65">
        <f>+'COMUNAS - HOME DELIVERY 2026'!G103*1.1</f>
        <v>4411.387200000001</v>
      </c>
      <c r="H103" s="65">
        <f>+'COMUNAS - HOME DELIVERY 2026'!H103*1.1</f>
        <v>5103.8592000000008</v>
      </c>
      <c r="I103" s="65">
        <f>+'COMUNAS - HOME DELIVERY 2026'!I103*1.1</f>
        <v>5937.0960000000014</v>
      </c>
      <c r="J103" s="65">
        <f>+'COMUNAS - HOME DELIVERY 2026'!J103*1.1</f>
        <v>7339.0680000000011</v>
      </c>
      <c r="K103" s="65">
        <f>+'COMUNAS - HOME DELIVERY 2026'!K103*1.1</f>
        <v>8819.3688000000002</v>
      </c>
      <c r="L103" s="65">
        <f>+'COMUNAS - HOME DELIVERY 2026'!L103*1.1</f>
        <v>9911.4312000000009</v>
      </c>
      <c r="M103" s="66">
        <f>+'COMUNAS - HOME DELIVERY 2026'!M103*1.1</f>
        <v>505.16400000000004</v>
      </c>
      <c r="N103" s="67">
        <f>+'COMUNAS - HOME DELIVERY 2026'!N103*1.1</f>
        <v>424.56480000000005</v>
      </c>
      <c r="O103" s="60"/>
      <c r="P103" s="2"/>
      <c r="Q103" s="2"/>
      <c r="R103" s="2"/>
      <c r="S103" s="2"/>
      <c r="T103" s="2"/>
      <c r="U103" s="2"/>
      <c r="V103" s="2"/>
      <c r="W103" s="2"/>
      <c r="X103" s="2"/>
      <c r="Y103" s="38"/>
    </row>
    <row r="104" spans="2:25" ht="15.75" customHeight="1" x14ac:dyDescent="0.3">
      <c r="B104" s="2"/>
      <c r="C104" s="61" t="s">
        <v>224</v>
      </c>
      <c r="D104" s="62" t="s">
        <v>267</v>
      </c>
      <c r="E104" s="63" t="s">
        <v>268</v>
      </c>
      <c r="F104" s="64">
        <f>+'COMUNAS - HOME DELIVERY 2026'!F104*1.1</f>
        <v>4211.5920000000006</v>
      </c>
      <c r="G104" s="65">
        <f>+'COMUNAS - HOME DELIVERY 2026'!G104*1.1</f>
        <v>4455.66</v>
      </c>
      <c r="H104" s="65">
        <f>+'COMUNAS - HOME DELIVERY 2026'!H104*1.1</f>
        <v>5156.0784000000003</v>
      </c>
      <c r="I104" s="65">
        <f>+'COMUNAS - HOME DELIVERY 2026'!I104*1.1</f>
        <v>5996.126400000001</v>
      </c>
      <c r="J104" s="65">
        <f>+'COMUNAS - HOME DELIVERY 2026'!J104*1.1</f>
        <v>7411.7208000000001</v>
      </c>
      <c r="K104" s="65">
        <f>+'COMUNAS - HOME DELIVERY 2026'!K104*1.1</f>
        <v>8907.9144000000015</v>
      </c>
      <c r="L104" s="65">
        <f>+'COMUNAS - HOME DELIVERY 2026'!L104*1.1</f>
        <v>10005.652800000002</v>
      </c>
      <c r="M104" s="66">
        <f>+'COMUNAS - HOME DELIVERY 2026'!M104*1.1</f>
        <v>507.4344000000001</v>
      </c>
      <c r="N104" s="67">
        <f>+'COMUNAS - HOME DELIVERY 2026'!N104*1.1</f>
        <v>426.8352000000001</v>
      </c>
      <c r="O104" s="60"/>
      <c r="P104" s="2"/>
      <c r="Q104" s="2"/>
      <c r="R104" s="2"/>
      <c r="S104" s="2"/>
      <c r="T104" s="2"/>
      <c r="U104" s="2"/>
      <c r="V104" s="2"/>
      <c r="W104" s="2"/>
      <c r="X104" s="2"/>
      <c r="Y104" s="38"/>
    </row>
    <row r="105" spans="2:25" ht="15.75" customHeight="1" x14ac:dyDescent="0.3">
      <c r="B105" s="2"/>
      <c r="C105" s="61" t="s">
        <v>224</v>
      </c>
      <c r="D105" s="62" t="s">
        <v>269</v>
      </c>
      <c r="E105" s="63" t="s">
        <v>270</v>
      </c>
      <c r="F105" s="64">
        <f>+'COMUNAS - HOME DELIVERY 2026'!F105*1.1</f>
        <v>6317.3880000000008</v>
      </c>
      <c r="G105" s="65">
        <f>+'COMUNAS - HOME DELIVERY 2026'!G105*1.1</f>
        <v>6683.4900000000007</v>
      </c>
      <c r="H105" s="65">
        <f>+'COMUNAS - HOME DELIVERY 2026'!H105*1.1</f>
        <v>7734.1176000000014</v>
      </c>
      <c r="I105" s="65">
        <f>+'COMUNAS - HOME DELIVERY 2026'!I105*1.1</f>
        <v>8994.1896000000015</v>
      </c>
      <c r="J105" s="65">
        <f>+'COMUNAS - HOME DELIVERY 2026'!J105*1.1</f>
        <v>11117.581200000001</v>
      </c>
      <c r="K105" s="65">
        <f>+'COMUNAS - HOME DELIVERY 2026'!K105*1.1</f>
        <v>13361.871600000002</v>
      </c>
      <c r="L105" s="65">
        <f>+'COMUNAS - HOME DELIVERY 2026'!L105*1.1</f>
        <v>15008.479200000002</v>
      </c>
      <c r="M105" s="66">
        <f>+'COMUNAS - HOME DELIVERY 2026'!M105*1.1</f>
        <v>761.15160000000003</v>
      </c>
      <c r="N105" s="67">
        <f>+'COMUNAS - HOME DELIVERY 2026'!N105*1.1</f>
        <v>640.25280000000009</v>
      </c>
      <c r="O105" s="60"/>
      <c r="P105" s="2"/>
      <c r="Q105" s="2"/>
      <c r="R105" s="2"/>
      <c r="S105" s="2"/>
      <c r="T105" s="2"/>
      <c r="U105" s="2"/>
      <c r="V105" s="2"/>
      <c r="W105" s="2"/>
      <c r="X105" s="2"/>
      <c r="Y105" s="38"/>
    </row>
    <row r="106" spans="2:25" ht="15.75" customHeight="1" x14ac:dyDescent="0.3">
      <c r="B106" s="2"/>
      <c r="C106" s="61" t="s">
        <v>224</v>
      </c>
      <c r="D106" s="62" t="s">
        <v>271</v>
      </c>
      <c r="E106" s="63" t="s">
        <v>272</v>
      </c>
      <c r="F106" s="64">
        <f>+'COMUNAS - HOME DELIVERY 2026'!F106*1.1</f>
        <v>4211.5920000000006</v>
      </c>
      <c r="G106" s="65">
        <f>+'COMUNAS - HOME DELIVERY 2026'!G106*1.1</f>
        <v>4455.66</v>
      </c>
      <c r="H106" s="65">
        <f>+'COMUNAS - HOME DELIVERY 2026'!H106*1.1</f>
        <v>5156.0784000000003</v>
      </c>
      <c r="I106" s="65">
        <f>+'COMUNAS - HOME DELIVERY 2026'!I106*1.1</f>
        <v>5996.126400000001</v>
      </c>
      <c r="J106" s="65">
        <f>+'COMUNAS - HOME DELIVERY 2026'!J106*1.1</f>
        <v>7411.7208000000001</v>
      </c>
      <c r="K106" s="65">
        <f>+'COMUNAS - HOME DELIVERY 2026'!K106*1.1</f>
        <v>8907.9144000000015</v>
      </c>
      <c r="L106" s="65">
        <f>+'COMUNAS - HOME DELIVERY 2026'!L106*1.1</f>
        <v>10005.652800000002</v>
      </c>
      <c r="M106" s="66">
        <f>+'COMUNAS - HOME DELIVERY 2026'!M106*1.1</f>
        <v>507.4344000000001</v>
      </c>
      <c r="N106" s="67">
        <f>+'COMUNAS - HOME DELIVERY 2026'!N106*1.1</f>
        <v>426.8352000000001</v>
      </c>
      <c r="O106" s="60"/>
      <c r="P106" s="2"/>
      <c r="Q106" s="2"/>
      <c r="R106" s="2"/>
      <c r="S106" s="2"/>
      <c r="T106" s="2"/>
      <c r="U106" s="2"/>
      <c r="V106" s="2"/>
      <c r="W106" s="2"/>
      <c r="X106" s="2"/>
      <c r="Y106" s="38"/>
    </row>
    <row r="107" spans="2:25" ht="15.75" customHeight="1" x14ac:dyDescent="0.3">
      <c r="B107" s="2"/>
      <c r="C107" s="61" t="s">
        <v>224</v>
      </c>
      <c r="D107" s="62" t="s">
        <v>273</v>
      </c>
      <c r="E107" s="63" t="s">
        <v>274</v>
      </c>
      <c r="F107" s="64">
        <f>+'COMUNAS - HOME DELIVERY 2026'!F107*1.1</f>
        <v>4169.5896000000002</v>
      </c>
      <c r="G107" s="65">
        <f>+'COMUNAS - HOME DELIVERY 2026'!G107*1.1</f>
        <v>4411.387200000001</v>
      </c>
      <c r="H107" s="65">
        <f>+'COMUNAS - HOME DELIVERY 2026'!H107*1.1</f>
        <v>5103.8592000000008</v>
      </c>
      <c r="I107" s="65">
        <f>+'COMUNAS - HOME DELIVERY 2026'!I107*1.1</f>
        <v>5937.0960000000014</v>
      </c>
      <c r="J107" s="65">
        <f>+'COMUNAS - HOME DELIVERY 2026'!J107*1.1</f>
        <v>7339.0680000000011</v>
      </c>
      <c r="K107" s="65">
        <f>+'COMUNAS - HOME DELIVERY 2026'!K107*1.1</f>
        <v>8819.3688000000002</v>
      </c>
      <c r="L107" s="65">
        <f>+'COMUNAS - HOME DELIVERY 2026'!L107*1.1</f>
        <v>9911.4312000000009</v>
      </c>
      <c r="M107" s="66">
        <f>+'COMUNAS - HOME DELIVERY 2026'!M107*1.1</f>
        <v>505.16400000000004</v>
      </c>
      <c r="N107" s="67">
        <f>+'COMUNAS - HOME DELIVERY 2026'!N107*1.1</f>
        <v>424.56480000000005</v>
      </c>
      <c r="O107" s="60"/>
      <c r="P107" s="2"/>
      <c r="Q107" s="2"/>
      <c r="R107" s="2"/>
      <c r="S107" s="2"/>
      <c r="T107" s="2"/>
      <c r="U107" s="2"/>
      <c r="V107" s="2"/>
      <c r="W107" s="2"/>
      <c r="X107" s="2"/>
      <c r="Y107" s="38"/>
    </row>
    <row r="108" spans="2:25" ht="15.75" customHeight="1" x14ac:dyDescent="0.3">
      <c r="B108" s="2"/>
      <c r="C108" s="61" t="s">
        <v>224</v>
      </c>
      <c r="D108" s="62" t="s">
        <v>275</v>
      </c>
      <c r="E108" s="63" t="s">
        <v>276</v>
      </c>
      <c r="F108" s="64">
        <f>+'COMUNAS - HOME DELIVERY 2026'!F108*1.1</f>
        <v>4211.5920000000006</v>
      </c>
      <c r="G108" s="65">
        <f>+'COMUNAS - HOME DELIVERY 2026'!G108*1.1</f>
        <v>4455.66</v>
      </c>
      <c r="H108" s="65">
        <f>+'COMUNAS - HOME DELIVERY 2026'!H108*1.1</f>
        <v>5156.0784000000003</v>
      </c>
      <c r="I108" s="65">
        <f>+'COMUNAS - HOME DELIVERY 2026'!I108*1.1</f>
        <v>5996.126400000001</v>
      </c>
      <c r="J108" s="65">
        <f>+'COMUNAS - HOME DELIVERY 2026'!J108*1.1</f>
        <v>7411.7208000000001</v>
      </c>
      <c r="K108" s="65">
        <f>+'COMUNAS - HOME DELIVERY 2026'!K108*1.1</f>
        <v>8907.9144000000015</v>
      </c>
      <c r="L108" s="65">
        <f>+'COMUNAS - HOME DELIVERY 2026'!L108*1.1</f>
        <v>10005.652800000002</v>
      </c>
      <c r="M108" s="66">
        <f>+'COMUNAS - HOME DELIVERY 2026'!M108*1.1</f>
        <v>507.4344000000001</v>
      </c>
      <c r="N108" s="67">
        <f>+'COMUNAS - HOME DELIVERY 2026'!N108*1.1</f>
        <v>426.8352000000001</v>
      </c>
      <c r="O108" s="60"/>
      <c r="P108" s="2"/>
      <c r="Q108" s="2"/>
      <c r="R108" s="2"/>
      <c r="S108" s="2"/>
      <c r="T108" s="2"/>
      <c r="U108" s="2"/>
      <c r="V108" s="2"/>
      <c r="W108" s="2"/>
      <c r="X108" s="2"/>
      <c r="Y108" s="38"/>
    </row>
    <row r="109" spans="2:25" ht="15.75" customHeight="1" x14ac:dyDescent="0.3">
      <c r="B109" s="2"/>
      <c r="C109" s="61" t="s">
        <v>224</v>
      </c>
      <c r="D109" s="62" t="s">
        <v>277</v>
      </c>
      <c r="E109" s="63" t="s">
        <v>278</v>
      </c>
      <c r="F109" s="64">
        <f>+'COMUNAS - HOME DELIVERY 2026'!F109*1.1</f>
        <v>4074.2328000000002</v>
      </c>
      <c r="G109" s="65">
        <f>+'COMUNAS - HOME DELIVERY 2026'!G109*1.1</f>
        <v>4358.0328</v>
      </c>
      <c r="H109" s="65">
        <f>+'COMUNAS - HOME DELIVERY 2026'!H109*1.1</f>
        <v>4946.0664000000006</v>
      </c>
      <c r="I109" s="65">
        <f>+'COMUNAS - HOME DELIVERY 2026'!I109*1.1</f>
        <v>5857.6320000000005</v>
      </c>
      <c r="J109" s="65">
        <f>+'COMUNAS - HOME DELIVERY 2026'!J109*1.1</f>
        <v>7277.7672000000002</v>
      </c>
      <c r="K109" s="65">
        <f>+'COMUNAS - HOME DELIVERY 2026'!K109*1.1</f>
        <v>8224.5240000000013</v>
      </c>
      <c r="L109" s="65">
        <f>+'COMUNAS - HOME DELIVERY 2026'!L109*1.1</f>
        <v>9230.3112000000019</v>
      </c>
      <c r="M109" s="66">
        <f>+'COMUNAS - HOME DELIVERY 2026'!M109*1.1</f>
        <v>465.43200000000002</v>
      </c>
      <c r="N109" s="67">
        <f>+'COMUNAS - HOME DELIVERY 2026'!N109*1.1</f>
        <v>385.96800000000002</v>
      </c>
      <c r="O109" s="60"/>
      <c r="P109" s="2"/>
      <c r="Q109" s="2"/>
      <c r="R109" s="2"/>
      <c r="S109" s="2"/>
      <c r="T109" s="2"/>
      <c r="U109" s="2"/>
      <c r="V109" s="2"/>
      <c r="W109" s="2"/>
      <c r="X109" s="2"/>
      <c r="Y109" s="38"/>
    </row>
    <row r="110" spans="2:25" ht="15.75" customHeight="1" x14ac:dyDescent="0.3">
      <c r="B110" s="2"/>
      <c r="C110" s="61" t="s">
        <v>224</v>
      </c>
      <c r="D110" s="62" t="s">
        <v>279</v>
      </c>
      <c r="E110" s="63" t="s">
        <v>280</v>
      </c>
      <c r="F110" s="64">
        <f>+'COMUNAS - HOME DELIVERY 2026'!F110*1.1</f>
        <v>4074.2328000000002</v>
      </c>
      <c r="G110" s="65">
        <f>+'COMUNAS - HOME DELIVERY 2026'!G110*1.1</f>
        <v>4358.0328</v>
      </c>
      <c r="H110" s="65">
        <f>+'COMUNAS - HOME DELIVERY 2026'!H110*1.1</f>
        <v>4946.0664000000006</v>
      </c>
      <c r="I110" s="65">
        <f>+'COMUNAS - HOME DELIVERY 2026'!I110*1.1</f>
        <v>5857.6320000000005</v>
      </c>
      <c r="J110" s="65">
        <f>+'COMUNAS - HOME DELIVERY 2026'!J110*1.1</f>
        <v>7277.7672000000002</v>
      </c>
      <c r="K110" s="65">
        <f>+'COMUNAS - HOME DELIVERY 2026'!K110*1.1</f>
        <v>8224.5240000000013</v>
      </c>
      <c r="L110" s="65">
        <f>+'COMUNAS - HOME DELIVERY 2026'!L110*1.1</f>
        <v>9230.3112000000019</v>
      </c>
      <c r="M110" s="66">
        <f>+'COMUNAS - HOME DELIVERY 2026'!M110*1.1</f>
        <v>465.43200000000002</v>
      </c>
      <c r="N110" s="67">
        <f>+'COMUNAS - HOME DELIVERY 2026'!N110*1.1</f>
        <v>385.96800000000002</v>
      </c>
      <c r="O110" s="60"/>
      <c r="P110" s="2"/>
      <c r="Q110" s="2"/>
      <c r="R110" s="2"/>
      <c r="S110" s="2"/>
      <c r="T110" s="2"/>
      <c r="U110" s="2"/>
      <c r="V110" s="2"/>
      <c r="W110" s="2"/>
      <c r="X110" s="2"/>
      <c r="Y110" s="38"/>
    </row>
    <row r="111" spans="2:25" ht="15.75" customHeight="1" x14ac:dyDescent="0.3">
      <c r="B111" s="2"/>
      <c r="C111" s="61" t="s">
        <v>224</v>
      </c>
      <c r="D111" s="62" t="s">
        <v>281</v>
      </c>
      <c r="E111" s="63" t="s">
        <v>282</v>
      </c>
      <c r="F111" s="64">
        <f>+'COMUNAS - HOME DELIVERY 2026'!F111*1.1</f>
        <v>4169.5896000000002</v>
      </c>
      <c r="G111" s="65">
        <f>+'COMUNAS - HOME DELIVERY 2026'!G111*1.1</f>
        <v>4411.387200000001</v>
      </c>
      <c r="H111" s="65">
        <f>+'COMUNAS - HOME DELIVERY 2026'!H111*1.1</f>
        <v>5103.8592000000008</v>
      </c>
      <c r="I111" s="65">
        <f>+'COMUNAS - HOME DELIVERY 2026'!I111*1.1</f>
        <v>5937.0960000000014</v>
      </c>
      <c r="J111" s="65">
        <f>+'COMUNAS - HOME DELIVERY 2026'!J111*1.1</f>
        <v>7339.0680000000011</v>
      </c>
      <c r="K111" s="65">
        <f>+'COMUNAS - HOME DELIVERY 2026'!K111*1.1</f>
        <v>8819.3688000000002</v>
      </c>
      <c r="L111" s="65">
        <f>+'COMUNAS - HOME DELIVERY 2026'!L111*1.1</f>
        <v>9911.4312000000009</v>
      </c>
      <c r="M111" s="66">
        <f>+'COMUNAS - HOME DELIVERY 2026'!M111*1.1</f>
        <v>505.16400000000004</v>
      </c>
      <c r="N111" s="67">
        <f>+'COMUNAS - HOME DELIVERY 2026'!N111*1.1</f>
        <v>424.56480000000005</v>
      </c>
      <c r="O111" s="60"/>
      <c r="P111" s="2"/>
      <c r="Q111" s="2"/>
      <c r="R111" s="2"/>
      <c r="S111" s="2"/>
      <c r="T111" s="2"/>
      <c r="U111" s="2"/>
      <c r="V111" s="2"/>
      <c r="W111" s="2"/>
      <c r="X111" s="2"/>
      <c r="Y111" s="38"/>
    </row>
    <row r="112" spans="2:25" ht="15.75" customHeight="1" x14ac:dyDescent="0.3">
      <c r="B112" s="2"/>
      <c r="C112" s="61" t="s">
        <v>224</v>
      </c>
      <c r="D112" s="62" t="s">
        <v>283</v>
      </c>
      <c r="E112" s="63" t="s">
        <v>284</v>
      </c>
      <c r="F112" s="64">
        <f>+'COMUNAS - HOME DELIVERY 2026'!F112*1.1</f>
        <v>4074.2328000000002</v>
      </c>
      <c r="G112" s="65">
        <f>+'COMUNAS - HOME DELIVERY 2026'!G112*1.1</f>
        <v>4358.0328</v>
      </c>
      <c r="H112" s="65">
        <f>+'COMUNAS - HOME DELIVERY 2026'!H112*1.1</f>
        <v>4946.0664000000006</v>
      </c>
      <c r="I112" s="65">
        <f>+'COMUNAS - HOME DELIVERY 2026'!I112*1.1</f>
        <v>5857.6320000000005</v>
      </c>
      <c r="J112" s="65">
        <f>+'COMUNAS - HOME DELIVERY 2026'!J112*1.1</f>
        <v>7277.7672000000002</v>
      </c>
      <c r="K112" s="65">
        <f>+'COMUNAS - HOME DELIVERY 2026'!K112*1.1</f>
        <v>8224.5240000000013</v>
      </c>
      <c r="L112" s="65">
        <f>+'COMUNAS - HOME DELIVERY 2026'!L112*1.1</f>
        <v>9230.3112000000019</v>
      </c>
      <c r="M112" s="66">
        <f>+'COMUNAS - HOME DELIVERY 2026'!M112*1.1</f>
        <v>465.43200000000002</v>
      </c>
      <c r="N112" s="67">
        <f>+'COMUNAS - HOME DELIVERY 2026'!N112*1.1</f>
        <v>385.96800000000002</v>
      </c>
      <c r="O112" s="60"/>
      <c r="P112" s="2"/>
      <c r="Q112" s="2"/>
      <c r="R112" s="2"/>
      <c r="S112" s="2"/>
      <c r="T112" s="2"/>
      <c r="U112" s="2"/>
      <c r="V112" s="2"/>
      <c r="W112" s="2"/>
      <c r="X112" s="2"/>
      <c r="Y112" s="38"/>
    </row>
    <row r="113" spans="2:25" ht="15.75" customHeight="1" x14ac:dyDescent="0.3">
      <c r="B113" s="2"/>
      <c r="C113" s="61" t="s">
        <v>224</v>
      </c>
      <c r="D113" s="62" t="s">
        <v>285</v>
      </c>
      <c r="E113" s="63" t="s">
        <v>286</v>
      </c>
      <c r="F113" s="64">
        <f>+'COMUNAS - HOME DELIVERY 2026'!F113*1.1</f>
        <v>4074.2328000000002</v>
      </c>
      <c r="G113" s="65">
        <f>+'COMUNAS - HOME DELIVERY 2026'!G113*1.1</f>
        <v>4358.0328</v>
      </c>
      <c r="H113" s="65">
        <f>+'COMUNAS - HOME DELIVERY 2026'!H113*1.1</f>
        <v>4946.0664000000006</v>
      </c>
      <c r="I113" s="65">
        <f>+'COMUNAS - HOME DELIVERY 2026'!I113*1.1</f>
        <v>5857.6320000000005</v>
      </c>
      <c r="J113" s="65">
        <f>+'COMUNAS - HOME DELIVERY 2026'!J113*1.1</f>
        <v>7277.7672000000002</v>
      </c>
      <c r="K113" s="65">
        <f>+'COMUNAS - HOME DELIVERY 2026'!K113*1.1</f>
        <v>8224.5240000000013</v>
      </c>
      <c r="L113" s="65">
        <f>+'COMUNAS - HOME DELIVERY 2026'!L113*1.1</f>
        <v>9230.3112000000019</v>
      </c>
      <c r="M113" s="66">
        <f>+'COMUNAS - HOME DELIVERY 2026'!M113*1.1</f>
        <v>465.43200000000002</v>
      </c>
      <c r="N113" s="67">
        <f>+'COMUNAS - HOME DELIVERY 2026'!N113*1.1</f>
        <v>385.96800000000002</v>
      </c>
      <c r="O113" s="60"/>
      <c r="P113" s="2"/>
      <c r="Q113" s="2"/>
      <c r="R113" s="2"/>
      <c r="S113" s="2"/>
      <c r="T113" s="2"/>
      <c r="U113" s="2"/>
      <c r="V113" s="2"/>
      <c r="W113" s="2"/>
      <c r="X113" s="2"/>
      <c r="Y113" s="38"/>
    </row>
    <row r="114" spans="2:25" ht="15.75" customHeight="1" x14ac:dyDescent="0.3">
      <c r="B114" s="2"/>
      <c r="C114" s="61" t="s">
        <v>224</v>
      </c>
      <c r="D114" s="62" t="s">
        <v>287</v>
      </c>
      <c r="E114" s="63" t="s">
        <v>288</v>
      </c>
      <c r="F114" s="64">
        <f>+'COMUNAS - HOME DELIVERY 2026'!F114*1.1</f>
        <v>4169.5896000000002</v>
      </c>
      <c r="G114" s="65">
        <f>+'COMUNAS - HOME DELIVERY 2026'!G114*1.1</f>
        <v>4411.387200000001</v>
      </c>
      <c r="H114" s="65">
        <f>+'COMUNAS - HOME DELIVERY 2026'!H114*1.1</f>
        <v>5103.8592000000008</v>
      </c>
      <c r="I114" s="65">
        <f>+'COMUNAS - HOME DELIVERY 2026'!I114*1.1</f>
        <v>5937.0960000000014</v>
      </c>
      <c r="J114" s="65">
        <f>+'COMUNAS - HOME DELIVERY 2026'!J114*1.1</f>
        <v>7339.0680000000011</v>
      </c>
      <c r="K114" s="65">
        <f>+'COMUNAS - HOME DELIVERY 2026'!K114*1.1</f>
        <v>8819.3688000000002</v>
      </c>
      <c r="L114" s="65">
        <f>+'COMUNAS - HOME DELIVERY 2026'!L114*1.1</f>
        <v>9911.4312000000009</v>
      </c>
      <c r="M114" s="66">
        <f>+'COMUNAS - HOME DELIVERY 2026'!M114*1.1</f>
        <v>505.16400000000004</v>
      </c>
      <c r="N114" s="67">
        <f>+'COMUNAS - HOME DELIVERY 2026'!N114*1.1</f>
        <v>424.56480000000005</v>
      </c>
      <c r="O114" s="60"/>
      <c r="P114" s="2"/>
      <c r="Q114" s="2"/>
      <c r="R114" s="2"/>
      <c r="S114" s="2"/>
      <c r="T114" s="2"/>
      <c r="U114" s="2"/>
      <c r="V114" s="2"/>
      <c r="W114" s="2"/>
      <c r="X114" s="2"/>
      <c r="Y114" s="38"/>
    </row>
    <row r="115" spans="2:25" ht="15.75" customHeight="1" x14ac:dyDescent="0.3">
      <c r="B115" s="2"/>
      <c r="C115" s="61" t="s">
        <v>224</v>
      </c>
      <c r="D115" s="62" t="s">
        <v>289</v>
      </c>
      <c r="E115" s="63" t="s">
        <v>290</v>
      </c>
      <c r="F115" s="64">
        <f>+'COMUNAS - HOME DELIVERY 2026'!F115*1.1</f>
        <v>4169.5896000000002</v>
      </c>
      <c r="G115" s="65">
        <f>+'COMUNAS - HOME DELIVERY 2026'!G115*1.1</f>
        <v>4411.387200000001</v>
      </c>
      <c r="H115" s="65">
        <f>+'COMUNAS - HOME DELIVERY 2026'!H115*1.1</f>
        <v>5103.8592000000008</v>
      </c>
      <c r="I115" s="65">
        <f>+'COMUNAS - HOME DELIVERY 2026'!I115*1.1</f>
        <v>5937.0960000000014</v>
      </c>
      <c r="J115" s="65">
        <f>+'COMUNAS - HOME DELIVERY 2026'!J115*1.1</f>
        <v>7339.0680000000011</v>
      </c>
      <c r="K115" s="65">
        <f>+'COMUNAS - HOME DELIVERY 2026'!K115*1.1</f>
        <v>8819.3688000000002</v>
      </c>
      <c r="L115" s="65">
        <f>+'COMUNAS - HOME DELIVERY 2026'!L115*1.1</f>
        <v>9911.4312000000009</v>
      </c>
      <c r="M115" s="66">
        <f>+'COMUNAS - HOME DELIVERY 2026'!M115*1.1</f>
        <v>505.16400000000004</v>
      </c>
      <c r="N115" s="67">
        <f>+'COMUNAS - HOME DELIVERY 2026'!N115*1.1</f>
        <v>424.56480000000005</v>
      </c>
      <c r="O115" s="60"/>
      <c r="P115" s="2"/>
      <c r="Q115" s="2"/>
      <c r="R115" s="2"/>
      <c r="S115" s="2"/>
      <c r="T115" s="2"/>
      <c r="U115" s="2"/>
      <c r="V115" s="2"/>
      <c r="W115" s="2"/>
      <c r="X115" s="2"/>
      <c r="Y115" s="38"/>
    </row>
    <row r="116" spans="2:25" ht="15.75" customHeight="1" x14ac:dyDescent="0.3">
      <c r="B116" s="2"/>
      <c r="C116" s="61" t="s">
        <v>224</v>
      </c>
      <c r="D116" s="62" t="s">
        <v>291</v>
      </c>
      <c r="E116" s="63" t="s">
        <v>292</v>
      </c>
      <c r="F116" s="64">
        <f>+'COMUNAS - HOME DELIVERY 2026'!F116*1.1</f>
        <v>4169.5896000000002</v>
      </c>
      <c r="G116" s="65">
        <f>+'COMUNAS - HOME DELIVERY 2026'!G116*1.1</f>
        <v>4411.387200000001</v>
      </c>
      <c r="H116" s="65">
        <f>+'COMUNAS - HOME DELIVERY 2026'!H116*1.1</f>
        <v>5103.8592000000008</v>
      </c>
      <c r="I116" s="65">
        <f>+'COMUNAS - HOME DELIVERY 2026'!I116*1.1</f>
        <v>5937.0960000000014</v>
      </c>
      <c r="J116" s="65">
        <f>+'COMUNAS - HOME DELIVERY 2026'!J116*1.1</f>
        <v>7339.0680000000011</v>
      </c>
      <c r="K116" s="65">
        <f>+'COMUNAS - HOME DELIVERY 2026'!K116*1.1</f>
        <v>8819.3688000000002</v>
      </c>
      <c r="L116" s="65">
        <f>+'COMUNAS - HOME DELIVERY 2026'!L116*1.1</f>
        <v>9911.4312000000009</v>
      </c>
      <c r="M116" s="66">
        <f>+'COMUNAS - HOME DELIVERY 2026'!M116*1.1</f>
        <v>505.16400000000004</v>
      </c>
      <c r="N116" s="67">
        <f>+'COMUNAS - HOME DELIVERY 2026'!N116*1.1</f>
        <v>424.56480000000005</v>
      </c>
      <c r="O116" s="60"/>
      <c r="P116" s="2"/>
      <c r="Q116" s="2"/>
      <c r="R116" s="2"/>
      <c r="S116" s="2"/>
      <c r="T116" s="2"/>
      <c r="U116" s="2"/>
      <c r="V116" s="2"/>
      <c r="W116" s="2"/>
      <c r="X116" s="2"/>
      <c r="Y116" s="38"/>
    </row>
    <row r="117" spans="2:25" ht="15.75" customHeight="1" x14ac:dyDescent="0.3">
      <c r="B117" s="2"/>
      <c r="C117" s="61" t="s">
        <v>224</v>
      </c>
      <c r="D117" s="62" t="s">
        <v>293</v>
      </c>
      <c r="E117" s="63" t="s">
        <v>294</v>
      </c>
      <c r="F117" s="64">
        <f>+'COMUNAS - HOME DELIVERY 2026'!F117*1.1</f>
        <v>4074.2328000000002</v>
      </c>
      <c r="G117" s="65">
        <f>+'COMUNAS - HOME DELIVERY 2026'!G117*1.1</f>
        <v>4358.0328</v>
      </c>
      <c r="H117" s="65">
        <f>+'COMUNAS - HOME DELIVERY 2026'!H117*1.1</f>
        <v>4946.0664000000006</v>
      </c>
      <c r="I117" s="65">
        <f>+'COMUNAS - HOME DELIVERY 2026'!I117*1.1</f>
        <v>5857.6320000000005</v>
      </c>
      <c r="J117" s="65">
        <f>+'COMUNAS - HOME DELIVERY 2026'!J117*1.1</f>
        <v>7277.7672000000002</v>
      </c>
      <c r="K117" s="65">
        <f>+'COMUNAS - HOME DELIVERY 2026'!K117*1.1</f>
        <v>8224.5240000000013</v>
      </c>
      <c r="L117" s="65">
        <f>+'COMUNAS - HOME DELIVERY 2026'!L117*1.1</f>
        <v>9230.3112000000019</v>
      </c>
      <c r="M117" s="66">
        <f>+'COMUNAS - HOME DELIVERY 2026'!M117*1.1</f>
        <v>465.43200000000002</v>
      </c>
      <c r="N117" s="67">
        <f>+'COMUNAS - HOME DELIVERY 2026'!N117*1.1</f>
        <v>385.96800000000002</v>
      </c>
      <c r="O117" s="60"/>
      <c r="P117" s="2"/>
      <c r="Q117" s="2"/>
      <c r="R117" s="2"/>
      <c r="S117" s="2"/>
      <c r="T117" s="2"/>
      <c r="U117" s="2"/>
      <c r="V117" s="2"/>
      <c r="W117" s="2"/>
      <c r="X117" s="2"/>
      <c r="Y117" s="38"/>
    </row>
    <row r="118" spans="2:25" ht="15.75" customHeight="1" x14ac:dyDescent="0.3">
      <c r="B118" s="2"/>
      <c r="C118" s="61" t="s">
        <v>224</v>
      </c>
      <c r="D118" s="62" t="s">
        <v>295</v>
      </c>
      <c r="E118" s="63" t="s">
        <v>296</v>
      </c>
      <c r="F118" s="64">
        <f>+'COMUNAS - HOME DELIVERY 2026'!F118*1.1</f>
        <v>4074.2328000000002</v>
      </c>
      <c r="G118" s="65">
        <f>+'COMUNAS - HOME DELIVERY 2026'!G118*1.1</f>
        <v>4358.0328</v>
      </c>
      <c r="H118" s="65">
        <f>+'COMUNAS - HOME DELIVERY 2026'!H118*1.1</f>
        <v>4946.0664000000006</v>
      </c>
      <c r="I118" s="65">
        <f>+'COMUNAS - HOME DELIVERY 2026'!I118*1.1</f>
        <v>5857.6320000000005</v>
      </c>
      <c r="J118" s="65">
        <f>+'COMUNAS - HOME DELIVERY 2026'!J118*1.1</f>
        <v>7277.7672000000002</v>
      </c>
      <c r="K118" s="65">
        <f>+'COMUNAS - HOME DELIVERY 2026'!K118*1.1</f>
        <v>8224.5240000000013</v>
      </c>
      <c r="L118" s="65">
        <f>+'COMUNAS - HOME DELIVERY 2026'!L118*1.1</f>
        <v>9230.3112000000019</v>
      </c>
      <c r="M118" s="66">
        <f>+'COMUNAS - HOME DELIVERY 2026'!M118*1.1</f>
        <v>465.43200000000002</v>
      </c>
      <c r="N118" s="67">
        <f>+'COMUNAS - HOME DELIVERY 2026'!N118*1.1</f>
        <v>385.96800000000002</v>
      </c>
      <c r="O118" s="60"/>
      <c r="P118" s="2"/>
      <c r="Q118" s="2"/>
      <c r="R118" s="2"/>
      <c r="S118" s="2"/>
      <c r="T118" s="2"/>
      <c r="U118" s="2"/>
      <c r="V118" s="2"/>
      <c r="W118" s="2"/>
      <c r="X118" s="2"/>
      <c r="Y118" s="38"/>
    </row>
    <row r="119" spans="2:25" ht="15.75" customHeight="1" thickBot="1" x14ac:dyDescent="0.35">
      <c r="B119" s="2"/>
      <c r="C119" s="68" t="s">
        <v>224</v>
      </c>
      <c r="D119" s="69" t="s">
        <v>297</v>
      </c>
      <c r="E119" s="70" t="s">
        <v>298</v>
      </c>
      <c r="F119" s="71">
        <f>+'COMUNAS - HOME DELIVERY 2026'!F119*1.1</f>
        <v>4211.5920000000006</v>
      </c>
      <c r="G119" s="72">
        <f>+'COMUNAS - HOME DELIVERY 2026'!G119*1.1</f>
        <v>4455.66</v>
      </c>
      <c r="H119" s="72">
        <f>+'COMUNAS - HOME DELIVERY 2026'!H119*1.1</f>
        <v>5156.0784000000003</v>
      </c>
      <c r="I119" s="72">
        <f>+'COMUNAS - HOME DELIVERY 2026'!I119*1.1</f>
        <v>5996.126400000001</v>
      </c>
      <c r="J119" s="72">
        <f>+'COMUNAS - HOME DELIVERY 2026'!J119*1.1</f>
        <v>7411.7208000000001</v>
      </c>
      <c r="K119" s="72">
        <f>+'COMUNAS - HOME DELIVERY 2026'!K119*1.1</f>
        <v>8907.9144000000015</v>
      </c>
      <c r="L119" s="72">
        <f>+'COMUNAS - HOME DELIVERY 2026'!L119*1.1</f>
        <v>10005.652800000002</v>
      </c>
      <c r="M119" s="73">
        <f>+'COMUNAS - HOME DELIVERY 2026'!M119*1.1</f>
        <v>507.4344000000001</v>
      </c>
      <c r="N119" s="74">
        <f>+'COMUNAS - HOME DELIVERY 2026'!N119*1.1</f>
        <v>426.8352000000001</v>
      </c>
      <c r="O119" s="60"/>
      <c r="P119" s="2"/>
      <c r="Q119" s="2"/>
      <c r="R119" s="2"/>
      <c r="S119" s="2"/>
      <c r="T119" s="2"/>
      <c r="U119" s="2"/>
      <c r="V119" s="2"/>
      <c r="W119" s="2"/>
      <c r="X119" s="2"/>
      <c r="Y119" s="38"/>
    </row>
    <row r="120" spans="2:25" ht="15.75" customHeight="1" x14ac:dyDescent="0.3">
      <c r="B120" s="2"/>
      <c r="C120" s="53" t="s">
        <v>299</v>
      </c>
      <c r="D120" s="54" t="s">
        <v>300</v>
      </c>
      <c r="E120" s="55" t="s">
        <v>36</v>
      </c>
      <c r="F120" s="56">
        <f>+'COMUNAS - HOME DELIVERY 2026'!F120*1.1</f>
        <v>4169.5896000000002</v>
      </c>
      <c r="G120" s="57">
        <f>+'COMUNAS - HOME DELIVERY 2026'!G120*1.1</f>
        <v>4411.387200000001</v>
      </c>
      <c r="H120" s="57">
        <f>+'COMUNAS - HOME DELIVERY 2026'!H120*1.1</f>
        <v>5103.8592000000008</v>
      </c>
      <c r="I120" s="57">
        <f>+'COMUNAS - HOME DELIVERY 2026'!I120*1.1</f>
        <v>5937.0960000000014</v>
      </c>
      <c r="J120" s="57">
        <f>+'COMUNAS - HOME DELIVERY 2026'!J120*1.1</f>
        <v>7339.0680000000011</v>
      </c>
      <c r="K120" s="57">
        <f>+'COMUNAS - HOME DELIVERY 2026'!K120*1.1</f>
        <v>8819.3688000000002</v>
      </c>
      <c r="L120" s="57">
        <f>+'COMUNAS - HOME DELIVERY 2026'!L120*1.1</f>
        <v>9911.4312000000009</v>
      </c>
      <c r="M120" s="58">
        <f>+'COMUNAS - HOME DELIVERY 2026'!M120*1.1</f>
        <v>505.16400000000004</v>
      </c>
      <c r="N120" s="59">
        <f>+'COMUNAS - HOME DELIVERY 2026'!N120*1.1</f>
        <v>424.56480000000005</v>
      </c>
      <c r="O120" s="60"/>
      <c r="P120" s="2"/>
      <c r="Q120" s="2"/>
      <c r="R120" s="2"/>
      <c r="S120" s="2"/>
      <c r="T120" s="2"/>
      <c r="U120" s="2"/>
      <c r="V120" s="2"/>
      <c r="W120" s="2"/>
      <c r="X120" s="2"/>
      <c r="Y120" s="38"/>
    </row>
    <row r="121" spans="2:25" ht="15.75" customHeight="1" x14ac:dyDescent="0.3">
      <c r="B121" s="2"/>
      <c r="C121" s="61" t="s">
        <v>299</v>
      </c>
      <c r="D121" s="62" t="s">
        <v>301</v>
      </c>
      <c r="E121" s="63" t="s">
        <v>302</v>
      </c>
      <c r="F121" s="64">
        <f>+'COMUNAS - HOME DELIVERY 2026'!F121*1.1</f>
        <v>4338.7344000000003</v>
      </c>
      <c r="G121" s="65">
        <f>+'COMUNAS - HOME DELIVERY 2026'!G121*1.1</f>
        <v>4641.8328000000001</v>
      </c>
      <c r="H121" s="65">
        <f>+'COMUNAS - HOME DELIVERY 2026'!H121*1.1</f>
        <v>5329.7640000000001</v>
      </c>
      <c r="I121" s="65">
        <f>+'COMUNAS - HOME DELIVERY 2026'!I121*1.1</f>
        <v>6120.9984000000004</v>
      </c>
      <c r="J121" s="65">
        <f>+'COMUNAS - HOME DELIVERY 2026'!J121*1.1</f>
        <v>7669.4112000000005</v>
      </c>
      <c r="K121" s="65">
        <f>+'COMUNAS - HOME DELIVERY 2026'!K121*1.1</f>
        <v>9295.017600000001</v>
      </c>
      <c r="L121" s="65">
        <f>+'COMUNAS - HOME DELIVERY 2026'!L121*1.1</f>
        <v>10409.784000000001</v>
      </c>
      <c r="M121" s="66">
        <f>+'COMUNAS - HOME DELIVERY 2026'!M121*1.1</f>
        <v>515.38080000000002</v>
      </c>
      <c r="N121" s="67">
        <f>+'COMUNAS - HOME DELIVERY 2026'!N121*1.1</f>
        <v>438.18720000000008</v>
      </c>
      <c r="O121" s="60"/>
      <c r="P121" s="2"/>
      <c r="Q121" s="2"/>
      <c r="R121" s="2"/>
      <c r="S121" s="2"/>
      <c r="T121" s="2"/>
      <c r="U121" s="2"/>
      <c r="V121" s="2"/>
      <c r="W121" s="2"/>
      <c r="X121" s="2"/>
      <c r="Y121" s="38"/>
    </row>
    <row r="122" spans="2:25" ht="15.75" customHeight="1" x14ac:dyDescent="0.3">
      <c r="B122" s="2"/>
      <c r="C122" s="61" t="s">
        <v>299</v>
      </c>
      <c r="D122" s="62" t="s">
        <v>303</v>
      </c>
      <c r="E122" s="63" t="s">
        <v>304</v>
      </c>
      <c r="F122" s="64">
        <f>+'COMUNAS - HOME DELIVERY 2026'!F122*1.1</f>
        <v>6254.3844000000008</v>
      </c>
      <c r="G122" s="65">
        <f>+'COMUNAS - HOME DELIVERY 2026'!G122*1.1</f>
        <v>6617.0808000000006</v>
      </c>
      <c r="H122" s="65">
        <f>+'COMUNAS - HOME DELIVERY 2026'!H122*1.1</f>
        <v>7655.7888000000003</v>
      </c>
      <c r="I122" s="65">
        <f>+'COMUNAS - HOME DELIVERY 2026'!I122*1.1</f>
        <v>8905.6440000000002</v>
      </c>
      <c r="J122" s="65">
        <f>+'COMUNAS - HOME DELIVERY 2026'!J122*1.1</f>
        <v>11008.602000000001</v>
      </c>
      <c r="K122" s="65">
        <f>+'COMUNAS - HOME DELIVERY 2026'!K122*1.1</f>
        <v>13229.053200000002</v>
      </c>
      <c r="L122" s="65">
        <f>+'COMUNAS - HOME DELIVERY 2026'!L122*1.1</f>
        <v>14867.1468</v>
      </c>
      <c r="M122" s="66">
        <f>+'COMUNAS - HOME DELIVERY 2026'!M122*1.1</f>
        <v>757.74600000000009</v>
      </c>
      <c r="N122" s="67">
        <f>+'COMUNAS - HOME DELIVERY 2026'!N122*1.1</f>
        <v>636.84720000000004</v>
      </c>
      <c r="O122" s="60"/>
      <c r="P122" s="2"/>
      <c r="Q122" s="2"/>
      <c r="R122" s="2"/>
      <c r="S122" s="2"/>
      <c r="T122" s="2"/>
      <c r="U122" s="2"/>
      <c r="V122" s="2"/>
      <c r="W122" s="2"/>
      <c r="X122" s="2"/>
      <c r="Y122" s="38"/>
    </row>
    <row r="123" spans="2:25" ht="15.75" customHeight="1" x14ac:dyDescent="0.3">
      <c r="B123" s="2"/>
      <c r="C123" s="61" t="s">
        <v>299</v>
      </c>
      <c r="D123" s="62" t="s">
        <v>305</v>
      </c>
      <c r="E123" s="63" t="s">
        <v>306</v>
      </c>
      <c r="F123" s="64">
        <f>+'COMUNAS - HOME DELIVERY 2026'!F123*1.1</f>
        <v>4169.5896000000002</v>
      </c>
      <c r="G123" s="65">
        <f>+'COMUNAS - HOME DELIVERY 2026'!G123*1.1</f>
        <v>4411.387200000001</v>
      </c>
      <c r="H123" s="65">
        <f>+'COMUNAS - HOME DELIVERY 2026'!H123*1.1</f>
        <v>5103.8592000000008</v>
      </c>
      <c r="I123" s="65">
        <f>+'COMUNAS - HOME DELIVERY 2026'!I123*1.1</f>
        <v>5937.0960000000014</v>
      </c>
      <c r="J123" s="65">
        <f>+'COMUNAS - HOME DELIVERY 2026'!J123*1.1</f>
        <v>7339.0680000000011</v>
      </c>
      <c r="K123" s="65">
        <f>+'COMUNAS - HOME DELIVERY 2026'!K123*1.1</f>
        <v>8819.3688000000002</v>
      </c>
      <c r="L123" s="65">
        <f>+'COMUNAS - HOME DELIVERY 2026'!L123*1.1</f>
        <v>9911.4312000000009</v>
      </c>
      <c r="M123" s="66">
        <f>+'COMUNAS - HOME DELIVERY 2026'!M123*1.1</f>
        <v>505.16400000000004</v>
      </c>
      <c r="N123" s="67">
        <f>+'COMUNAS - HOME DELIVERY 2026'!N123*1.1</f>
        <v>424.56480000000005</v>
      </c>
      <c r="O123" s="60"/>
      <c r="P123" s="2"/>
      <c r="Q123" s="2"/>
      <c r="R123" s="2"/>
      <c r="S123" s="2"/>
      <c r="T123" s="2"/>
      <c r="U123" s="2"/>
      <c r="V123" s="2"/>
      <c r="W123" s="2"/>
      <c r="X123" s="2"/>
      <c r="Y123" s="38"/>
    </row>
    <row r="124" spans="2:25" ht="15.75" customHeight="1" x14ac:dyDescent="0.3">
      <c r="B124" s="2"/>
      <c r="C124" s="61" t="s">
        <v>299</v>
      </c>
      <c r="D124" s="62" t="s">
        <v>307</v>
      </c>
      <c r="E124" s="63" t="s">
        <v>308</v>
      </c>
      <c r="F124" s="64">
        <f>+'COMUNAS - HOME DELIVERY 2026'!F124*1.1</f>
        <v>4169.5896000000002</v>
      </c>
      <c r="G124" s="65">
        <f>+'COMUNAS - HOME DELIVERY 2026'!G124*1.1</f>
        <v>4411.387200000001</v>
      </c>
      <c r="H124" s="65">
        <f>+'COMUNAS - HOME DELIVERY 2026'!H124*1.1</f>
        <v>5103.8592000000008</v>
      </c>
      <c r="I124" s="65">
        <f>+'COMUNAS - HOME DELIVERY 2026'!I124*1.1</f>
        <v>5937.0960000000014</v>
      </c>
      <c r="J124" s="65">
        <f>+'COMUNAS - HOME DELIVERY 2026'!J124*1.1</f>
        <v>7339.0680000000011</v>
      </c>
      <c r="K124" s="65">
        <f>+'COMUNAS - HOME DELIVERY 2026'!K124*1.1</f>
        <v>8819.3688000000002</v>
      </c>
      <c r="L124" s="65">
        <f>+'COMUNAS - HOME DELIVERY 2026'!L124*1.1</f>
        <v>9911.4312000000009</v>
      </c>
      <c r="M124" s="66">
        <f>+'COMUNAS - HOME DELIVERY 2026'!M124*1.1</f>
        <v>505.16400000000004</v>
      </c>
      <c r="N124" s="67">
        <f>+'COMUNAS - HOME DELIVERY 2026'!N124*1.1</f>
        <v>424.56480000000005</v>
      </c>
      <c r="O124" s="60"/>
      <c r="P124" s="2"/>
      <c r="Q124" s="2"/>
      <c r="R124" s="2"/>
      <c r="S124" s="2"/>
      <c r="T124" s="2"/>
      <c r="U124" s="2"/>
      <c r="V124" s="2"/>
      <c r="W124" s="2"/>
      <c r="X124" s="2"/>
      <c r="Y124" s="38"/>
    </row>
    <row r="125" spans="2:25" ht="15.75" customHeight="1" x14ac:dyDescent="0.3">
      <c r="B125" s="2"/>
      <c r="C125" s="61" t="s">
        <v>299</v>
      </c>
      <c r="D125" s="62" t="s">
        <v>309</v>
      </c>
      <c r="E125" s="63" t="s">
        <v>310</v>
      </c>
      <c r="F125" s="64">
        <f>+'COMUNAS - HOME DELIVERY 2026'!F125*1.1</f>
        <v>4169.5896000000002</v>
      </c>
      <c r="G125" s="65">
        <f>+'COMUNAS - HOME DELIVERY 2026'!G125*1.1</f>
        <v>4411.387200000001</v>
      </c>
      <c r="H125" s="65">
        <f>+'COMUNAS - HOME DELIVERY 2026'!H125*1.1</f>
        <v>5103.8592000000008</v>
      </c>
      <c r="I125" s="65">
        <f>+'COMUNAS - HOME DELIVERY 2026'!I125*1.1</f>
        <v>5937.0960000000014</v>
      </c>
      <c r="J125" s="65">
        <f>+'COMUNAS - HOME DELIVERY 2026'!J125*1.1</f>
        <v>7339.0680000000011</v>
      </c>
      <c r="K125" s="65">
        <f>+'COMUNAS - HOME DELIVERY 2026'!K125*1.1</f>
        <v>8819.3688000000002</v>
      </c>
      <c r="L125" s="65">
        <f>+'COMUNAS - HOME DELIVERY 2026'!L125*1.1</f>
        <v>9911.4312000000009</v>
      </c>
      <c r="M125" s="66">
        <f>+'COMUNAS - HOME DELIVERY 2026'!M125*1.1</f>
        <v>505.16400000000004</v>
      </c>
      <c r="N125" s="67">
        <f>+'COMUNAS - HOME DELIVERY 2026'!N125*1.1</f>
        <v>424.56480000000005</v>
      </c>
      <c r="O125" s="60"/>
      <c r="P125" s="2"/>
      <c r="Q125" s="2"/>
      <c r="R125" s="2"/>
      <c r="S125" s="2"/>
      <c r="T125" s="2"/>
      <c r="U125" s="2"/>
      <c r="V125" s="2"/>
      <c r="W125" s="2"/>
      <c r="X125" s="2"/>
      <c r="Y125" s="38"/>
    </row>
    <row r="126" spans="2:25" ht="15.75" customHeight="1" x14ac:dyDescent="0.3">
      <c r="B126" s="2"/>
      <c r="C126" s="61" t="s">
        <v>299</v>
      </c>
      <c r="D126" s="62" t="s">
        <v>311</v>
      </c>
      <c r="E126" s="63" t="s">
        <v>312</v>
      </c>
      <c r="F126" s="64">
        <f>+'COMUNAS - HOME DELIVERY 2026'!F126*1.1</f>
        <v>4169.5896000000002</v>
      </c>
      <c r="G126" s="65">
        <f>+'COMUNAS - HOME DELIVERY 2026'!G126*1.1</f>
        <v>4411.387200000001</v>
      </c>
      <c r="H126" s="65">
        <f>+'COMUNAS - HOME DELIVERY 2026'!H126*1.1</f>
        <v>5103.8592000000008</v>
      </c>
      <c r="I126" s="65">
        <f>+'COMUNAS - HOME DELIVERY 2026'!I126*1.1</f>
        <v>5937.0960000000014</v>
      </c>
      <c r="J126" s="65">
        <f>+'COMUNAS - HOME DELIVERY 2026'!J126*1.1</f>
        <v>7339.0680000000011</v>
      </c>
      <c r="K126" s="65">
        <f>+'COMUNAS - HOME DELIVERY 2026'!K126*1.1</f>
        <v>8819.3688000000002</v>
      </c>
      <c r="L126" s="65">
        <f>+'COMUNAS - HOME DELIVERY 2026'!L126*1.1</f>
        <v>9911.4312000000009</v>
      </c>
      <c r="M126" s="66">
        <f>+'COMUNAS - HOME DELIVERY 2026'!M126*1.1</f>
        <v>505.16400000000004</v>
      </c>
      <c r="N126" s="67">
        <f>+'COMUNAS - HOME DELIVERY 2026'!N126*1.1</f>
        <v>424.56480000000005</v>
      </c>
      <c r="O126" s="60"/>
      <c r="P126" s="2"/>
      <c r="Q126" s="2"/>
      <c r="R126" s="2"/>
      <c r="S126" s="2"/>
      <c r="T126" s="2"/>
      <c r="U126" s="2"/>
      <c r="V126" s="2"/>
      <c r="W126" s="2"/>
      <c r="X126" s="2"/>
      <c r="Y126" s="38"/>
    </row>
    <row r="127" spans="2:25" ht="15.75" customHeight="1" x14ac:dyDescent="0.3">
      <c r="B127" s="2"/>
      <c r="C127" s="61" t="s">
        <v>299</v>
      </c>
      <c r="D127" s="62" t="s">
        <v>313</v>
      </c>
      <c r="E127" s="63" t="s">
        <v>314</v>
      </c>
      <c r="F127" s="64">
        <f>+'COMUNAS - HOME DELIVERY 2026'!F127*1.1</f>
        <v>4169.5896000000002</v>
      </c>
      <c r="G127" s="65">
        <f>+'COMUNAS - HOME DELIVERY 2026'!G127*1.1</f>
        <v>4411.387200000001</v>
      </c>
      <c r="H127" s="65">
        <f>+'COMUNAS - HOME DELIVERY 2026'!H127*1.1</f>
        <v>5103.8592000000008</v>
      </c>
      <c r="I127" s="65">
        <f>+'COMUNAS - HOME DELIVERY 2026'!I127*1.1</f>
        <v>5937.0960000000014</v>
      </c>
      <c r="J127" s="65">
        <f>+'COMUNAS - HOME DELIVERY 2026'!J127*1.1</f>
        <v>7339.0680000000011</v>
      </c>
      <c r="K127" s="65">
        <f>+'COMUNAS - HOME DELIVERY 2026'!K127*1.1</f>
        <v>8819.3688000000002</v>
      </c>
      <c r="L127" s="65">
        <f>+'COMUNAS - HOME DELIVERY 2026'!L127*1.1</f>
        <v>9911.4312000000009</v>
      </c>
      <c r="M127" s="66">
        <f>+'COMUNAS - HOME DELIVERY 2026'!M127*1.1</f>
        <v>505.16400000000004</v>
      </c>
      <c r="N127" s="67">
        <f>+'COMUNAS - HOME DELIVERY 2026'!N127*1.1</f>
        <v>424.56480000000005</v>
      </c>
      <c r="O127" s="60"/>
      <c r="P127" s="2"/>
      <c r="Q127" s="2"/>
      <c r="R127" s="2"/>
      <c r="S127" s="2"/>
      <c r="T127" s="2"/>
      <c r="U127" s="2"/>
      <c r="V127" s="2"/>
      <c r="W127" s="2"/>
      <c r="X127" s="2"/>
      <c r="Y127" s="38"/>
    </row>
    <row r="128" spans="2:25" ht="15.75" customHeight="1" x14ac:dyDescent="0.3">
      <c r="B128" s="2"/>
      <c r="C128" s="61" t="s">
        <v>299</v>
      </c>
      <c r="D128" s="62" t="s">
        <v>315</v>
      </c>
      <c r="E128" s="63" t="s">
        <v>316</v>
      </c>
      <c r="F128" s="64">
        <f>+'COMUNAS - HOME DELIVERY 2026'!F128*1.1</f>
        <v>6111.3492000000006</v>
      </c>
      <c r="G128" s="65">
        <f>+'COMUNAS - HOME DELIVERY 2026'!G128*1.1</f>
        <v>6537.0492000000004</v>
      </c>
      <c r="H128" s="65">
        <f>+'COMUNAS - HOME DELIVERY 2026'!H128*1.1</f>
        <v>7419.0996000000014</v>
      </c>
      <c r="I128" s="65">
        <f>+'COMUNAS - HOME DELIVERY 2026'!I128*1.1</f>
        <v>8786.4480000000003</v>
      </c>
      <c r="J128" s="65">
        <f>+'COMUNAS - HOME DELIVERY 2026'!J128*1.1</f>
        <v>10916.650800000001</v>
      </c>
      <c r="K128" s="65">
        <f>+'COMUNAS - HOME DELIVERY 2026'!K128*1.1</f>
        <v>12336.786000000002</v>
      </c>
      <c r="L128" s="65">
        <f>+'COMUNAS - HOME DELIVERY 2026'!L128*1.1</f>
        <v>13845.466800000002</v>
      </c>
      <c r="M128" s="66">
        <f>+'COMUNAS - HOME DELIVERY 2026'!M128*1.1</f>
        <v>698.14800000000014</v>
      </c>
      <c r="N128" s="67">
        <f>+'COMUNAS - HOME DELIVERY 2026'!N128*1.1</f>
        <v>578.95200000000011</v>
      </c>
      <c r="O128" s="60"/>
      <c r="P128" s="2"/>
      <c r="Q128" s="2"/>
      <c r="R128" s="2"/>
      <c r="S128" s="2"/>
      <c r="T128" s="2"/>
      <c r="U128" s="2"/>
      <c r="V128" s="2"/>
      <c r="W128" s="2"/>
      <c r="X128" s="2"/>
      <c r="Y128" s="38"/>
    </row>
    <row r="129" spans="2:25" ht="15.75" customHeight="1" x14ac:dyDescent="0.3">
      <c r="B129" s="2"/>
      <c r="C129" s="61" t="s">
        <v>299</v>
      </c>
      <c r="D129" s="62" t="s">
        <v>317</v>
      </c>
      <c r="E129" s="63" t="s">
        <v>318</v>
      </c>
      <c r="F129" s="64">
        <f>+'COMUNAS - HOME DELIVERY 2026'!F129*1.1</f>
        <v>4169.5896000000002</v>
      </c>
      <c r="G129" s="65">
        <f>+'COMUNAS - HOME DELIVERY 2026'!G129*1.1</f>
        <v>4411.387200000001</v>
      </c>
      <c r="H129" s="65">
        <f>+'COMUNAS - HOME DELIVERY 2026'!H129*1.1</f>
        <v>5103.8592000000008</v>
      </c>
      <c r="I129" s="65">
        <f>+'COMUNAS - HOME DELIVERY 2026'!I129*1.1</f>
        <v>5937.0960000000014</v>
      </c>
      <c r="J129" s="65">
        <f>+'COMUNAS - HOME DELIVERY 2026'!J129*1.1</f>
        <v>7339.0680000000011</v>
      </c>
      <c r="K129" s="65">
        <f>+'COMUNAS - HOME DELIVERY 2026'!K129*1.1</f>
        <v>8819.3688000000002</v>
      </c>
      <c r="L129" s="65">
        <f>+'COMUNAS - HOME DELIVERY 2026'!L129*1.1</f>
        <v>9911.4312000000009</v>
      </c>
      <c r="M129" s="66">
        <f>+'COMUNAS - HOME DELIVERY 2026'!M129*1.1</f>
        <v>505.16400000000004</v>
      </c>
      <c r="N129" s="67">
        <f>+'COMUNAS - HOME DELIVERY 2026'!N129*1.1</f>
        <v>424.56480000000005</v>
      </c>
      <c r="O129" s="60"/>
      <c r="P129" s="2"/>
      <c r="Q129" s="2"/>
      <c r="R129" s="2"/>
      <c r="S129" s="2"/>
      <c r="T129" s="2"/>
      <c r="U129" s="2"/>
      <c r="V129" s="2"/>
      <c r="W129" s="2"/>
      <c r="X129" s="2"/>
      <c r="Y129" s="38"/>
    </row>
    <row r="130" spans="2:25" ht="15.75" customHeight="1" x14ac:dyDescent="0.3">
      <c r="B130" s="2"/>
      <c r="C130" s="61" t="s">
        <v>299</v>
      </c>
      <c r="D130" s="62" t="s">
        <v>319</v>
      </c>
      <c r="E130" s="63" t="s">
        <v>320</v>
      </c>
      <c r="F130" s="64">
        <f>+'COMUNAS - HOME DELIVERY 2026'!F130*1.1</f>
        <v>6111.3492000000006</v>
      </c>
      <c r="G130" s="65">
        <f>+'COMUNAS - HOME DELIVERY 2026'!G130*1.1</f>
        <v>6537.0492000000004</v>
      </c>
      <c r="H130" s="65">
        <f>+'COMUNAS - HOME DELIVERY 2026'!H130*1.1</f>
        <v>7419.0996000000014</v>
      </c>
      <c r="I130" s="65">
        <f>+'COMUNAS - HOME DELIVERY 2026'!I130*1.1</f>
        <v>8786.4480000000003</v>
      </c>
      <c r="J130" s="65">
        <f>+'COMUNAS - HOME DELIVERY 2026'!J130*1.1</f>
        <v>10916.650800000001</v>
      </c>
      <c r="K130" s="65">
        <f>+'COMUNAS - HOME DELIVERY 2026'!K130*1.1</f>
        <v>12336.786000000002</v>
      </c>
      <c r="L130" s="65">
        <f>+'COMUNAS - HOME DELIVERY 2026'!L130*1.1</f>
        <v>13845.466800000002</v>
      </c>
      <c r="M130" s="66">
        <f>+'COMUNAS - HOME DELIVERY 2026'!M130*1.1</f>
        <v>698.14800000000014</v>
      </c>
      <c r="N130" s="67">
        <f>+'COMUNAS - HOME DELIVERY 2026'!N130*1.1</f>
        <v>578.95200000000011</v>
      </c>
      <c r="O130" s="60"/>
      <c r="P130" s="2"/>
      <c r="Q130" s="2"/>
      <c r="R130" s="2"/>
      <c r="S130" s="2"/>
      <c r="T130" s="2"/>
      <c r="U130" s="2"/>
      <c r="V130" s="2"/>
      <c r="W130" s="2"/>
      <c r="X130" s="2"/>
      <c r="Y130" s="38"/>
    </row>
    <row r="131" spans="2:25" ht="15.75" customHeight="1" x14ac:dyDescent="0.3">
      <c r="B131" s="2"/>
      <c r="C131" s="61" t="s">
        <v>299</v>
      </c>
      <c r="D131" s="62" t="s">
        <v>321</v>
      </c>
      <c r="E131" s="63" t="s">
        <v>322</v>
      </c>
      <c r="F131" s="64">
        <f>+'COMUNAS - HOME DELIVERY 2026'!F131*1.1</f>
        <v>6254.3844000000008</v>
      </c>
      <c r="G131" s="65">
        <f>+'COMUNAS - HOME DELIVERY 2026'!G131*1.1</f>
        <v>6617.0808000000006</v>
      </c>
      <c r="H131" s="65">
        <f>+'COMUNAS - HOME DELIVERY 2026'!H131*1.1</f>
        <v>7655.7888000000003</v>
      </c>
      <c r="I131" s="65">
        <f>+'COMUNAS - HOME DELIVERY 2026'!I131*1.1</f>
        <v>8905.6440000000002</v>
      </c>
      <c r="J131" s="65">
        <f>+'COMUNAS - HOME DELIVERY 2026'!J131*1.1</f>
        <v>11008.602000000001</v>
      </c>
      <c r="K131" s="65">
        <f>+'COMUNAS - HOME DELIVERY 2026'!K131*1.1</f>
        <v>13229.053200000002</v>
      </c>
      <c r="L131" s="65">
        <f>+'COMUNAS - HOME DELIVERY 2026'!L131*1.1</f>
        <v>14867.1468</v>
      </c>
      <c r="M131" s="66">
        <f>+'COMUNAS - HOME DELIVERY 2026'!M131*1.1</f>
        <v>757.74600000000009</v>
      </c>
      <c r="N131" s="67">
        <f>+'COMUNAS - HOME DELIVERY 2026'!N131*1.1</f>
        <v>636.84720000000004</v>
      </c>
      <c r="O131" s="60"/>
      <c r="P131" s="2"/>
      <c r="Q131" s="2"/>
      <c r="R131" s="2"/>
      <c r="S131" s="2"/>
      <c r="T131" s="2"/>
      <c r="U131" s="2"/>
      <c r="V131" s="2"/>
      <c r="W131" s="2"/>
      <c r="X131" s="2"/>
      <c r="Y131" s="38"/>
    </row>
    <row r="132" spans="2:25" ht="15.75" customHeight="1" x14ac:dyDescent="0.3">
      <c r="B132" s="2"/>
      <c r="C132" s="61" t="s">
        <v>299</v>
      </c>
      <c r="D132" s="62" t="s">
        <v>323</v>
      </c>
      <c r="E132" s="63" t="s">
        <v>324</v>
      </c>
      <c r="F132" s="64">
        <f>+'COMUNAS - HOME DELIVERY 2026'!F132*1.1</f>
        <v>4169.5896000000002</v>
      </c>
      <c r="G132" s="65">
        <f>+'COMUNAS - HOME DELIVERY 2026'!G132*1.1</f>
        <v>4411.387200000001</v>
      </c>
      <c r="H132" s="65">
        <f>+'COMUNAS - HOME DELIVERY 2026'!H132*1.1</f>
        <v>5103.8592000000008</v>
      </c>
      <c r="I132" s="65">
        <f>+'COMUNAS - HOME DELIVERY 2026'!I132*1.1</f>
        <v>5937.0960000000014</v>
      </c>
      <c r="J132" s="65">
        <f>+'COMUNAS - HOME DELIVERY 2026'!J132*1.1</f>
        <v>7339.0680000000011</v>
      </c>
      <c r="K132" s="65">
        <f>+'COMUNAS - HOME DELIVERY 2026'!K132*1.1</f>
        <v>8819.3688000000002</v>
      </c>
      <c r="L132" s="65">
        <f>+'COMUNAS - HOME DELIVERY 2026'!L132*1.1</f>
        <v>9911.4312000000009</v>
      </c>
      <c r="M132" s="66">
        <f>+'COMUNAS - HOME DELIVERY 2026'!M132*1.1</f>
        <v>505.16400000000004</v>
      </c>
      <c r="N132" s="67">
        <f>+'COMUNAS - HOME DELIVERY 2026'!N132*1.1</f>
        <v>424.56480000000005</v>
      </c>
      <c r="O132" s="60"/>
      <c r="P132" s="2"/>
      <c r="Q132" s="2"/>
      <c r="R132" s="2"/>
      <c r="S132" s="2"/>
      <c r="T132" s="2"/>
      <c r="U132" s="2"/>
      <c r="V132" s="2"/>
      <c r="W132" s="2"/>
      <c r="X132" s="2"/>
      <c r="Y132" s="38"/>
    </row>
    <row r="133" spans="2:25" ht="15.75" customHeight="1" x14ac:dyDescent="0.3">
      <c r="B133" s="2"/>
      <c r="C133" s="61" t="s">
        <v>299</v>
      </c>
      <c r="D133" s="62" t="s">
        <v>325</v>
      </c>
      <c r="E133" s="63" t="s">
        <v>326</v>
      </c>
      <c r="F133" s="64">
        <f>+'COMUNAS - HOME DELIVERY 2026'!F133*1.1</f>
        <v>4169.5896000000002</v>
      </c>
      <c r="G133" s="65">
        <f>+'COMUNAS - HOME DELIVERY 2026'!G133*1.1</f>
        <v>4411.387200000001</v>
      </c>
      <c r="H133" s="65">
        <f>+'COMUNAS - HOME DELIVERY 2026'!H133*1.1</f>
        <v>5103.8592000000008</v>
      </c>
      <c r="I133" s="65">
        <f>+'COMUNAS - HOME DELIVERY 2026'!I133*1.1</f>
        <v>5937.0960000000014</v>
      </c>
      <c r="J133" s="65">
        <f>+'COMUNAS - HOME DELIVERY 2026'!J133*1.1</f>
        <v>7339.0680000000011</v>
      </c>
      <c r="K133" s="65">
        <f>+'COMUNAS - HOME DELIVERY 2026'!K133*1.1</f>
        <v>8819.3688000000002</v>
      </c>
      <c r="L133" s="65">
        <f>+'COMUNAS - HOME DELIVERY 2026'!L133*1.1</f>
        <v>9911.4312000000009</v>
      </c>
      <c r="M133" s="66">
        <f>+'COMUNAS - HOME DELIVERY 2026'!M133*1.1</f>
        <v>505.16400000000004</v>
      </c>
      <c r="N133" s="67">
        <f>+'COMUNAS - HOME DELIVERY 2026'!N133*1.1</f>
        <v>424.56480000000005</v>
      </c>
      <c r="O133" s="60"/>
      <c r="P133" s="2"/>
      <c r="Q133" s="2"/>
      <c r="R133" s="2"/>
      <c r="S133" s="2"/>
      <c r="T133" s="2"/>
      <c r="U133" s="2"/>
      <c r="V133" s="2"/>
      <c r="W133" s="2"/>
      <c r="X133" s="2"/>
      <c r="Y133" s="38"/>
    </row>
    <row r="134" spans="2:25" ht="15.75" customHeight="1" x14ac:dyDescent="0.3">
      <c r="B134" s="2"/>
      <c r="C134" s="61" t="s">
        <v>299</v>
      </c>
      <c r="D134" s="62" t="s">
        <v>327</v>
      </c>
      <c r="E134" s="63" t="s">
        <v>328</v>
      </c>
      <c r="F134" s="64">
        <f>+'COMUNAS - HOME DELIVERY 2026'!F134*1.1</f>
        <v>4169.5896000000002</v>
      </c>
      <c r="G134" s="65">
        <f>+'COMUNAS - HOME DELIVERY 2026'!G134*1.1</f>
        <v>4411.387200000001</v>
      </c>
      <c r="H134" s="65">
        <f>+'COMUNAS - HOME DELIVERY 2026'!H134*1.1</f>
        <v>5103.8592000000008</v>
      </c>
      <c r="I134" s="65">
        <f>+'COMUNAS - HOME DELIVERY 2026'!I134*1.1</f>
        <v>5937.0960000000014</v>
      </c>
      <c r="J134" s="65">
        <f>+'COMUNAS - HOME DELIVERY 2026'!J134*1.1</f>
        <v>7339.0680000000011</v>
      </c>
      <c r="K134" s="65">
        <f>+'COMUNAS - HOME DELIVERY 2026'!K134*1.1</f>
        <v>8819.3688000000002</v>
      </c>
      <c r="L134" s="65">
        <f>+'COMUNAS - HOME DELIVERY 2026'!L134*1.1</f>
        <v>9911.4312000000009</v>
      </c>
      <c r="M134" s="66">
        <f>+'COMUNAS - HOME DELIVERY 2026'!M134*1.1</f>
        <v>505.16400000000004</v>
      </c>
      <c r="N134" s="67">
        <f>+'COMUNAS - HOME DELIVERY 2026'!N134*1.1</f>
        <v>424.56480000000005</v>
      </c>
      <c r="O134" s="60"/>
      <c r="P134" s="2"/>
      <c r="Q134" s="2"/>
      <c r="R134" s="2"/>
      <c r="S134" s="2"/>
      <c r="T134" s="2"/>
      <c r="U134" s="2"/>
      <c r="V134" s="2"/>
      <c r="W134" s="2"/>
      <c r="X134" s="2"/>
      <c r="Y134" s="38"/>
    </row>
    <row r="135" spans="2:25" ht="15.75" customHeight="1" x14ac:dyDescent="0.3">
      <c r="B135" s="2"/>
      <c r="C135" s="61" t="s">
        <v>299</v>
      </c>
      <c r="D135" s="62" t="s">
        <v>329</v>
      </c>
      <c r="E135" s="63" t="s">
        <v>330</v>
      </c>
      <c r="F135" s="64">
        <f>+'COMUNAS - HOME DELIVERY 2026'!F135*1.1</f>
        <v>4169.5896000000002</v>
      </c>
      <c r="G135" s="65">
        <f>+'COMUNAS - HOME DELIVERY 2026'!G135*1.1</f>
        <v>4411.387200000001</v>
      </c>
      <c r="H135" s="65">
        <f>+'COMUNAS - HOME DELIVERY 2026'!H135*1.1</f>
        <v>5103.8592000000008</v>
      </c>
      <c r="I135" s="65">
        <f>+'COMUNAS - HOME DELIVERY 2026'!I135*1.1</f>
        <v>5937.0960000000014</v>
      </c>
      <c r="J135" s="65">
        <f>+'COMUNAS - HOME DELIVERY 2026'!J135*1.1</f>
        <v>7339.0680000000011</v>
      </c>
      <c r="K135" s="65">
        <f>+'COMUNAS - HOME DELIVERY 2026'!K135*1.1</f>
        <v>8819.3688000000002</v>
      </c>
      <c r="L135" s="65">
        <f>+'COMUNAS - HOME DELIVERY 2026'!L135*1.1</f>
        <v>9911.4312000000009</v>
      </c>
      <c r="M135" s="66">
        <f>+'COMUNAS - HOME DELIVERY 2026'!M135*1.1</f>
        <v>505.16400000000004</v>
      </c>
      <c r="N135" s="67">
        <f>+'COMUNAS - HOME DELIVERY 2026'!N135*1.1</f>
        <v>424.56480000000005</v>
      </c>
      <c r="O135" s="60"/>
      <c r="P135" s="2"/>
      <c r="Q135" s="2"/>
      <c r="R135" s="2"/>
      <c r="S135" s="2"/>
      <c r="T135" s="2"/>
      <c r="U135" s="2"/>
      <c r="V135" s="2"/>
      <c r="W135" s="2"/>
      <c r="X135" s="2"/>
      <c r="Y135" s="38"/>
    </row>
    <row r="136" spans="2:25" ht="15.75" customHeight="1" x14ac:dyDescent="0.3">
      <c r="B136" s="2"/>
      <c r="C136" s="61" t="s">
        <v>299</v>
      </c>
      <c r="D136" s="62" t="s">
        <v>331</v>
      </c>
      <c r="E136" s="63" t="s">
        <v>332</v>
      </c>
      <c r="F136" s="64">
        <f>+'COMUNAS - HOME DELIVERY 2026'!F136*1.1</f>
        <v>6111.3492000000006</v>
      </c>
      <c r="G136" s="65">
        <f>+'COMUNAS - HOME DELIVERY 2026'!G136*1.1</f>
        <v>6537.0492000000004</v>
      </c>
      <c r="H136" s="65">
        <f>+'COMUNAS - HOME DELIVERY 2026'!H136*1.1</f>
        <v>7419.0996000000014</v>
      </c>
      <c r="I136" s="65">
        <f>+'COMUNAS - HOME DELIVERY 2026'!I136*1.1</f>
        <v>8786.4480000000003</v>
      </c>
      <c r="J136" s="65">
        <f>+'COMUNAS - HOME DELIVERY 2026'!J136*1.1</f>
        <v>10916.650800000001</v>
      </c>
      <c r="K136" s="65">
        <f>+'COMUNAS - HOME DELIVERY 2026'!K136*1.1</f>
        <v>12336.786000000002</v>
      </c>
      <c r="L136" s="65">
        <f>+'COMUNAS - HOME DELIVERY 2026'!L136*1.1</f>
        <v>13845.466800000002</v>
      </c>
      <c r="M136" s="66">
        <f>+'COMUNAS - HOME DELIVERY 2026'!M136*1.1</f>
        <v>698.14800000000014</v>
      </c>
      <c r="N136" s="67">
        <f>+'COMUNAS - HOME DELIVERY 2026'!N136*1.1</f>
        <v>578.95200000000011</v>
      </c>
      <c r="O136" s="60"/>
      <c r="P136" s="2"/>
      <c r="Q136" s="2"/>
      <c r="R136" s="2"/>
      <c r="S136" s="2"/>
      <c r="T136" s="2"/>
      <c r="U136" s="2"/>
      <c r="V136" s="2"/>
      <c r="W136" s="2"/>
      <c r="X136" s="2"/>
      <c r="Y136" s="38"/>
    </row>
    <row r="137" spans="2:25" ht="15.75" customHeight="1" x14ac:dyDescent="0.3">
      <c r="B137" s="2"/>
      <c r="C137" s="61" t="s">
        <v>299</v>
      </c>
      <c r="D137" s="62" t="s">
        <v>333</v>
      </c>
      <c r="E137" s="63" t="s">
        <v>334</v>
      </c>
      <c r="F137" s="64">
        <f>+'COMUNAS - HOME DELIVERY 2026'!F137*1.1</f>
        <v>4169.5896000000002</v>
      </c>
      <c r="G137" s="65">
        <f>+'COMUNAS - HOME DELIVERY 2026'!G137*1.1</f>
        <v>4411.387200000001</v>
      </c>
      <c r="H137" s="65">
        <f>+'COMUNAS - HOME DELIVERY 2026'!H137*1.1</f>
        <v>5103.8592000000008</v>
      </c>
      <c r="I137" s="65">
        <f>+'COMUNAS - HOME DELIVERY 2026'!I137*1.1</f>
        <v>5937.0960000000014</v>
      </c>
      <c r="J137" s="65">
        <f>+'COMUNAS - HOME DELIVERY 2026'!J137*1.1</f>
        <v>7339.0680000000011</v>
      </c>
      <c r="K137" s="65">
        <f>+'COMUNAS - HOME DELIVERY 2026'!K137*1.1</f>
        <v>8819.3688000000002</v>
      </c>
      <c r="L137" s="65">
        <f>+'COMUNAS - HOME DELIVERY 2026'!L137*1.1</f>
        <v>9911.4312000000009</v>
      </c>
      <c r="M137" s="66">
        <f>+'COMUNAS - HOME DELIVERY 2026'!M137*1.1</f>
        <v>505.16400000000004</v>
      </c>
      <c r="N137" s="67">
        <f>+'COMUNAS - HOME DELIVERY 2026'!N137*1.1</f>
        <v>424.56480000000005</v>
      </c>
      <c r="O137" s="60"/>
      <c r="P137" s="2"/>
      <c r="Q137" s="2"/>
      <c r="R137" s="2"/>
      <c r="S137" s="2"/>
      <c r="T137" s="2"/>
      <c r="U137" s="2"/>
      <c r="V137" s="2"/>
      <c r="W137" s="2"/>
      <c r="X137" s="2"/>
      <c r="Y137" s="38"/>
    </row>
    <row r="138" spans="2:25" ht="15.75" customHeight="1" x14ac:dyDescent="0.3">
      <c r="B138" s="2"/>
      <c r="C138" s="61" t="s">
        <v>299</v>
      </c>
      <c r="D138" s="62" t="s">
        <v>335</v>
      </c>
      <c r="E138" s="63" t="s">
        <v>336</v>
      </c>
      <c r="F138" s="64">
        <f>+'COMUNAS - HOME DELIVERY 2026'!F138*1.1</f>
        <v>4169.5896000000002</v>
      </c>
      <c r="G138" s="65">
        <f>+'COMUNAS - HOME DELIVERY 2026'!G138*1.1</f>
        <v>4411.387200000001</v>
      </c>
      <c r="H138" s="65">
        <f>+'COMUNAS - HOME DELIVERY 2026'!H138*1.1</f>
        <v>5103.8592000000008</v>
      </c>
      <c r="I138" s="65">
        <f>+'COMUNAS - HOME DELIVERY 2026'!I138*1.1</f>
        <v>5937.0960000000014</v>
      </c>
      <c r="J138" s="65">
        <f>+'COMUNAS - HOME DELIVERY 2026'!J138*1.1</f>
        <v>7339.0680000000011</v>
      </c>
      <c r="K138" s="65">
        <f>+'COMUNAS - HOME DELIVERY 2026'!K138*1.1</f>
        <v>8819.3688000000002</v>
      </c>
      <c r="L138" s="65">
        <f>+'COMUNAS - HOME DELIVERY 2026'!L138*1.1</f>
        <v>9911.4312000000009</v>
      </c>
      <c r="M138" s="66">
        <f>+'COMUNAS - HOME DELIVERY 2026'!M138*1.1</f>
        <v>505.16400000000004</v>
      </c>
      <c r="N138" s="67">
        <f>+'COMUNAS - HOME DELIVERY 2026'!N138*1.1</f>
        <v>424.56480000000005</v>
      </c>
      <c r="O138" s="60"/>
      <c r="P138" s="2"/>
      <c r="Q138" s="2"/>
      <c r="R138" s="2"/>
      <c r="S138" s="2"/>
      <c r="T138" s="2"/>
      <c r="U138" s="2"/>
      <c r="V138" s="2"/>
      <c r="W138" s="2"/>
      <c r="X138" s="2"/>
      <c r="Y138" s="38"/>
    </row>
    <row r="139" spans="2:25" ht="15.75" customHeight="1" x14ac:dyDescent="0.3">
      <c r="B139" s="2"/>
      <c r="C139" s="61" t="s">
        <v>299</v>
      </c>
      <c r="D139" s="62" t="s">
        <v>337</v>
      </c>
      <c r="E139" s="63" t="s">
        <v>338</v>
      </c>
      <c r="F139" s="64">
        <f>+'COMUNAS - HOME DELIVERY 2026'!F139*1.1</f>
        <v>6254.3844000000008</v>
      </c>
      <c r="G139" s="65">
        <f>+'COMUNAS - HOME DELIVERY 2026'!G139*1.1</f>
        <v>6617.0808000000006</v>
      </c>
      <c r="H139" s="65">
        <f>+'COMUNAS - HOME DELIVERY 2026'!H139*1.1</f>
        <v>7655.7888000000003</v>
      </c>
      <c r="I139" s="65">
        <f>+'COMUNAS - HOME DELIVERY 2026'!I139*1.1</f>
        <v>8905.6440000000002</v>
      </c>
      <c r="J139" s="65">
        <f>+'COMUNAS - HOME DELIVERY 2026'!J139*1.1</f>
        <v>11008.602000000001</v>
      </c>
      <c r="K139" s="65">
        <f>+'COMUNAS - HOME DELIVERY 2026'!K139*1.1</f>
        <v>13229.053200000002</v>
      </c>
      <c r="L139" s="65">
        <f>+'COMUNAS - HOME DELIVERY 2026'!L139*1.1</f>
        <v>14867.1468</v>
      </c>
      <c r="M139" s="66">
        <f>+'COMUNAS - HOME DELIVERY 2026'!M139*1.1</f>
        <v>757.74600000000009</v>
      </c>
      <c r="N139" s="67">
        <f>+'COMUNAS - HOME DELIVERY 2026'!N139*1.1</f>
        <v>636.84720000000004</v>
      </c>
      <c r="O139" s="60"/>
      <c r="P139" s="2"/>
      <c r="Q139" s="2"/>
      <c r="R139" s="2"/>
      <c r="S139" s="2"/>
      <c r="T139" s="2"/>
      <c r="U139" s="2"/>
      <c r="V139" s="2"/>
      <c r="W139" s="2"/>
      <c r="X139" s="2"/>
      <c r="Y139" s="38"/>
    </row>
    <row r="140" spans="2:25" ht="15.75" customHeight="1" x14ac:dyDescent="0.3">
      <c r="B140" s="2"/>
      <c r="C140" s="61" t="s">
        <v>299</v>
      </c>
      <c r="D140" s="62" t="s">
        <v>339</v>
      </c>
      <c r="E140" s="63" t="s">
        <v>340</v>
      </c>
      <c r="F140" s="64">
        <f>+'COMUNAS - HOME DELIVERY 2026'!F140*1.1</f>
        <v>4169.5896000000002</v>
      </c>
      <c r="G140" s="65">
        <f>+'COMUNAS - HOME DELIVERY 2026'!G140*1.1</f>
        <v>4411.387200000001</v>
      </c>
      <c r="H140" s="65">
        <f>+'COMUNAS - HOME DELIVERY 2026'!H140*1.1</f>
        <v>5103.8592000000008</v>
      </c>
      <c r="I140" s="65">
        <f>+'COMUNAS - HOME DELIVERY 2026'!I140*1.1</f>
        <v>5937.0960000000014</v>
      </c>
      <c r="J140" s="65">
        <f>+'COMUNAS - HOME DELIVERY 2026'!J140*1.1</f>
        <v>7339.0680000000011</v>
      </c>
      <c r="K140" s="65">
        <f>+'COMUNAS - HOME DELIVERY 2026'!K140*1.1</f>
        <v>8819.3688000000002</v>
      </c>
      <c r="L140" s="65">
        <f>+'COMUNAS - HOME DELIVERY 2026'!L140*1.1</f>
        <v>9911.4312000000009</v>
      </c>
      <c r="M140" s="66">
        <f>+'COMUNAS - HOME DELIVERY 2026'!M140*1.1</f>
        <v>505.16400000000004</v>
      </c>
      <c r="N140" s="67">
        <f>+'COMUNAS - HOME DELIVERY 2026'!N140*1.1</f>
        <v>424.56480000000005</v>
      </c>
      <c r="O140" s="60"/>
      <c r="P140" s="2"/>
      <c r="Q140" s="2"/>
      <c r="R140" s="2"/>
      <c r="S140" s="2"/>
      <c r="T140" s="2"/>
      <c r="U140" s="2"/>
      <c r="V140" s="2"/>
      <c r="W140" s="2"/>
      <c r="X140" s="2"/>
      <c r="Y140" s="38"/>
    </row>
    <row r="141" spans="2:25" ht="15.75" customHeight="1" x14ac:dyDescent="0.3">
      <c r="B141" s="2"/>
      <c r="C141" s="61" t="s">
        <v>299</v>
      </c>
      <c r="D141" s="62" t="s">
        <v>341</v>
      </c>
      <c r="E141" s="63" t="s">
        <v>342</v>
      </c>
      <c r="F141" s="64">
        <f>+'COMUNAS - HOME DELIVERY 2026'!F141*1.1</f>
        <v>4169.5896000000002</v>
      </c>
      <c r="G141" s="65">
        <f>+'COMUNAS - HOME DELIVERY 2026'!G141*1.1</f>
        <v>4411.387200000001</v>
      </c>
      <c r="H141" s="65">
        <f>+'COMUNAS - HOME DELIVERY 2026'!H141*1.1</f>
        <v>5103.8592000000008</v>
      </c>
      <c r="I141" s="65">
        <f>+'COMUNAS - HOME DELIVERY 2026'!I141*1.1</f>
        <v>5937.0960000000014</v>
      </c>
      <c r="J141" s="65">
        <f>+'COMUNAS - HOME DELIVERY 2026'!J141*1.1</f>
        <v>7339.0680000000011</v>
      </c>
      <c r="K141" s="65">
        <f>+'COMUNAS - HOME DELIVERY 2026'!K141*1.1</f>
        <v>8819.3688000000002</v>
      </c>
      <c r="L141" s="65">
        <f>+'COMUNAS - HOME DELIVERY 2026'!L141*1.1</f>
        <v>9911.4312000000009</v>
      </c>
      <c r="M141" s="66">
        <f>+'COMUNAS - HOME DELIVERY 2026'!M141*1.1</f>
        <v>505.16400000000004</v>
      </c>
      <c r="N141" s="67">
        <f>+'COMUNAS - HOME DELIVERY 2026'!N141*1.1</f>
        <v>424.56480000000005</v>
      </c>
      <c r="O141" s="60"/>
      <c r="P141" s="2"/>
      <c r="Q141" s="2"/>
      <c r="R141" s="2"/>
      <c r="S141" s="2"/>
      <c r="T141" s="2"/>
      <c r="U141" s="2"/>
      <c r="V141" s="2"/>
      <c r="W141" s="2"/>
      <c r="X141" s="2"/>
      <c r="Y141" s="38"/>
    </row>
    <row r="142" spans="2:25" ht="15.75" customHeight="1" x14ac:dyDescent="0.3">
      <c r="B142" s="2"/>
      <c r="C142" s="61" t="s">
        <v>299</v>
      </c>
      <c r="D142" s="62" t="s">
        <v>343</v>
      </c>
      <c r="E142" s="63" t="s">
        <v>344</v>
      </c>
      <c r="F142" s="64">
        <f>+'COMUNAS - HOME DELIVERY 2026'!F142*1.1</f>
        <v>6254.3844000000008</v>
      </c>
      <c r="G142" s="65">
        <f>+'COMUNAS - HOME DELIVERY 2026'!G142*1.1</f>
        <v>6617.0808000000006</v>
      </c>
      <c r="H142" s="65">
        <f>+'COMUNAS - HOME DELIVERY 2026'!H142*1.1</f>
        <v>7655.7888000000003</v>
      </c>
      <c r="I142" s="65">
        <f>+'COMUNAS - HOME DELIVERY 2026'!I142*1.1</f>
        <v>8905.6440000000002</v>
      </c>
      <c r="J142" s="65">
        <f>+'COMUNAS - HOME DELIVERY 2026'!J142*1.1</f>
        <v>11008.602000000001</v>
      </c>
      <c r="K142" s="65">
        <f>+'COMUNAS - HOME DELIVERY 2026'!K142*1.1</f>
        <v>13229.053200000002</v>
      </c>
      <c r="L142" s="65">
        <f>+'COMUNAS - HOME DELIVERY 2026'!L142*1.1</f>
        <v>14867.1468</v>
      </c>
      <c r="M142" s="66">
        <f>+'COMUNAS - HOME DELIVERY 2026'!M142*1.1</f>
        <v>757.74600000000009</v>
      </c>
      <c r="N142" s="67">
        <f>+'COMUNAS - HOME DELIVERY 2026'!N142*1.1</f>
        <v>636.84720000000004</v>
      </c>
      <c r="O142" s="60"/>
      <c r="P142" s="2"/>
      <c r="Q142" s="2"/>
      <c r="R142" s="2"/>
      <c r="S142" s="2"/>
      <c r="T142" s="2"/>
      <c r="U142" s="2"/>
      <c r="V142" s="2"/>
      <c r="W142" s="2"/>
      <c r="X142" s="2"/>
      <c r="Y142" s="38"/>
    </row>
    <row r="143" spans="2:25" ht="15.75" customHeight="1" x14ac:dyDescent="0.3">
      <c r="B143" s="2"/>
      <c r="C143" s="61" t="s">
        <v>299</v>
      </c>
      <c r="D143" s="62" t="s">
        <v>345</v>
      </c>
      <c r="E143" s="63" t="s">
        <v>346</v>
      </c>
      <c r="F143" s="64">
        <f>+'COMUNAS - HOME DELIVERY 2026'!F143*1.1</f>
        <v>4169.5896000000002</v>
      </c>
      <c r="G143" s="65">
        <f>+'COMUNAS - HOME DELIVERY 2026'!G143*1.1</f>
        <v>4411.387200000001</v>
      </c>
      <c r="H143" s="65">
        <f>+'COMUNAS - HOME DELIVERY 2026'!H143*1.1</f>
        <v>5103.8592000000008</v>
      </c>
      <c r="I143" s="65">
        <f>+'COMUNAS - HOME DELIVERY 2026'!I143*1.1</f>
        <v>5937.0960000000014</v>
      </c>
      <c r="J143" s="65">
        <f>+'COMUNAS - HOME DELIVERY 2026'!J143*1.1</f>
        <v>7339.0680000000011</v>
      </c>
      <c r="K143" s="65">
        <f>+'COMUNAS - HOME DELIVERY 2026'!K143*1.1</f>
        <v>8819.3688000000002</v>
      </c>
      <c r="L143" s="65">
        <f>+'COMUNAS - HOME DELIVERY 2026'!L143*1.1</f>
        <v>9911.4312000000009</v>
      </c>
      <c r="M143" s="66">
        <f>+'COMUNAS - HOME DELIVERY 2026'!M143*1.1</f>
        <v>505.16400000000004</v>
      </c>
      <c r="N143" s="67">
        <f>+'COMUNAS - HOME DELIVERY 2026'!N143*1.1</f>
        <v>424.56480000000005</v>
      </c>
      <c r="O143" s="60"/>
      <c r="P143" s="2"/>
      <c r="Q143" s="2"/>
      <c r="R143" s="2"/>
      <c r="S143" s="2"/>
      <c r="T143" s="2"/>
      <c r="U143" s="2"/>
      <c r="V143" s="2"/>
      <c r="W143" s="2"/>
      <c r="X143" s="2"/>
      <c r="Y143" s="38"/>
    </row>
    <row r="144" spans="2:25" ht="15.75" customHeight="1" x14ac:dyDescent="0.3">
      <c r="B144" s="2"/>
      <c r="C144" s="61" t="s">
        <v>299</v>
      </c>
      <c r="D144" s="62" t="s">
        <v>347</v>
      </c>
      <c r="E144" s="63" t="s">
        <v>348</v>
      </c>
      <c r="F144" s="64">
        <f>+'COMUNAS - HOME DELIVERY 2026'!F144*1.1</f>
        <v>4169.5896000000002</v>
      </c>
      <c r="G144" s="65">
        <f>+'COMUNAS - HOME DELIVERY 2026'!G144*1.1</f>
        <v>4411.387200000001</v>
      </c>
      <c r="H144" s="65">
        <f>+'COMUNAS - HOME DELIVERY 2026'!H144*1.1</f>
        <v>5103.8592000000008</v>
      </c>
      <c r="I144" s="65">
        <f>+'COMUNAS - HOME DELIVERY 2026'!I144*1.1</f>
        <v>5937.0960000000014</v>
      </c>
      <c r="J144" s="65">
        <f>+'COMUNAS - HOME DELIVERY 2026'!J144*1.1</f>
        <v>7339.0680000000011</v>
      </c>
      <c r="K144" s="65">
        <f>+'COMUNAS - HOME DELIVERY 2026'!K144*1.1</f>
        <v>8819.3688000000002</v>
      </c>
      <c r="L144" s="65">
        <f>+'COMUNAS - HOME DELIVERY 2026'!L144*1.1</f>
        <v>9911.4312000000009</v>
      </c>
      <c r="M144" s="66">
        <f>+'COMUNAS - HOME DELIVERY 2026'!M144*1.1</f>
        <v>505.16400000000004</v>
      </c>
      <c r="N144" s="67">
        <f>+'COMUNAS - HOME DELIVERY 2026'!N144*1.1</f>
        <v>424.56480000000005</v>
      </c>
      <c r="O144" s="60"/>
      <c r="P144" s="2"/>
      <c r="Q144" s="2"/>
      <c r="R144" s="2"/>
      <c r="S144" s="2"/>
      <c r="T144" s="2"/>
      <c r="U144" s="2"/>
      <c r="V144" s="2"/>
      <c r="W144" s="2"/>
      <c r="X144" s="2"/>
      <c r="Y144" s="38"/>
    </row>
    <row r="145" spans="2:25" ht="15.75" customHeight="1" x14ac:dyDescent="0.3">
      <c r="B145" s="2"/>
      <c r="C145" s="61" t="s">
        <v>299</v>
      </c>
      <c r="D145" s="62" t="s">
        <v>349</v>
      </c>
      <c r="E145" s="63" t="s">
        <v>350</v>
      </c>
      <c r="F145" s="64">
        <f>+'COMUNAS - HOME DELIVERY 2026'!F145*1.1</f>
        <v>6254.3844000000008</v>
      </c>
      <c r="G145" s="65">
        <f>+'COMUNAS - HOME DELIVERY 2026'!G145*1.1</f>
        <v>6617.0808000000006</v>
      </c>
      <c r="H145" s="65">
        <f>+'COMUNAS - HOME DELIVERY 2026'!H145*1.1</f>
        <v>7655.7888000000003</v>
      </c>
      <c r="I145" s="65">
        <f>+'COMUNAS - HOME DELIVERY 2026'!I145*1.1</f>
        <v>8905.6440000000002</v>
      </c>
      <c r="J145" s="65">
        <f>+'COMUNAS - HOME DELIVERY 2026'!J145*1.1</f>
        <v>11008.602000000001</v>
      </c>
      <c r="K145" s="65">
        <f>+'COMUNAS - HOME DELIVERY 2026'!K145*1.1</f>
        <v>13229.053200000002</v>
      </c>
      <c r="L145" s="65">
        <f>+'COMUNAS - HOME DELIVERY 2026'!L145*1.1</f>
        <v>14867.1468</v>
      </c>
      <c r="M145" s="66">
        <f>+'COMUNAS - HOME DELIVERY 2026'!M145*1.1</f>
        <v>757.74600000000009</v>
      </c>
      <c r="N145" s="67">
        <f>+'COMUNAS - HOME DELIVERY 2026'!N145*1.1</f>
        <v>636.84720000000004</v>
      </c>
      <c r="O145" s="60"/>
      <c r="P145" s="2"/>
      <c r="Q145" s="2"/>
      <c r="R145" s="2"/>
      <c r="S145" s="2"/>
      <c r="T145" s="2"/>
      <c r="U145" s="2"/>
      <c r="V145" s="2"/>
      <c r="W145" s="2"/>
      <c r="X145" s="2"/>
      <c r="Y145" s="38"/>
    </row>
    <row r="146" spans="2:25" ht="15.75" customHeight="1" x14ac:dyDescent="0.3">
      <c r="B146" s="2"/>
      <c r="C146" s="61" t="s">
        <v>299</v>
      </c>
      <c r="D146" s="62" t="s">
        <v>351</v>
      </c>
      <c r="E146" s="63" t="s">
        <v>352</v>
      </c>
      <c r="F146" s="64">
        <f>+'COMUNAS - HOME DELIVERY 2026'!F146*1.1</f>
        <v>4169.5896000000002</v>
      </c>
      <c r="G146" s="65">
        <f>+'COMUNAS - HOME DELIVERY 2026'!G146*1.1</f>
        <v>4411.387200000001</v>
      </c>
      <c r="H146" s="65">
        <f>+'COMUNAS - HOME DELIVERY 2026'!H146*1.1</f>
        <v>5103.8592000000008</v>
      </c>
      <c r="I146" s="65">
        <f>+'COMUNAS - HOME DELIVERY 2026'!I146*1.1</f>
        <v>5937.0960000000014</v>
      </c>
      <c r="J146" s="65">
        <f>+'COMUNAS - HOME DELIVERY 2026'!J146*1.1</f>
        <v>7339.0680000000011</v>
      </c>
      <c r="K146" s="65">
        <f>+'COMUNAS - HOME DELIVERY 2026'!K146*1.1</f>
        <v>8819.3688000000002</v>
      </c>
      <c r="L146" s="65">
        <f>+'COMUNAS - HOME DELIVERY 2026'!L146*1.1</f>
        <v>9911.4312000000009</v>
      </c>
      <c r="M146" s="66">
        <f>+'COMUNAS - HOME DELIVERY 2026'!M146*1.1</f>
        <v>505.16400000000004</v>
      </c>
      <c r="N146" s="67">
        <f>+'COMUNAS - HOME DELIVERY 2026'!N146*1.1</f>
        <v>424.56480000000005</v>
      </c>
      <c r="O146" s="60"/>
      <c r="P146" s="2"/>
      <c r="Q146" s="2"/>
      <c r="R146" s="2"/>
      <c r="S146" s="2"/>
      <c r="T146" s="2"/>
      <c r="U146" s="2"/>
      <c r="V146" s="2"/>
      <c r="W146" s="2"/>
      <c r="X146" s="2"/>
      <c r="Y146" s="38"/>
    </row>
    <row r="147" spans="2:25" ht="15.75" customHeight="1" x14ac:dyDescent="0.3">
      <c r="B147" s="2"/>
      <c r="C147" s="61" t="s">
        <v>299</v>
      </c>
      <c r="D147" s="62" t="s">
        <v>353</v>
      </c>
      <c r="E147" s="63" t="s">
        <v>354</v>
      </c>
      <c r="F147" s="64">
        <f>+'COMUNAS - HOME DELIVERY 2026'!F147*1.1</f>
        <v>4169.5896000000002</v>
      </c>
      <c r="G147" s="65">
        <f>+'COMUNAS - HOME DELIVERY 2026'!G147*1.1</f>
        <v>4411.387200000001</v>
      </c>
      <c r="H147" s="65">
        <f>+'COMUNAS - HOME DELIVERY 2026'!H147*1.1</f>
        <v>5103.8592000000008</v>
      </c>
      <c r="I147" s="65">
        <f>+'COMUNAS - HOME DELIVERY 2026'!I147*1.1</f>
        <v>5937.0960000000014</v>
      </c>
      <c r="J147" s="65">
        <f>+'COMUNAS - HOME DELIVERY 2026'!J147*1.1</f>
        <v>7339.0680000000011</v>
      </c>
      <c r="K147" s="65">
        <f>+'COMUNAS - HOME DELIVERY 2026'!K147*1.1</f>
        <v>8819.3688000000002</v>
      </c>
      <c r="L147" s="65">
        <f>+'COMUNAS - HOME DELIVERY 2026'!L147*1.1</f>
        <v>9911.4312000000009</v>
      </c>
      <c r="M147" s="66">
        <f>+'COMUNAS - HOME DELIVERY 2026'!M147*1.1</f>
        <v>505.16400000000004</v>
      </c>
      <c r="N147" s="67">
        <f>+'COMUNAS - HOME DELIVERY 2026'!N147*1.1</f>
        <v>424.56480000000005</v>
      </c>
      <c r="O147" s="60"/>
      <c r="P147" s="2"/>
      <c r="Q147" s="2"/>
      <c r="R147" s="2"/>
      <c r="S147" s="2"/>
      <c r="T147" s="2"/>
      <c r="U147" s="2"/>
      <c r="V147" s="2"/>
      <c r="W147" s="2"/>
      <c r="X147" s="2"/>
      <c r="Y147" s="38"/>
    </row>
    <row r="148" spans="2:25" ht="15.75" customHeight="1" x14ac:dyDescent="0.3">
      <c r="B148" s="2"/>
      <c r="C148" s="61" t="s">
        <v>299</v>
      </c>
      <c r="D148" s="62" t="s">
        <v>355</v>
      </c>
      <c r="E148" s="63" t="s">
        <v>356</v>
      </c>
      <c r="F148" s="64">
        <f>+'COMUNAS - HOME DELIVERY 2026'!F148*1.1</f>
        <v>4169.5896000000002</v>
      </c>
      <c r="G148" s="65">
        <f>+'COMUNAS - HOME DELIVERY 2026'!G148*1.1</f>
        <v>4411.387200000001</v>
      </c>
      <c r="H148" s="65">
        <f>+'COMUNAS - HOME DELIVERY 2026'!H148*1.1</f>
        <v>5103.8592000000008</v>
      </c>
      <c r="I148" s="65">
        <f>+'COMUNAS - HOME DELIVERY 2026'!I148*1.1</f>
        <v>5937.0960000000014</v>
      </c>
      <c r="J148" s="65">
        <f>+'COMUNAS - HOME DELIVERY 2026'!J148*1.1</f>
        <v>7339.0680000000011</v>
      </c>
      <c r="K148" s="65">
        <f>+'COMUNAS - HOME DELIVERY 2026'!K148*1.1</f>
        <v>8819.3688000000002</v>
      </c>
      <c r="L148" s="65">
        <f>+'COMUNAS - HOME DELIVERY 2026'!L148*1.1</f>
        <v>9911.4312000000009</v>
      </c>
      <c r="M148" s="66">
        <f>+'COMUNAS - HOME DELIVERY 2026'!M148*1.1</f>
        <v>505.16400000000004</v>
      </c>
      <c r="N148" s="67">
        <f>+'COMUNAS - HOME DELIVERY 2026'!N148*1.1</f>
        <v>424.56480000000005</v>
      </c>
      <c r="O148" s="60"/>
      <c r="P148" s="2"/>
      <c r="Q148" s="2"/>
      <c r="R148" s="2"/>
      <c r="S148" s="2"/>
      <c r="T148" s="2"/>
      <c r="U148" s="2"/>
      <c r="V148" s="2"/>
      <c r="W148" s="2"/>
      <c r="X148" s="2"/>
      <c r="Y148" s="38"/>
    </row>
    <row r="149" spans="2:25" ht="15.75" customHeight="1" x14ac:dyDescent="0.3">
      <c r="B149" s="2"/>
      <c r="C149" s="61" t="s">
        <v>299</v>
      </c>
      <c r="D149" s="62" t="s">
        <v>357</v>
      </c>
      <c r="E149" s="63" t="s">
        <v>358</v>
      </c>
      <c r="F149" s="64">
        <f>+'COMUNAS - HOME DELIVERY 2026'!F149*1.1</f>
        <v>4169.5896000000002</v>
      </c>
      <c r="G149" s="65">
        <f>+'COMUNAS - HOME DELIVERY 2026'!G149*1.1</f>
        <v>4411.387200000001</v>
      </c>
      <c r="H149" s="65">
        <f>+'COMUNAS - HOME DELIVERY 2026'!H149*1.1</f>
        <v>5103.8592000000008</v>
      </c>
      <c r="I149" s="65">
        <f>+'COMUNAS - HOME DELIVERY 2026'!I149*1.1</f>
        <v>5937.0960000000014</v>
      </c>
      <c r="J149" s="65">
        <f>+'COMUNAS - HOME DELIVERY 2026'!J149*1.1</f>
        <v>7339.0680000000011</v>
      </c>
      <c r="K149" s="65">
        <f>+'COMUNAS - HOME DELIVERY 2026'!K149*1.1</f>
        <v>8819.3688000000002</v>
      </c>
      <c r="L149" s="65">
        <f>+'COMUNAS - HOME DELIVERY 2026'!L149*1.1</f>
        <v>9911.4312000000009</v>
      </c>
      <c r="M149" s="66">
        <f>+'COMUNAS - HOME DELIVERY 2026'!M149*1.1</f>
        <v>505.16400000000004</v>
      </c>
      <c r="N149" s="67">
        <f>+'COMUNAS - HOME DELIVERY 2026'!N149*1.1</f>
        <v>424.56480000000005</v>
      </c>
      <c r="O149" s="60"/>
      <c r="P149" s="2"/>
      <c r="Q149" s="2"/>
      <c r="R149" s="2"/>
      <c r="S149" s="2"/>
      <c r="T149" s="2"/>
      <c r="U149" s="2"/>
      <c r="V149" s="2"/>
      <c r="W149" s="2"/>
      <c r="X149" s="2"/>
      <c r="Y149" s="38"/>
    </row>
    <row r="150" spans="2:25" ht="15.75" customHeight="1" x14ac:dyDescent="0.3">
      <c r="B150" s="2"/>
      <c r="C150" s="61" t="s">
        <v>299</v>
      </c>
      <c r="D150" s="62" t="s">
        <v>359</v>
      </c>
      <c r="E150" s="63" t="s">
        <v>360</v>
      </c>
      <c r="F150" s="64">
        <f>+'COMUNAS - HOME DELIVERY 2026'!F150*1.1</f>
        <v>4169.5896000000002</v>
      </c>
      <c r="G150" s="65">
        <f>+'COMUNAS - HOME DELIVERY 2026'!G150*1.1</f>
        <v>4411.387200000001</v>
      </c>
      <c r="H150" s="65">
        <f>+'COMUNAS - HOME DELIVERY 2026'!H150*1.1</f>
        <v>5103.8592000000008</v>
      </c>
      <c r="I150" s="65">
        <f>+'COMUNAS - HOME DELIVERY 2026'!I150*1.1</f>
        <v>5937.0960000000014</v>
      </c>
      <c r="J150" s="65">
        <f>+'COMUNAS - HOME DELIVERY 2026'!J150*1.1</f>
        <v>7339.0680000000011</v>
      </c>
      <c r="K150" s="65">
        <f>+'COMUNAS - HOME DELIVERY 2026'!K150*1.1</f>
        <v>8819.3688000000002</v>
      </c>
      <c r="L150" s="65">
        <f>+'COMUNAS - HOME DELIVERY 2026'!L150*1.1</f>
        <v>9911.4312000000009</v>
      </c>
      <c r="M150" s="66">
        <f>+'COMUNAS - HOME DELIVERY 2026'!M150*1.1</f>
        <v>505.16400000000004</v>
      </c>
      <c r="N150" s="67">
        <f>+'COMUNAS - HOME DELIVERY 2026'!N150*1.1</f>
        <v>424.56480000000005</v>
      </c>
      <c r="O150" s="60"/>
      <c r="P150" s="2"/>
      <c r="Q150" s="2"/>
      <c r="R150" s="2"/>
      <c r="S150" s="2"/>
      <c r="T150" s="2"/>
      <c r="U150" s="2"/>
      <c r="V150" s="2"/>
      <c r="W150" s="2"/>
      <c r="X150" s="2"/>
      <c r="Y150" s="38"/>
    </row>
    <row r="151" spans="2:25" ht="15.75" customHeight="1" x14ac:dyDescent="0.3">
      <c r="B151" s="2"/>
      <c r="C151" s="61" t="s">
        <v>299</v>
      </c>
      <c r="D151" s="62" t="s">
        <v>361</v>
      </c>
      <c r="E151" s="63" t="s">
        <v>362</v>
      </c>
      <c r="F151" s="64">
        <f>+'COMUNAS - HOME DELIVERY 2026'!F151*1.1</f>
        <v>6254.3844000000008</v>
      </c>
      <c r="G151" s="65">
        <f>+'COMUNAS - HOME DELIVERY 2026'!G151*1.1</f>
        <v>6617.0808000000006</v>
      </c>
      <c r="H151" s="65">
        <f>+'COMUNAS - HOME DELIVERY 2026'!H151*1.1</f>
        <v>7655.7888000000003</v>
      </c>
      <c r="I151" s="65">
        <f>+'COMUNAS - HOME DELIVERY 2026'!I151*1.1</f>
        <v>8905.6440000000002</v>
      </c>
      <c r="J151" s="65">
        <f>+'COMUNAS - HOME DELIVERY 2026'!J151*1.1</f>
        <v>11008.602000000001</v>
      </c>
      <c r="K151" s="65">
        <f>+'COMUNAS - HOME DELIVERY 2026'!K151*1.1</f>
        <v>13229.053200000002</v>
      </c>
      <c r="L151" s="65">
        <f>+'COMUNAS - HOME DELIVERY 2026'!L151*1.1</f>
        <v>14867.1468</v>
      </c>
      <c r="M151" s="66">
        <f>+'COMUNAS - HOME DELIVERY 2026'!M151*1.1</f>
        <v>757.74600000000009</v>
      </c>
      <c r="N151" s="67">
        <f>+'COMUNAS - HOME DELIVERY 2026'!N151*1.1</f>
        <v>636.84720000000004</v>
      </c>
      <c r="O151" s="60"/>
      <c r="P151" s="2"/>
      <c r="Q151" s="2"/>
      <c r="R151" s="2"/>
      <c r="S151" s="2"/>
      <c r="T151" s="2"/>
      <c r="U151" s="2"/>
      <c r="V151" s="2"/>
      <c r="W151" s="2"/>
      <c r="X151" s="2"/>
      <c r="Y151" s="38"/>
    </row>
    <row r="152" spans="2:25" ht="15.75" customHeight="1" thickBot="1" x14ac:dyDescent="0.35">
      <c r="B152" s="2"/>
      <c r="C152" s="68" t="s">
        <v>299</v>
      </c>
      <c r="D152" s="69" t="s">
        <v>363</v>
      </c>
      <c r="E152" s="70" t="s">
        <v>364</v>
      </c>
      <c r="F152" s="71">
        <f>+'COMUNAS - HOME DELIVERY 2026'!F152*1.1</f>
        <v>4169.5896000000002</v>
      </c>
      <c r="G152" s="72">
        <f>+'COMUNAS - HOME DELIVERY 2026'!G152*1.1</f>
        <v>4411.387200000001</v>
      </c>
      <c r="H152" s="72">
        <f>+'COMUNAS - HOME DELIVERY 2026'!H152*1.1</f>
        <v>5103.8592000000008</v>
      </c>
      <c r="I152" s="72">
        <f>+'COMUNAS - HOME DELIVERY 2026'!I152*1.1</f>
        <v>5937.0960000000014</v>
      </c>
      <c r="J152" s="72">
        <f>+'COMUNAS - HOME DELIVERY 2026'!J152*1.1</f>
        <v>7339.0680000000011</v>
      </c>
      <c r="K152" s="72">
        <f>+'COMUNAS - HOME DELIVERY 2026'!K152*1.1</f>
        <v>8819.3688000000002</v>
      </c>
      <c r="L152" s="72">
        <f>+'COMUNAS - HOME DELIVERY 2026'!L152*1.1</f>
        <v>9911.4312000000009</v>
      </c>
      <c r="M152" s="73">
        <f>+'COMUNAS - HOME DELIVERY 2026'!M152*1.1</f>
        <v>505.16400000000004</v>
      </c>
      <c r="N152" s="74">
        <f>+'COMUNAS - HOME DELIVERY 2026'!N152*1.1</f>
        <v>424.56480000000005</v>
      </c>
      <c r="O152" s="60"/>
      <c r="P152" s="2"/>
      <c r="Q152" s="2"/>
      <c r="R152" s="2"/>
      <c r="S152" s="2"/>
      <c r="T152" s="2"/>
      <c r="U152" s="2"/>
      <c r="V152" s="2"/>
      <c r="W152" s="2"/>
      <c r="X152" s="2"/>
      <c r="Y152" s="38"/>
    </row>
    <row r="153" spans="2:25" ht="15.75" customHeight="1" x14ac:dyDescent="0.3">
      <c r="B153" s="2"/>
      <c r="C153" s="53" t="s">
        <v>365</v>
      </c>
      <c r="D153" s="54" t="s">
        <v>366</v>
      </c>
      <c r="E153" s="55" t="s">
        <v>38</v>
      </c>
      <c r="F153" s="56">
        <f>+'COMUNAS - HOME DELIVERY 2026'!F153*1.1</f>
        <v>4338.7344000000003</v>
      </c>
      <c r="G153" s="57">
        <f>+'COMUNAS - HOME DELIVERY 2026'!G153*1.1</f>
        <v>4641.8328000000001</v>
      </c>
      <c r="H153" s="57">
        <f>+'COMUNAS - HOME DELIVERY 2026'!H153*1.1</f>
        <v>5329.7640000000001</v>
      </c>
      <c r="I153" s="57">
        <f>+'COMUNAS - HOME DELIVERY 2026'!I153*1.1</f>
        <v>6120.9984000000004</v>
      </c>
      <c r="J153" s="57">
        <f>+'COMUNAS - HOME DELIVERY 2026'!J153*1.1</f>
        <v>7669.4112000000005</v>
      </c>
      <c r="K153" s="57">
        <f>+'COMUNAS - HOME DELIVERY 2026'!K153*1.1</f>
        <v>9295.017600000001</v>
      </c>
      <c r="L153" s="57">
        <f>+'COMUNAS - HOME DELIVERY 2026'!L153*1.1</f>
        <v>10409.784000000001</v>
      </c>
      <c r="M153" s="58">
        <f>+'COMUNAS - HOME DELIVERY 2026'!M153*1.1</f>
        <v>515.38080000000002</v>
      </c>
      <c r="N153" s="59">
        <f>+'COMUNAS - HOME DELIVERY 2026'!N153*1.1</f>
        <v>438.18720000000008</v>
      </c>
      <c r="O153" s="60"/>
      <c r="P153" s="2"/>
      <c r="Q153" s="2"/>
      <c r="R153" s="2"/>
      <c r="S153" s="2"/>
      <c r="T153" s="2"/>
      <c r="U153" s="2"/>
      <c r="V153" s="2"/>
      <c r="W153" s="2"/>
      <c r="X153" s="2"/>
      <c r="Y153" s="38"/>
    </row>
    <row r="154" spans="2:25" ht="15.75" customHeight="1" x14ac:dyDescent="0.3">
      <c r="B154" s="2"/>
      <c r="C154" s="61" t="s">
        <v>365</v>
      </c>
      <c r="D154" s="62" t="s">
        <v>367</v>
      </c>
      <c r="E154" s="63" t="s">
        <v>40</v>
      </c>
      <c r="F154" s="64">
        <f>+'COMUNAS - HOME DELIVERY 2026'!F154*1.1</f>
        <v>4338.7344000000003</v>
      </c>
      <c r="G154" s="65">
        <f>+'COMUNAS - HOME DELIVERY 2026'!G154*1.1</f>
        <v>4641.8328000000001</v>
      </c>
      <c r="H154" s="65">
        <f>+'COMUNAS - HOME DELIVERY 2026'!H154*1.1</f>
        <v>5329.7640000000001</v>
      </c>
      <c r="I154" s="65">
        <f>+'COMUNAS - HOME DELIVERY 2026'!I154*1.1</f>
        <v>6120.9984000000004</v>
      </c>
      <c r="J154" s="65">
        <f>+'COMUNAS - HOME DELIVERY 2026'!J154*1.1</f>
        <v>7669.4112000000005</v>
      </c>
      <c r="K154" s="65">
        <f>+'COMUNAS - HOME DELIVERY 2026'!K154*1.1</f>
        <v>9295.017600000001</v>
      </c>
      <c r="L154" s="65">
        <f>+'COMUNAS - HOME DELIVERY 2026'!L154*1.1</f>
        <v>10409.784000000001</v>
      </c>
      <c r="M154" s="66">
        <f>+'COMUNAS - HOME DELIVERY 2026'!M154*1.1</f>
        <v>515.38080000000002</v>
      </c>
      <c r="N154" s="67">
        <f>+'COMUNAS - HOME DELIVERY 2026'!N154*1.1</f>
        <v>438.18720000000008</v>
      </c>
      <c r="O154" s="60"/>
      <c r="P154" s="2"/>
      <c r="Q154" s="2"/>
      <c r="R154" s="2"/>
      <c r="S154" s="2"/>
      <c r="T154" s="2"/>
      <c r="U154" s="2"/>
      <c r="V154" s="2"/>
      <c r="W154" s="2"/>
      <c r="X154" s="2"/>
      <c r="Y154" s="38"/>
    </row>
    <row r="155" spans="2:25" ht="15.75" customHeight="1" x14ac:dyDescent="0.3">
      <c r="B155" s="2"/>
      <c r="C155" s="61" t="s">
        <v>365</v>
      </c>
      <c r="D155" s="62" t="s">
        <v>368</v>
      </c>
      <c r="E155" s="63" t="s">
        <v>369</v>
      </c>
      <c r="F155" s="64">
        <f>+'COMUNAS - HOME DELIVERY 2026'!F155*1.1</f>
        <v>6508.1016000000009</v>
      </c>
      <c r="G155" s="65">
        <f>+'COMUNAS - HOME DELIVERY 2026'!G155*1.1</f>
        <v>6962.7492000000002</v>
      </c>
      <c r="H155" s="65">
        <f>+'COMUNAS - HOME DELIVERY 2026'!H155*1.1</f>
        <v>7994.6460000000015</v>
      </c>
      <c r="I155" s="65">
        <f>+'COMUNAS - HOME DELIVERY 2026'!I155*1.1</f>
        <v>9181.4976000000024</v>
      </c>
      <c r="J155" s="65">
        <f>+'COMUNAS - HOME DELIVERY 2026'!J155*1.1</f>
        <v>11504.116800000002</v>
      </c>
      <c r="K155" s="65">
        <f>+'COMUNAS - HOME DELIVERY 2026'!K155*1.1</f>
        <v>13942.526400000002</v>
      </c>
      <c r="L155" s="65">
        <f>+'COMUNAS - HOME DELIVERY 2026'!L155*1.1</f>
        <v>15614.676000000001</v>
      </c>
      <c r="M155" s="66">
        <f>+'COMUNAS - HOME DELIVERY 2026'!M155*1.1</f>
        <v>773.07120000000009</v>
      </c>
      <c r="N155" s="67">
        <f>+'COMUNAS - HOME DELIVERY 2026'!N155*1.1</f>
        <v>657.28080000000011</v>
      </c>
      <c r="O155" s="60"/>
      <c r="P155" s="2"/>
      <c r="Q155" s="2"/>
      <c r="R155" s="2"/>
      <c r="S155" s="2"/>
      <c r="T155" s="2"/>
      <c r="U155" s="2"/>
      <c r="V155" s="2"/>
      <c r="W155" s="2"/>
      <c r="X155" s="2"/>
      <c r="Y155" s="38"/>
    </row>
    <row r="156" spans="2:25" ht="15.75" customHeight="1" x14ac:dyDescent="0.3">
      <c r="B156" s="2"/>
      <c r="C156" s="61" t="s">
        <v>365</v>
      </c>
      <c r="D156" s="62" t="s">
        <v>370</v>
      </c>
      <c r="E156" s="63" t="s">
        <v>371</v>
      </c>
      <c r="F156" s="64">
        <f>+'COMUNAS - HOME DELIVERY 2026'!F156*1.1</f>
        <v>6508.1016000000009</v>
      </c>
      <c r="G156" s="65">
        <f>+'COMUNAS - HOME DELIVERY 2026'!G156*1.1</f>
        <v>6962.7492000000002</v>
      </c>
      <c r="H156" s="65">
        <f>+'COMUNAS - HOME DELIVERY 2026'!H156*1.1</f>
        <v>7994.6460000000015</v>
      </c>
      <c r="I156" s="65">
        <f>+'COMUNAS - HOME DELIVERY 2026'!I156*1.1</f>
        <v>9181.4976000000024</v>
      </c>
      <c r="J156" s="65">
        <f>+'COMUNAS - HOME DELIVERY 2026'!J156*1.1</f>
        <v>11504.116800000002</v>
      </c>
      <c r="K156" s="65">
        <f>+'COMUNAS - HOME DELIVERY 2026'!K156*1.1</f>
        <v>13942.526400000002</v>
      </c>
      <c r="L156" s="65">
        <f>+'COMUNAS - HOME DELIVERY 2026'!L156*1.1</f>
        <v>15614.676000000001</v>
      </c>
      <c r="M156" s="66">
        <f>+'COMUNAS - HOME DELIVERY 2026'!M156*1.1</f>
        <v>773.07120000000009</v>
      </c>
      <c r="N156" s="67">
        <f>+'COMUNAS - HOME DELIVERY 2026'!N156*1.1</f>
        <v>657.28080000000011</v>
      </c>
      <c r="O156" s="60"/>
      <c r="P156" s="2"/>
      <c r="Q156" s="2"/>
      <c r="R156" s="2"/>
      <c r="S156" s="2"/>
      <c r="T156" s="2"/>
      <c r="U156" s="2"/>
      <c r="V156" s="2"/>
      <c r="W156" s="2"/>
      <c r="X156" s="2"/>
      <c r="Y156" s="38"/>
    </row>
    <row r="157" spans="2:25" ht="15.75" customHeight="1" x14ac:dyDescent="0.3">
      <c r="B157" s="2"/>
      <c r="C157" s="61" t="s">
        <v>365</v>
      </c>
      <c r="D157" s="62" t="s">
        <v>372</v>
      </c>
      <c r="E157" s="63" t="s">
        <v>373</v>
      </c>
      <c r="F157" s="64">
        <f>+'COMUNAS - HOME DELIVERY 2026'!F157*1.1</f>
        <v>4338.7344000000003</v>
      </c>
      <c r="G157" s="65">
        <f>+'COMUNAS - HOME DELIVERY 2026'!G157*1.1</f>
        <v>4641.8328000000001</v>
      </c>
      <c r="H157" s="65">
        <f>+'COMUNAS - HOME DELIVERY 2026'!H157*1.1</f>
        <v>5329.7640000000001</v>
      </c>
      <c r="I157" s="65">
        <f>+'COMUNAS - HOME DELIVERY 2026'!I157*1.1</f>
        <v>6120.9984000000004</v>
      </c>
      <c r="J157" s="65">
        <f>+'COMUNAS - HOME DELIVERY 2026'!J157*1.1</f>
        <v>7669.4112000000005</v>
      </c>
      <c r="K157" s="65">
        <f>+'COMUNAS - HOME DELIVERY 2026'!K157*1.1</f>
        <v>9295.017600000001</v>
      </c>
      <c r="L157" s="65">
        <f>+'COMUNAS - HOME DELIVERY 2026'!L157*1.1</f>
        <v>10409.784000000001</v>
      </c>
      <c r="M157" s="66">
        <f>+'COMUNAS - HOME DELIVERY 2026'!M157*1.1</f>
        <v>515.38080000000002</v>
      </c>
      <c r="N157" s="67">
        <f>+'COMUNAS - HOME DELIVERY 2026'!N157*1.1</f>
        <v>438.18720000000008</v>
      </c>
      <c r="O157" s="60"/>
      <c r="P157" s="2"/>
      <c r="Q157" s="2"/>
      <c r="R157" s="2"/>
      <c r="S157" s="2"/>
      <c r="T157" s="2"/>
      <c r="U157" s="2"/>
      <c r="V157" s="2"/>
      <c r="W157" s="2"/>
      <c r="X157" s="2"/>
      <c r="Y157" s="38"/>
    </row>
    <row r="158" spans="2:25" ht="15.75" customHeight="1" x14ac:dyDescent="0.3">
      <c r="B158" s="2"/>
      <c r="C158" s="61" t="s">
        <v>365</v>
      </c>
      <c r="D158" s="62" t="s">
        <v>374</v>
      </c>
      <c r="E158" s="63" t="s">
        <v>375</v>
      </c>
      <c r="F158" s="64">
        <f>+'COMUNAS - HOME DELIVERY 2026'!F158*1.1</f>
        <v>4338.7344000000003</v>
      </c>
      <c r="G158" s="65">
        <f>+'COMUNAS - HOME DELIVERY 2026'!G158*1.1</f>
        <v>4641.8328000000001</v>
      </c>
      <c r="H158" s="65">
        <f>+'COMUNAS - HOME DELIVERY 2026'!H158*1.1</f>
        <v>5329.7640000000001</v>
      </c>
      <c r="I158" s="65">
        <f>+'COMUNAS - HOME DELIVERY 2026'!I158*1.1</f>
        <v>6120.9984000000004</v>
      </c>
      <c r="J158" s="65">
        <f>+'COMUNAS - HOME DELIVERY 2026'!J158*1.1</f>
        <v>7669.4112000000005</v>
      </c>
      <c r="K158" s="65">
        <f>+'COMUNAS - HOME DELIVERY 2026'!K158*1.1</f>
        <v>9295.017600000001</v>
      </c>
      <c r="L158" s="65">
        <f>+'COMUNAS - HOME DELIVERY 2026'!L158*1.1</f>
        <v>10409.784000000001</v>
      </c>
      <c r="M158" s="66">
        <f>+'COMUNAS - HOME DELIVERY 2026'!M158*1.1</f>
        <v>515.38080000000002</v>
      </c>
      <c r="N158" s="67">
        <f>+'COMUNAS - HOME DELIVERY 2026'!N158*1.1</f>
        <v>438.18720000000008</v>
      </c>
      <c r="O158" s="60"/>
      <c r="P158" s="2"/>
      <c r="Q158" s="2"/>
      <c r="R158" s="2"/>
      <c r="S158" s="2"/>
      <c r="T158" s="2"/>
      <c r="U158" s="2"/>
      <c r="V158" s="2"/>
      <c r="W158" s="2"/>
      <c r="X158" s="2"/>
      <c r="Y158" s="38"/>
    </row>
    <row r="159" spans="2:25" ht="15.75" customHeight="1" x14ac:dyDescent="0.3">
      <c r="B159" s="2"/>
      <c r="C159" s="61" t="s">
        <v>365</v>
      </c>
      <c r="D159" s="62" t="s">
        <v>376</v>
      </c>
      <c r="E159" s="63" t="s">
        <v>377</v>
      </c>
      <c r="F159" s="64">
        <f>+'COMUNAS - HOME DELIVERY 2026'!F159*1.1</f>
        <v>6508.1016000000009</v>
      </c>
      <c r="G159" s="65">
        <f>+'COMUNAS - HOME DELIVERY 2026'!G159*1.1</f>
        <v>6962.7492000000002</v>
      </c>
      <c r="H159" s="65">
        <f>+'COMUNAS - HOME DELIVERY 2026'!H159*1.1</f>
        <v>7994.6460000000015</v>
      </c>
      <c r="I159" s="65">
        <f>+'COMUNAS - HOME DELIVERY 2026'!I159*1.1</f>
        <v>9181.4976000000024</v>
      </c>
      <c r="J159" s="65">
        <f>+'COMUNAS - HOME DELIVERY 2026'!J159*1.1</f>
        <v>11504.116800000002</v>
      </c>
      <c r="K159" s="65">
        <f>+'COMUNAS - HOME DELIVERY 2026'!K159*1.1</f>
        <v>13942.526400000002</v>
      </c>
      <c r="L159" s="65">
        <f>+'COMUNAS - HOME DELIVERY 2026'!L159*1.1</f>
        <v>15614.676000000001</v>
      </c>
      <c r="M159" s="66">
        <f>+'COMUNAS - HOME DELIVERY 2026'!M159*1.1</f>
        <v>773.07120000000009</v>
      </c>
      <c r="N159" s="67">
        <f>+'COMUNAS - HOME DELIVERY 2026'!N159*1.1</f>
        <v>657.28080000000011</v>
      </c>
      <c r="O159" s="60"/>
      <c r="P159" s="2"/>
      <c r="Q159" s="2"/>
      <c r="R159" s="2"/>
      <c r="S159" s="2"/>
      <c r="T159" s="2"/>
      <c r="U159" s="2"/>
      <c r="V159" s="2"/>
      <c r="W159" s="2"/>
      <c r="X159" s="2"/>
      <c r="Y159" s="38"/>
    </row>
    <row r="160" spans="2:25" ht="15.75" customHeight="1" x14ac:dyDescent="0.3">
      <c r="B160" s="2"/>
      <c r="C160" s="61" t="s">
        <v>365</v>
      </c>
      <c r="D160" s="62" t="s">
        <v>378</v>
      </c>
      <c r="E160" s="63" t="s">
        <v>379</v>
      </c>
      <c r="F160" s="64">
        <f>+'COMUNAS - HOME DELIVERY 2026'!F160*1.1</f>
        <v>6508.1016000000009</v>
      </c>
      <c r="G160" s="65">
        <f>+'COMUNAS - HOME DELIVERY 2026'!G160*1.1</f>
        <v>6962.7492000000002</v>
      </c>
      <c r="H160" s="65">
        <f>+'COMUNAS - HOME DELIVERY 2026'!H160*1.1</f>
        <v>7994.6460000000015</v>
      </c>
      <c r="I160" s="65">
        <f>+'COMUNAS - HOME DELIVERY 2026'!I160*1.1</f>
        <v>9181.4976000000024</v>
      </c>
      <c r="J160" s="65">
        <f>+'COMUNAS - HOME DELIVERY 2026'!J160*1.1</f>
        <v>11504.116800000002</v>
      </c>
      <c r="K160" s="65">
        <f>+'COMUNAS - HOME DELIVERY 2026'!K160*1.1</f>
        <v>13942.526400000002</v>
      </c>
      <c r="L160" s="65">
        <f>+'COMUNAS - HOME DELIVERY 2026'!L160*1.1</f>
        <v>15614.676000000001</v>
      </c>
      <c r="M160" s="66">
        <f>+'COMUNAS - HOME DELIVERY 2026'!M160*1.1</f>
        <v>773.07120000000009</v>
      </c>
      <c r="N160" s="67">
        <f>+'COMUNAS - HOME DELIVERY 2026'!N160*1.1</f>
        <v>657.28080000000011</v>
      </c>
      <c r="O160" s="60"/>
      <c r="P160" s="2"/>
      <c r="Q160" s="2"/>
      <c r="R160" s="2"/>
      <c r="S160" s="2"/>
      <c r="T160" s="2"/>
      <c r="U160" s="2"/>
      <c r="V160" s="2"/>
      <c r="W160" s="2"/>
      <c r="X160" s="2"/>
      <c r="Y160" s="38"/>
    </row>
    <row r="161" spans="2:25" ht="15.75" customHeight="1" x14ac:dyDescent="0.3">
      <c r="B161" s="2"/>
      <c r="C161" s="61" t="s">
        <v>365</v>
      </c>
      <c r="D161" s="62" t="s">
        <v>380</v>
      </c>
      <c r="E161" s="63" t="s">
        <v>381</v>
      </c>
      <c r="F161" s="64">
        <f>+'COMUNAS - HOME DELIVERY 2026'!F161*1.1</f>
        <v>6508.1016000000009</v>
      </c>
      <c r="G161" s="65">
        <f>+'COMUNAS - HOME DELIVERY 2026'!G161*1.1</f>
        <v>6962.7492000000002</v>
      </c>
      <c r="H161" s="65">
        <f>+'COMUNAS - HOME DELIVERY 2026'!H161*1.1</f>
        <v>7994.6460000000015</v>
      </c>
      <c r="I161" s="65">
        <f>+'COMUNAS - HOME DELIVERY 2026'!I161*1.1</f>
        <v>9181.4976000000024</v>
      </c>
      <c r="J161" s="65">
        <f>+'COMUNAS - HOME DELIVERY 2026'!J161*1.1</f>
        <v>11504.116800000002</v>
      </c>
      <c r="K161" s="65">
        <f>+'COMUNAS - HOME DELIVERY 2026'!K161*1.1</f>
        <v>13942.526400000002</v>
      </c>
      <c r="L161" s="65">
        <f>+'COMUNAS - HOME DELIVERY 2026'!L161*1.1</f>
        <v>15614.676000000001</v>
      </c>
      <c r="M161" s="66">
        <f>+'COMUNAS - HOME DELIVERY 2026'!M161*1.1</f>
        <v>773.07120000000009</v>
      </c>
      <c r="N161" s="67">
        <f>+'COMUNAS - HOME DELIVERY 2026'!N161*1.1</f>
        <v>657.28080000000011</v>
      </c>
      <c r="O161" s="60"/>
      <c r="P161" s="2"/>
      <c r="Q161" s="2"/>
      <c r="R161" s="2"/>
      <c r="S161" s="2"/>
      <c r="T161" s="2"/>
      <c r="U161" s="2"/>
      <c r="V161" s="2"/>
      <c r="W161" s="2"/>
      <c r="X161" s="2"/>
      <c r="Y161" s="38"/>
    </row>
    <row r="162" spans="2:25" ht="15.75" customHeight="1" x14ac:dyDescent="0.3">
      <c r="B162" s="2"/>
      <c r="C162" s="61" t="s">
        <v>365</v>
      </c>
      <c r="D162" s="62" t="s">
        <v>382</v>
      </c>
      <c r="E162" s="63" t="s">
        <v>383</v>
      </c>
      <c r="F162" s="64">
        <f>+'COMUNAS - HOME DELIVERY 2026'!F162*1.1</f>
        <v>6508.1016000000009</v>
      </c>
      <c r="G162" s="65">
        <f>+'COMUNAS - HOME DELIVERY 2026'!G162*1.1</f>
        <v>6962.7492000000002</v>
      </c>
      <c r="H162" s="65">
        <f>+'COMUNAS - HOME DELIVERY 2026'!H162*1.1</f>
        <v>7994.6460000000015</v>
      </c>
      <c r="I162" s="65">
        <f>+'COMUNAS - HOME DELIVERY 2026'!I162*1.1</f>
        <v>9181.4976000000024</v>
      </c>
      <c r="J162" s="65">
        <f>+'COMUNAS - HOME DELIVERY 2026'!J162*1.1</f>
        <v>11504.116800000002</v>
      </c>
      <c r="K162" s="65">
        <f>+'COMUNAS - HOME DELIVERY 2026'!K162*1.1</f>
        <v>13942.526400000002</v>
      </c>
      <c r="L162" s="65">
        <f>+'COMUNAS - HOME DELIVERY 2026'!L162*1.1</f>
        <v>15614.676000000001</v>
      </c>
      <c r="M162" s="66">
        <f>+'COMUNAS - HOME DELIVERY 2026'!M162*1.1</f>
        <v>773.07120000000009</v>
      </c>
      <c r="N162" s="67">
        <f>+'COMUNAS - HOME DELIVERY 2026'!N162*1.1</f>
        <v>657.28080000000011</v>
      </c>
      <c r="O162" s="60"/>
      <c r="P162" s="2"/>
      <c r="Q162" s="2"/>
      <c r="R162" s="2"/>
      <c r="S162" s="2"/>
      <c r="T162" s="2"/>
      <c r="U162" s="2"/>
      <c r="V162" s="2"/>
      <c r="W162" s="2"/>
      <c r="X162" s="2"/>
      <c r="Y162" s="38"/>
    </row>
    <row r="163" spans="2:25" ht="15.75" customHeight="1" x14ac:dyDescent="0.3">
      <c r="B163" s="2"/>
      <c r="C163" s="61" t="s">
        <v>365</v>
      </c>
      <c r="D163" s="62" t="s">
        <v>384</v>
      </c>
      <c r="E163" s="63" t="s">
        <v>385</v>
      </c>
      <c r="F163" s="64">
        <f>+'COMUNAS - HOME DELIVERY 2026'!F163*1.1</f>
        <v>4338.7344000000003</v>
      </c>
      <c r="G163" s="65">
        <f>+'COMUNAS - HOME DELIVERY 2026'!G163*1.1</f>
        <v>4641.8328000000001</v>
      </c>
      <c r="H163" s="65">
        <f>+'COMUNAS - HOME DELIVERY 2026'!H163*1.1</f>
        <v>5329.7640000000001</v>
      </c>
      <c r="I163" s="65">
        <f>+'COMUNAS - HOME DELIVERY 2026'!I163*1.1</f>
        <v>6120.9984000000004</v>
      </c>
      <c r="J163" s="65">
        <f>+'COMUNAS - HOME DELIVERY 2026'!J163*1.1</f>
        <v>7669.4112000000005</v>
      </c>
      <c r="K163" s="65">
        <f>+'COMUNAS - HOME DELIVERY 2026'!K163*1.1</f>
        <v>9295.017600000001</v>
      </c>
      <c r="L163" s="65">
        <f>+'COMUNAS - HOME DELIVERY 2026'!L163*1.1</f>
        <v>10409.784000000001</v>
      </c>
      <c r="M163" s="66">
        <f>+'COMUNAS - HOME DELIVERY 2026'!M163*1.1</f>
        <v>515.38080000000002</v>
      </c>
      <c r="N163" s="67">
        <f>+'COMUNAS - HOME DELIVERY 2026'!N163*1.1</f>
        <v>438.18720000000008</v>
      </c>
      <c r="O163" s="60"/>
      <c r="P163" s="2"/>
      <c r="Q163" s="2"/>
      <c r="R163" s="2"/>
      <c r="S163" s="2"/>
      <c r="T163" s="2"/>
      <c r="U163" s="2"/>
      <c r="V163" s="2"/>
      <c r="W163" s="2"/>
      <c r="X163" s="2"/>
      <c r="Y163" s="38"/>
    </row>
    <row r="164" spans="2:25" ht="15.75" customHeight="1" x14ac:dyDescent="0.3">
      <c r="B164" s="2"/>
      <c r="C164" s="61" t="s">
        <v>365</v>
      </c>
      <c r="D164" s="62" t="s">
        <v>386</v>
      </c>
      <c r="E164" s="63" t="s">
        <v>387</v>
      </c>
      <c r="F164" s="64">
        <f>+'COMUNAS - HOME DELIVERY 2026'!F164*1.1</f>
        <v>4338.7344000000003</v>
      </c>
      <c r="G164" s="65">
        <f>+'COMUNAS - HOME DELIVERY 2026'!G164*1.1</f>
        <v>4641.8328000000001</v>
      </c>
      <c r="H164" s="65">
        <f>+'COMUNAS - HOME DELIVERY 2026'!H164*1.1</f>
        <v>5329.7640000000001</v>
      </c>
      <c r="I164" s="65">
        <f>+'COMUNAS - HOME DELIVERY 2026'!I164*1.1</f>
        <v>6120.9984000000004</v>
      </c>
      <c r="J164" s="65">
        <f>+'COMUNAS - HOME DELIVERY 2026'!J164*1.1</f>
        <v>7669.4112000000005</v>
      </c>
      <c r="K164" s="65">
        <f>+'COMUNAS - HOME DELIVERY 2026'!K164*1.1</f>
        <v>9295.017600000001</v>
      </c>
      <c r="L164" s="65">
        <f>+'COMUNAS - HOME DELIVERY 2026'!L164*1.1</f>
        <v>10409.784000000001</v>
      </c>
      <c r="M164" s="66">
        <f>+'COMUNAS - HOME DELIVERY 2026'!M164*1.1</f>
        <v>515.38080000000002</v>
      </c>
      <c r="N164" s="67">
        <f>+'COMUNAS - HOME DELIVERY 2026'!N164*1.1</f>
        <v>438.18720000000008</v>
      </c>
      <c r="O164" s="60"/>
      <c r="P164" s="2"/>
      <c r="Q164" s="2"/>
      <c r="R164" s="2"/>
      <c r="S164" s="2"/>
      <c r="T164" s="2"/>
      <c r="U164" s="2"/>
      <c r="V164" s="2"/>
      <c r="W164" s="2"/>
      <c r="X164" s="2"/>
      <c r="Y164" s="38"/>
    </row>
    <row r="165" spans="2:25" ht="15.75" customHeight="1" x14ac:dyDescent="0.3">
      <c r="B165" s="2"/>
      <c r="C165" s="61" t="s">
        <v>365</v>
      </c>
      <c r="D165" s="62" t="s">
        <v>388</v>
      </c>
      <c r="E165" s="63" t="s">
        <v>389</v>
      </c>
      <c r="F165" s="64">
        <f>+'COMUNAS - HOME DELIVERY 2026'!F165*1.1</f>
        <v>4338.7344000000003</v>
      </c>
      <c r="G165" s="65">
        <f>+'COMUNAS - HOME DELIVERY 2026'!G165*1.1</f>
        <v>4641.8328000000001</v>
      </c>
      <c r="H165" s="65">
        <f>+'COMUNAS - HOME DELIVERY 2026'!H165*1.1</f>
        <v>5329.7640000000001</v>
      </c>
      <c r="I165" s="65">
        <f>+'COMUNAS - HOME DELIVERY 2026'!I165*1.1</f>
        <v>6120.9984000000004</v>
      </c>
      <c r="J165" s="65">
        <f>+'COMUNAS - HOME DELIVERY 2026'!J165*1.1</f>
        <v>7669.4112000000005</v>
      </c>
      <c r="K165" s="65">
        <f>+'COMUNAS - HOME DELIVERY 2026'!K165*1.1</f>
        <v>9295.017600000001</v>
      </c>
      <c r="L165" s="65">
        <f>+'COMUNAS - HOME DELIVERY 2026'!L165*1.1</f>
        <v>10409.784000000001</v>
      </c>
      <c r="M165" s="66">
        <f>+'COMUNAS - HOME DELIVERY 2026'!M165*1.1</f>
        <v>515.38080000000002</v>
      </c>
      <c r="N165" s="67">
        <f>+'COMUNAS - HOME DELIVERY 2026'!N165*1.1</f>
        <v>438.18720000000008</v>
      </c>
      <c r="O165" s="60"/>
      <c r="P165" s="2"/>
      <c r="Q165" s="2"/>
      <c r="R165" s="2"/>
      <c r="S165" s="2"/>
      <c r="T165" s="2"/>
      <c r="U165" s="2"/>
      <c r="V165" s="2"/>
      <c r="W165" s="2"/>
      <c r="X165" s="2"/>
      <c r="Y165" s="38"/>
    </row>
    <row r="166" spans="2:25" ht="15.75" customHeight="1" x14ac:dyDescent="0.3">
      <c r="B166" s="2"/>
      <c r="C166" s="61" t="s">
        <v>365</v>
      </c>
      <c r="D166" s="62" t="s">
        <v>390</v>
      </c>
      <c r="E166" s="63" t="s">
        <v>391</v>
      </c>
      <c r="F166" s="64">
        <f>+'COMUNAS - HOME DELIVERY 2026'!F166*1.1</f>
        <v>4338.7344000000003</v>
      </c>
      <c r="G166" s="65">
        <f>+'COMUNAS - HOME DELIVERY 2026'!G166*1.1</f>
        <v>4641.8328000000001</v>
      </c>
      <c r="H166" s="65">
        <f>+'COMUNAS - HOME DELIVERY 2026'!H166*1.1</f>
        <v>5329.7640000000001</v>
      </c>
      <c r="I166" s="65">
        <f>+'COMUNAS - HOME DELIVERY 2026'!I166*1.1</f>
        <v>6120.9984000000004</v>
      </c>
      <c r="J166" s="65">
        <f>+'COMUNAS - HOME DELIVERY 2026'!J166*1.1</f>
        <v>7669.4112000000005</v>
      </c>
      <c r="K166" s="65">
        <f>+'COMUNAS - HOME DELIVERY 2026'!K166*1.1</f>
        <v>9295.017600000001</v>
      </c>
      <c r="L166" s="65">
        <f>+'COMUNAS - HOME DELIVERY 2026'!L166*1.1</f>
        <v>10409.784000000001</v>
      </c>
      <c r="M166" s="66">
        <f>+'COMUNAS - HOME DELIVERY 2026'!M166*1.1</f>
        <v>515.38080000000002</v>
      </c>
      <c r="N166" s="67">
        <f>+'COMUNAS - HOME DELIVERY 2026'!N166*1.1</f>
        <v>438.18720000000008</v>
      </c>
      <c r="O166" s="60"/>
      <c r="P166" s="2"/>
      <c r="Q166" s="2"/>
      <c r="R166" s="2"/>
      <c r="S166" s="2"/>
      <c r="T166" s="2"/>
      <c r="U166" s="2"/>
      <c r="V166" s="2"/>
      <c r="W166" s="2"/>
      <c r="X166" s="2"/>
      <c r="Y166" s="38"/>
    </row>
    <row r="167" spans="2:25" ht="15.75" customHeight="1" x14ac:dyDescent="0.3">
      <c r="B167" s="2"/>
      <c r="C167" s="61" t="s">
        <v>365</v>
      </c>
      <c r="D167" s="62" t="s">
        <v>392</v>
      </c>
      <c r="E167" s="63" t="s">
        <v>393</v>
      </c>
      <c r="F167" s="64">
        <f>+'COMUNAS - HOME DELIVERY 2026'!F167*1.1</f>
        <v>6508.1016000000009</v>
      </c>
      <c r="G167" s="65">
        <f>+'COMUNAS - HOME DELIVERY 2026'!G167*1.1</f>
        <v>6962.7492000000002</v>
      </c>
      <c r="H167" s="65">
        <f>+'COMUNAS - HOME DELIVERY 2026'!H167*1.1</f>
        <v>7994.6460000000015</v>
      </c>
      <c r="I167" s="65">
        <f>+'COMUNAS - HOME DELIVERY 2026'!I167*1.1</f>
        <v>9181.4976000000024</v>
      </c>
      <c r="J167" s="65">
        <f>+'COMUNAS - HOME DELIVERY 2026'!J167*1.1</f>
        <v>11504.116800000002</v>
      </c>
      <c r="K167" s="65">
        <f>+'COMUNAS - HOME DELIVERY 2026'!K167*1.1</f>
        <v>13942.526400000002</v>
      </c>
      <c r="L167" s="65">
        <f>+'COMUNAS - HOME DELIVERY 2026'!L167*1.1</f>
        <v>15614.676000000001</v>
      </c>
      <c r="M167" s="66">
        <f>+'COMUNAS - HOME DELIVERY 2026'!M167*1.1</f>
        <v>773.07120000000009</v>
      </c>
      <c r="N167" s="67">
        <f>+'COMUNAS - HOME DELIVERY 2026'!N167*1.1</f>
        <v>657.28080000000011</v>
      </c>
      <c r="O167" s="60"/>
      <c r="P167" s="2"/>
      <c r="Q167" s="2"/>
      <c r="R167" s="2"/>
      <c r="S167" s="2"/>
      <c r="T167" s="2"/>
      <c r="U167" s="2"/>
      <c r="V167" s="2"/>
      <c r="W167" s="2"/>
      <c r="X167" s="2"/>
      <c r="Y167" s="38"/>
    </row>
    <row r="168" spans="2:25" ht="15.75" customHeight="1" x14ac:dyDescent="0.3">
      <c r="B168" s="2"/>
      <c r="C168" s="61" t="s">
        <v>365</v>
      </c>
      <c r="D168" s="62" t="s">
        <v>394</v>
      </c>
      <c r="E168" s="63" t="s">
        <v>395</v>
      </c>
      <c r="F168" s="64">
        <f>+'COMUNAS - HOME DELIVERY 2026'!F168*1.1</f>
        <v>4338.7344000000003</v>
      </c>
      <c r="G168" s="65">
        <f>+'COMUNAS - HOME DELIVERY 2026'!G168*1.1</f>
        <v>4641.8328000000001</v>
      </c>
      <c r="H168" s="65">
        <f>+'COMUNAS - HOME DELIVERY 2026'!H168*1.1</f>
        <v>5329.7640000000001</v>
      </c>
      <c r="I168" s="65">
        <f>+'COMUNAS - HOME DELIVERY 2026'!I168*1.1</f>
        <v>6120.9984000000004</v>
      </c>
      <c r="J168" s="65">
        <f>+'COMUNAS - HOME DELIVERY 2026'!J168*1.1</f>
        <v>7669.4112000000005</v>
      </c>
      <c r="K168" s="65">
        <f>+'COMUNAS - HOME DELIVERY 2026'!K168*1.1</f>
        <v>9295.017600000001</v>
      </c>
      <c r="L168" s="65">
        <f>+'COMUNAS - HOME DELIVERY 2026'!L168*1.1</f>
        <v>10409.784000000001</v>
      </c>
      <c r="M168" s="66">
        <f>+'COMUNAS - HOME DELIVERY 2026'!M168*1.1</f>
        <v>515.38080000000002</v>
      </c>
      <c r="N168" s="67">
        <f>+'COMUNAS - HOME DELIVERY 2026'!N168*1.1</f>
        <v>438.18720000000008</v>
      </c>
      <c r="O168" s="60"/>
      <c r="P168" s="2"/>
      <c r="Q168" s="2"/>
      <c r="R168" s="2"/>
      <c r="S168" s="2"/>
      <c r="T168" s="2"/>
      <c r="U168" s="2"/>
      <c r="V168" s="2"/>
      <c r="W168" s="2"/>
      <c r="X168" s="2"/>
      <c r="Y168" s="38"/>
    </row>
    <row r="169" spans="2:25" ht="15.75" customHeight="1" x14ac:dyDescent="0.3">
      <c r="B169" s="2"/>
      <c r="C169" s="61" t="s">
        <v>365</v>
      </c>
      <c r="D169" s="62" t="s">
        <v>396</v>
      </c>
      <c r="E169" s="63" t="s">
        <v>397</v>
      </c>
      <c r="F169" s="64">
        <f>+'COMUNAS - HOME DELIVERY 2026'!F169*1.1</f>
        <v>6508.1016000000009</v>
      </c>
      <c r="G169" s="65">
        <f>+'COMUNAS - HOME DELIVERY 2026'!G169*1.1</f>
        <v>6962.7492000000002</v>
      </c>
      <c r="H169" s="65">
        <f>+'COMUNAS - HOME DELIVERY 2026'!H169*1.1</f>
        <v>7994.6460000000015</v>
      </c>
      <c r="I169" s="65">
        <f>+'COMUNAS - HOME DELIVERY 2026'!I169*1.1</f>
        <v>9181.4976000000024</v>
      </c>
      <c r="J169" s="65">
        <f>+'COMUNAS - HOME DELIVERY 2026'!J169*1.1</f>
        <v>11504.116800000002</v>
      </c>
      <c r="K169" s="65">
        <f>+'COMUNAS - HOME DELIVERY 2026'!K169*1.1</f>
        <v>13942.526400000002</v>
      </c>
      <c r="L169" s="65">
        <f>+'COMUNAS - HOME DELIVERY 2026'!L169*1.1</f>
        <v>15614.676000000001</v>
      </c>
      <c r="M169" s="66">
        <f>+'COMUNAS - HOME DELIVERY 2026'!M169*1.1</f>
        <v>773.07120000000009</v>
      </c>
      <c r="N169" s="67">
        <f>+'COMUNAS - HOME DELIVERY 2026'!N169*1.1</f>
        <v>657.28080000000011</v>
      </c>
      <c r="O169" s="60"/>
      <c r="P169" s="2"/>
      <c r="Q169" s="2"/>
      <c r="R169" s="2"/>
      <c r="S169" s="2"/>
      <c r="T169" s="2"/>
      <c r="U169" s="2"/>
      <c r="V169" s="2"/>
      <c r="W169" s="2"/>
      <c r="X169" s="2"/>
      <c r="Y169" s="38"/>
    </row>
    <row r="170" spans="2:25" ht="15.75" customHeight="1" x14ac:dyDescent="0.3">
      <c r="B170" s="2"/>
      <c r="C170" s="61" t="s">
        <v>365</v>
      </c>
      <c r="D170" s="62" t="s">
        <v>398</v>
      </c>
      <c r="E170" s="63" t="s">
        <v>399</v>
      </c>
      <c r="F170" s="64">
        <f>+'COMUNAS - HOME DELIVERY 2026'!F170*1.1</f>
        <v>4338.7344000000003</v>
      </c>
      <c r="G170" s="65">
        <f>+'COMUNAS - HOME DELIVERY 2026'!G170*1.1</f>
        <v>4641.8328000000001</v>
      </c>
      <c r="H170" s="65">
        <f>+'COMUNAS - HOME DELIVERY 2026'!H170*1.1</f>
        <v>5329.7640000000001</v>
      </c>
      <c r="I170" s="65">
        <f>+'COMUNAS - HOME DELIVERY 2026'!I170*1.1</f>
        <v>6120.9984000000004</v>
      </c>
      <c r="J170" s="65">
        <f>+'COMUNAS - HOME DELIVERY 2026'!J170*1.1</f>
        <v>7669.4112000000005</v>
      </c>
      <c r="K170" s="65">
        <f>+'COMUNAS - HOME DELIVERY 2026'!K170*1.1</f>
        <v>9295.017600000001</v>
      </c>
      <c r="L170" s="65">
        <f>+'COMUNAS - HOME DELIVERY 2026'!L170*1.1</f>
        <v>10409.784000000001</v>
      </c>
      <c r="M170" s="66">
        <f>+'COMUNAS - HOME DELIVERY 2026'!M170*1.1</f>
        <v>515.38080000000002</v>
      </c>
      <c r="N170" s="67">
        <f>+'COMUNAS - HOME DELIVERY 2026'!N170*1.1</f>
        <v>438.18720000000008</v>
      </c>
      <c r="O170" s="60"/>
      <c r="P170" s="2"/>
      <c r="Q170" s="2"/>
      <c r="R170" s="2"/>
      <c r="S170" s="2"/>
      <c r="T170" s="2"/>
      <c r="U170" s="2"/>
      <c r="V170" s="2"/>
      <c r="W170" s="2"/>
      <c r="X170" s="2"/>
      <c r="Y170" s="38"/>
    </row>
    <row r="171" spans="2:25" ht="15.75" customHeight="1" x14ac:dyDescent="0.3">
      <c r="B171" s="2"/>
      <c r="C171" s="61" t="s">
        <v>365</v>
      </c>
      <c r="D171" s="62" t="s">
        <v>400</v>
      </c>
      <c r="E171" s="63" t="s">
        <v>401</v>
      </c>
      <c r="F171" s="64">
        <f>+'COMUNAS - HOME DELIVERY 2026'!F171*1.1</f>
        <v>4338.7344000000003</v>
      </c>
      <c r="G171" s="65">
        <f>+'COMUNAS - HOME DELIVERY 2026'!G171*1.1</f>
        <v>4641.8328000000001</v>
      </c>
      <c r="H171" s="65">
        <f>+'COMUNAS - HOME DELIVERY 2026'!H171*1.1</f>
        <v>5329.7640000000001</v>
      </c>
      <c r="I171" s="65">
        <f>+'COMUNAS - HOME DELIVERY 2026'!I171*1.1</f>
        <v>6120.9984000000004</v>
      </c>
      <c r="J171" s="65">
        <f>+'COMUNAS - HOME DELIVERY 2026'!J171*1.1</f>
        <v>7669.4112000000005</v>
      </c>
      <c r="K171" s="65">
        <f>+'COMUNAS - HOME DELIVERY 2026'!K171*1.1</f>
        <v>9295.017600000001</v>
      </c>
      <c r="L171" s="65">
        <f>+'COMUNAS - HOME DELIVERY 2026'!L171*1.1</f>
        <v>10409.784000000001</v>
      </c>
      <c r="M171" s="66">
        <f>+'COMUNAS - HOME DELIVERY 2026'!M171*1.1</f>
        <v>515.38080000000002</v>
      </c>
      <c r="N171" s="67">
        <f>+'COMUNAS - HOME DELIVERY 2026'!N171*1.1</f>
        <v>438.18720000000008</v>
      </c>
      <c r="O171" s="60"/>
      <c r="P171" s="2"/>
      <c r="Q171" s="2"/>
      <c r="R171" s="2"/>
      <c r="S171" s="2"/>
      <c r="T171" s="2"/>
      <c r="U171" s="2"/>
      <c r="V171" s="2"/>
      <c r="W171" s="2"/>
      <c r="X171" s="2"/>
      <c r="Y171" s="38"/>
    </row>
    <row r="172" spans="2:25" ht="15.75" customHeight="1" x14ac:dyDescent="0.3">
      <c r="B172" s="2"/>
      <c r="C172" s="61" t="s">
        <v>365</v>
      </c>
      <c r="D172" s="62" t="s">
        <v>402</v>
      </c>
      <c r="E172" s="63" t="s">
        <v>403</v>
      </c>
      <c r="F172" s="64">
        <f>+'COMUNAS - HOME DELIVERY 2026'!F172*1.1</f>
        <v>4338.7344000000003</v>
      </c>
      <c r="G172" s="65">
        <f>+'COMUNAS - HOME DELIVERY 2026'!G172*1.1</f>
        <v>4641.8328000000001</v>
      </c>
      <c r="H172" s="65">
        <f>+'COMUNAS - HOME DELIVERY 2026'!H172*1.1</f>
        <v>5329.7640000000001</v>
      </c>
      <c r="I172" s="65">
        <f>+'COMUNAS - HOME DELIVERY 2026'!I172*1.1</f>
        <v>6120.9984000000004</v>
      </c>
      <c r="J172" s="65">
        <f>+'COMUNAS - HOME DELIVERY 2026'!J172*1.1</f>
        <v>7669.4112000000005</v>
      </c>
      <c r="K172" s="65">
        <f>+'COMUNAS - HOME DELIVERY 2026'!K172*1.1</f>
        <v>9295.017600000001</v>
      </c>
      <c r="L172" s="65">
        <f>+'COMUNAS - HOME DELIVERY 2026'!L172*1.1</f>
        <v>10409.784000000001</v>
      </c>
      <c r="M172" s="66">
        <f>+'COMUNAS - HOME DELIVERY 2026'!M172*1.1</f>
        <v>515.38080000000002</v>
      </c>
      <c r="N172" s="67">
        <f>+'COMUNAS - HOME DELIVERY 2026'!N172*1.1</f>
        <v>438.18720000000008</v>
      </c>
      <c r="O172" s="60"/>
      <c r="P172" s="2"/>
      <c r="Q172" s="2"/>
      <c r="R172" s="2"/>
      <c r="S172" s="2"/>
      <c r="T172" s="2"/>
      <c r="U172" s="2"/>
      <c r="V172" s="2"/>
      <c r="W172" s="2"/>
      <c r="X172" s="2"/>
      <c r="Y172" s="38"/>
    </row>
    <row r="173" spans="2:25" ht="15.75" customHeight="1" x14ac:dyDescent="0.3">
      <c r="B173" s="2"/>
      <c r="C173" s="61" t="s">
        <v>365</v>
      </c>
      <c r="D173" s="62" t="s">
        <v>404</v>
      </c>
      <c r="E173" s="63" t="s">
        <v>405</v>
      </c>
      <c r="F173" s="64">
        <f>+'COMUNAS - HOME DELIVERY 2026'!F173*1.1</f>
        <v>6508.1016000000009</v>
      </c>
      <c r="G173" s="65">
        <f>+'COMUNAS - HOME DELIVERY 2026'!G173*1.1</f>
        <v>6962.7492000000002</v>
      </c>
      <c r="H173" s="65">
        <f>+'COMUNAS - HOME DELIVERY 2026'!H173*1.1</f>
        <v>7994.6460000000015</v>
      </c>
      <c r="I173" s="65">
        <f>+'COMUNAS - HOME DELIVERY 2026'!I173*1.1</f>
        <v>9181.4976000000024</v>
      </c>
      <c r="J173" s="65">
        <f>+'COMUNAS - HOME DELIVERY 2026'!J173*1.1</f>
        <v>11504.116800000002</v>
      </c>
      <c r="K173" s="65">
        <f>+'COMUNAS - HOME DELIVERY 2026'!K173*1.1</f>
        <v>13942.526400000002</v>
      </c>
      <c r="L173" s="65">
        <f>+'COMUNAS - HOME DELIVERY 2026'!L173*1.1</f>
        <v>15614.676000000001</v>
      </c>
      <c r="M173" s="66">
        <f>+'COMUNAS - HOME DELIVERY 2026'!M173*1.1</f>
        <v>773.07120000000009</v>
      </c>
      <c r="N173" s="67">
        <f>+'COMUNAS - HOME DELIVERY 2026'!N173*1.1</f>
        <v>657.28080000000011</v>
      </c>
      <c r="O173" s="60"/>
      <c r="P173" s="2"/>
      <c r="Q173" s="2"/>
      <c r="R173" s="2"/>
      <c r="S173" s="2"/>
      <c r="T173" s="2"/>
      <c r="U173" s="2"/>
      <c r="V173" s="2"/>
      <c r="W173" s="2"/>
      <c r="X173" s="2"/>
      <c r="Y173" s="38"/>
    </row>
    <row r="174" spans="2:25" ht="15.75" customHeight="1" x14ac:dyDescent="0.3">
      <c r="B174" s="2"/>
      <c r="C174" s="61" t="s">
        <v>365</v>
      </c>
      <c r="D174" s="62" t="s">
        <v>406</v>
      </c>
      <c r="E174" s="63" t="s">
        <v>407</v>
      </c>
      <c r="F174" s="64">
        <f>+'COMUNAS - HOME DELIVERY 2026'!F174*1.1</f>
        <v>4338.7344000000003</v>
      </c>
      <c r="G174" s="65">
        <f>+'COMUNAS - HOME DELIVERY 2026'!G174*1.1</f>
        <v>4641.8328000000001</v>
      </c>
      <c r="H174" s="65">
        <f>+'COMUNAS - HOME DELIVERY 2026'!H174*1.1</f>
        <v>5329.7640000000001</v>
      </c>
      <c r="I174" s="65">
        <f>+'COMUNAS - HOME DELIVERY 2026'!I174*1.1</f>
        <v>6120.9984000000004</v>
      </c>
      <c r="J174" s="65">
        <f>+'COMUNAS - HOME DELIVERY 2026'!J174*1.1</f>
        <v>7669.4112000000005</v>
      </c>
      <c r="K174" s="65">
        <f>+'COMUNAS - HOME DELIVERY 2026'!K174*1.1</f>
        <v>9295.017600000001</v>
      </c>
      <c r="L174" s="65">
        <f>+'COMUNAS - HOME DELIVERY 2026'!L174*1.1</f>
        <v>10409.784000000001</v>
      </c>
      <c r="M174" s="66">
        <f>+'COMUNAS - HOME DELIVERY 2026'!M174*1.1</f>
        <v>515.38080000000002</v>
      </c>
      <c r="N174" s="67">
        <f>+'COMUNAS - HOME DELIVERY 2026'!N174*1.1</f>
        <v>438.18720000000008</v>
      </c>
      <c r="O174" s="60"/>
      <c r="P174" s="2"/>
      <c r="Q174" s="2"/>
      <c r="R174" s="2"/>
      <c r="S174" s="2"/>
      <c r="T174" s="2"/>
      <c r="U174" s="2"/>
      <c r="V174" s="2"/>
      <c r="W174" s="2"/>
      <c r="X174" s="2"/>
      <c r="Y174" s="38"/>
    </row>
    <row r="175" spans="2:25" ht="15.75" customHeight="1" x14ac:dyDescent="0.3">
      <c r="B175" s="2"/>
      <c r="C175" s="61" t="s">
        <v>365</v>
      </c>
      <c r="D175" s="62" t="s">
        <v>408</v>
      </c>
      <c r="E175" s="63" t="s">
        <v>409</v>
      </c>
      <c r="F175" s="64">
        <f>+'COMUNAS - HOME DELIVERY 2026'!F175*1.1</f>
        <v>4338.7344000000003</v>
      </c>
      <c r="G175" s="65">
        <f>+'COMUNAS - HOME DELIVERY 2026'!G175*1.1</f>
        <v>4641.8328000000001</v>
      </c>
      <c r="H175" s="65">
        <f>+'COMUNAS - HOME DELIVERY 2026'!H175*1.1</f>
        <v>5329.7640000000001</v>
      </c>
      <c r="I175" s="65">
        <f>+'COMUNAS - HOME DELIVERY 2026'!I175*1.1</f>
        <v>6120.9984000000004</v>
      </c>
      <c r="J175" s="65">
        <f>+'COMUNAS - HOME DELIVERY 2026'!J175*1.1</f>
        <v>7669.4112000000005</v>
      </c>
      <c r="K175" s="65">
        <f>+'COMUNAS - HOME DELIVERY 2026'!K175*1.1</f>
        <v>9295.017600000001</v>
      </c>
      <c r="L175" s="65">
        <f>+'COMUNAS - HOME DELIVERY 2026'!L175*1.1</f>
        <v>10409.784000000001</v>
      </c>
      <c r="M175" s="66">
        <f>+'COMUNAS - HOME DELIVERY 2026'!M175*1.1</f>
        <v>515.38080000000002</v>
      </c>
      <c r="N175" s="67">
        <f>+'COMUNAS - HOME DELIVERY 2026'!N175*1.1</f>
        <v>438.18720000000008</v>
      </c>
      <c r="O175" s="60"/>
      <c r="P175" s="2"/>
      <c r="Q175" s="2"/>
      <c r="R175" s="2"/>
      <c r="S175" s="2"/>
      <c r="T175" s="2"/>
      <c r="U175" s="2"/>
      <c r="V175" s="2"/>
      <c r="W175" s="2"/>
      <c r="X175" s="2"/>
      <c r="Y175" s="38"/>
    </row>
    <row r="176" spans="2:25" ht="15.75" customHeight="1" x14ac:dyDescent="0.3">
      <c r="B176" s="2"/>
      <c r="C176" s="61" t="s">
        <v>365</v>
      </c>
      <c r="D176" s="62" t="s">
        <v>410</v>
      </c>
      <c r="E176" s="63" t="s">
        <v>411</v>
      </c>
      <c r="F176" s="64">
        <f>+'COMUNAS - HOME DELIVERY 2026'!F176*1.1</f>
        <v>4338.7344000000003</v>
      </c>
      <c r="G176" s="65">
        <f>+'COMUNAS - HOME DELIVERY 2026'!G176*1.1</f>
        <v>4641.8328000000001</v>
      </c>
      <c r="H176" s="65">
        <f>+'COMUNAS - HOME DELIVERY 2026'!H176*1.1</f>
        <v>5329.7640000000001</v>
      </c>
      <c r="I176" s="65">
        <f>+'COMUNAS - HOME DELIVERY 2026'!I176*1.1</f>
        <v>6120.9984000000004</v>
      </c>
      <c r="J176" s="65">
        <f>+'COMUNAS - HOME DELIVERY 2026'!J176*1.1</f>
        <v>7669.4112000000005</v>
      </c>
      <c r="K176" s="65">
        <f>+'COMUNAS - HOME DELIVERY 2026'!K176*1.1</f>
        <v>9295.017600000001</v>
      </c>
      <c r="L176" s="65">
        <f>+'COMUNAS - HOME DELIVERY 2026'!L176*1.1</f>
        <v>10409.784000000001</v>
      </c>
      <c r="M176" s="66">
        <f>+'COMUNAS - HOME DELIVERY 2026'!M176*1.1</f>
        <v>515.38080000000002</v>
      </c>
      <c r="N176" s="67">
        <f>+'COMUNAS - HOME DELIVERY 2026'!N176*1.1</f>
        <v>438.18720000000008</v>
      </c>
      <c r="O176" s="60"/>
      <c r="P176" s="2"/>
      <c r="Q176" s="2"/>
      <c r="R176" s="2"/>
      <c r="S176" s="2"/>
      <c r="T176" s="2"/>
      <c r="U176" s="2"/>
      <c r="V176" s="2"/>
      <c r="W176" s="2"/>
      <c r="X176" s="2"/>
      <c r="Y176" s="38"/>
    </row>
    <row r="177" spans="2:25" ht="15.75" customHeight="1" x14ac:dyDescent="0.3">
      <c r="B177" s="2"/>
      <c r="C177" s="61" t="s">
        <v>365</v>
      </c>
      <c r="D177" s="62" t="s">
        <v>412</v>
      </c>
      <c r="E177" s="63" t="s">
        <v>413</v>
      </c>
      <c r="F177" s="64">
        <f>+'COMUNAS - HOME DELIVERY 2026'!F177*1.1</f>
        <v>4338.7344000000003</v>
      </c>
      <c r="G177" s="65">
        <f>+'COMUNAS - HOME DELIVERY 2026'!G177*1.1</f>
        <v>4641.8328000000001</v>
      </c>
      <c r="H177" s="65">
        <f>+'COMUNAS - HOME DELIVERY 2026'!H177*1.1</f>
        <v>5329.7640000000001</v>
      </c>
      <c r="I177" s="65">
        <f>+'COMUNAS - HOME DELIVERY 2026'!I177*1.1</f>
        <v>6120.9984000000004</v>
      </c>
      <c r="J177" s="65">
        <f>+'COMUNAS - HOME DELIVERY 2026'!J177*1.1</f>
        <v>7669.4112000000005</v>
      </c>
      <c r="K177" s="65">
        <f>+'COMUNAS - HOME DELIVERY 2026'!K177*1.1</f>
        <v>9295.017600000001</v>
      </c>
      <c r="L177" s="65">
        <f>+'COMUNAS - HOME DELIVERY 2026'!L177*1.1</f>
        <v>10409.784000000001</v>
      </c>
      <c r="M177" s="66">
        <f>+'COMUNAS - HOME DELIVERY 2026'!M177*1.1</f>
        <v>515.38080000000002</v>
      </c>
      <c r="N177" s="67">
        <f>+'COMUNAS - HOME DELIVERY 2026'!N177*1.1</f>
        <v>438.18720000000008</v>
      </c>
      <c r="O177" s="60"/>
      <c r="P177" s="2"/>
      <c r="Q177" s="2"/>
      <c r="R177" s="2"/>
      <c r="S177" s="2"/>
      <c r="T177" s="2"/>
      <c r="U177" s="2"/>
      <c r="V177" s="2"/>
      <c r="W177" s="2"/>
      <c r="X177" s="2"/>
      <c r="Y177" s="38"/>
    </row>
    <row r="178" spans="2:25" ht="15.75" customHeight="1" x14ac:dyDescent="0.3">
      <c r="B178" s="2"/>
      <c r="C178" s="61" t="s">
        <v>365</v>
      </c>
      <c r="D178" s="62" t="s">
        <v>414</v>
      </c>
      <c r="E178" s="63" t="s">
        <v>415</v>
      </c>
      <c r="F178" s="64">
        <f>+'COMUNAS - HOME DELIVERY 2026'!F178*1.1</f>
        <v>4338.7344000000003</v>
      </c>
      <c r="G178" s="65">
        <f>+'COMUNAS - HOME DELIVERY 2026'!G178*1.1</f>
        <v>4641.8328000000001</v>
      </c>
      <c r="H178" s="65">
        <f>+'COMUNAS - HOME DELIVERY 2026'!H178*1.1</f>
        <v>5329.7640000000001</v>
      </c>
      <c r="I178" s="65">
        <f>+'COMUNAS - HOME DELIVERY 2026'!I178*1.1</f>
        <v>6120.9984000000004</v>
      </c>
      <c r="J178" s="65">
        <f>+'COMUNAS - HOME DELIVERY 2026'!J178*1.1</f>
        <v>7669.4112000000005</v>
      </c>
      <c r="K178" s="65">
        <f>+'COMUNAS - HOME DELIVERY 2026'!K178*1.1</f>
        <v>9295.017600000001</v>
      </c>
      <c r="L178" s="65">
        <f>+'COMUNAS - HOME DELIVERY 2026'!L178*1.1</f>
        <v>10409.784000000001</v>
      </c>
      <c r="M178" s="66">
        <f>+'COMUNAS - HOME DELIVERY 2026'!M178*1.1</f>
        <v>515.38080000000002</v>
      </c>
      <c r="N178" s="67">
        <f>+'COMUNAS - HOME DELIVERY 2026'!N178*1.1</f>
        <v>438.18720000000008</v>
      </c>
      <c r="O178" s="60"/>
      <c r="P178" s="2"/>
      <c r="Q178" s="2"/>
      <c r="R178" s="2"/>
      <c r="S178" s="2"/>
      <c r="T178" s="2"/>
      <c r="U178" s="2"/>
      <c r="V178" s="2"/>
      <c r="W178" s="2"/>
      <c r="X178" s="2"/>
      <c r="Y178" s="38"/>
    </row>
    <row r="179" spans="2:25" ht="15.75" customHeight="1" x14ac:dyDescent="0.3">
      <c r="B179" s="2"/>
      <c r="C179" s="61" t="s">
        <v>365</v>
      </c>
      <c r="D179" s="62" t="s">
        <v>416</v>
      </c>
      <c r="E179" s="63" t="s">
        <v>417</v>
      </c>
      <c r="F179" s="64">
        <f>+'COMUNAS - HOME DELIVERY 2026'!F179*1.1</f>
        <v>4338.7344000000003</v>
      </c>
      <c r="G179" s="65">
        <f>+'COMUNAS - HOME DELIVERY 2026'!G179*1.1</f>
        <v>4641.8328000000001</v>
      </c>
      <c r="H179" s="65">
        <f>+'COMUNAS - HOME DELIVERY 2026'!H179*1.1</f>
        <v>5329.7640000000001</v>
      </c>
      <c r="I179" s="65">
        <f>+'COMUNAS - HOME DELIVERY 2026'!I179*1.1</f>
        <v>6120.9984000000004</v>
      </c>
      <c r="J179" s="65">
        <f>+'COMUNAS - HOME DELIVERY 2026'!J179*1.1</f>
        <v>7669.4112000000005</v>
      </c>
      <c r="K179" s="65">
        <f>+'COMUNAS - HOME DELIVERY 2026'!K179*1.1</f>
        <v>9295.017600000001</v>
      </c>
      <c r="L179" s="65">
        <f>+'COMUNAS - HOME DELIVERY 2026'!L179*1.1</f>
        <v>10409.784000000001</v>
      </c>
      <c r="M179" s="66">
        <f>+'COMUNAS - HOME DELIVERY 2026'!M179*1.1</f>
        <v>515.38080000000002</v>
      </c>
      <c r="N179" s="67">
        <f>+'COMUNAS - HOME DELIVERY 2026'!N179*1.1</f>
        <v>438.18720000000008</v>
      </c>
      <c r="O179" s="60"/>
      <c r="P179" s="2"/>
      <c r="Q179" s="2"/>
      <c r="R179" s="2"/>
      <c r="S179" s="2"/>
      <c r="T179" s="2"/>
      <c r="U179" s="2"/>
      <c r="V179" s="2"/>
      <c r="W179" s="2"/>
      <c r="X179" s="2"/>
      <c r="Y179" s="38"/>
    </row>
    <row r="180" spans="2:25" ht="15.75" customHeight="1" x14ac:dyDescent="0.3">
      <c r="B180" s="2"/>
      <c r="C180" s="61" t="s">
        <v>365</v>
      </c>
      <c r="D180" s="62" t="s">
        <v>418</v>
      </c>
      <c r="E180" s="63" t="s">
        <v>419</v>
      </c>
      <c r="F180" s="64">
        <f>+'COMUNAS - HOME DELIVERY 2026'!F180*1.1</f>
        <v>6508.1016000000009</v>
      </c>
      <c r="G180" s="65">
        <f>+'COMUNAS - HOME DELIVERY 2026'!G180*1.1</f>
        <v>6962.7492000000002</v>
      </c>
      <c r="H180" s="65">
        <f>+'COMUNAS - HOME DELIVERY 2026'!H180*1.1</f>
        <v>7994.6460000000015</v>
      </c>
      <c r="I180" s="65">
        <f>+'COMUNAS - HOME DELIVERY 2026'!I180*1.1</f>
        <v>9181.4976000000024</v>
      </c>
      <c r="J180" s="65">
        <f>+'COMUNAS - HOME DELIVERY 2026'!J180*1.1</f>
        <v>11504.116800000002</v>
      </c>
      <c r="K180" s="65">
        <f>+'COMUNAS - HOME DELIVERY 2026'!K180*1.1</f>
        <v>13942.526400000002</v>
      </c>
      <c r="L180" s="65">
        <f>+'COMUNAS - HOME DELIVERY 2026'!L180*1.1</f>
        <v>15614.676000000001</v>
      </c>
      <c r="M180" s="66">
        <f>+'COMUNAS - HOME DELIVERY 2026'!M180*1.1</f>
        <v>773.07120000000009</v>
      </c>
      <c r="N180" s="67">
        <f>+'COMUNAS - HOME DELIVERY 2026'!N180*1.1</f>
        <v>657.28080000000011</v>
      </c>
      <c r="O180" s="60"/>
      <c r="P180" s="2"/>
      <c r="Q180" s="2"/>
      <c r="R180" s="2"/>
      <c r="S180" s="2"/>
      <c r="T180" s="2"/>
      <c r="U180" s="2"/>
      <c r="V180" s="2"/>
      <c r="W180" s="2"/>
      <c r="X180" s="2"/>
      <c r="Y180" s="38"/>
    </row>
    <row r="181" spans="2:25" ht="15.75" customHeight="1" x14ac:dyDescent="0.3">
      <c r="B181" s="2"/>
      <c r="C181" s="61" t="s">
        <v>365</v>
      </c>
      <c r="D181" s="62" t="s">
        <v>420</v>
      </c>
      <c r="E181" s="63" t="s">
        <v>421</v>
      </c>
      <c r="F181" s="64">
        <f>+'COMUNAS - HOME DELIVERY 2026'!F181*1.1</f>
        <v>4338.7344000000003</v>
      </c>
      <c r="G181" s="65">
        <f>+'COMUNAS - HOME DELIVERY 2026'!G181*1.1</f>
        <v>4641.8328000000001</v>
      </c>
      <c r="H181" s="65">
        <f>+'COMUNAS - HOME DELIVERY 2026'!H181*1.1</f>
        <v>5329.7640000000001</v>
      </c>
      <c r="I181" s="65">
        <f>+'COMUNAS - HOME DELIVERY 2026'!I181*1.1</f>
        <v>6120.9984000000004</v>
      </c>
      <c r="J181" s="65">
        <f>+'COMUNAS - HOME DELIVERY 2026'!J181*1.1</f>
        <v>7669.4112000000005</v>
      </c>
      <c r="K181" s="65">
        <f>+'COMUNAS - HOME DELIVERY 2026'!K181*1.1</f>
        <v>9295.017600000001</v>
      </c>
      <c r="L181" s="65">
        <f>+'COMUNAS - HOME DELIVERY 2026'!L181*1.1</f>
        <v>10409.784000000001</v>
      </c>
      <c r="M181" s="66">
        <f>+'COMUNAS - HOME DELIVERY 2026'!M181*1.1</f>
        <v>515.38080000000002</v>
      </c>
      <c r="N181" s="67">
        <f>+'COMUNAS - HOME DELIVERY 2026'!N181*1.1</f>
        <v>438.18720000000008</v>
      </c>
      <c r="O181" s="60"/>
      <c r="P181" s="2"/>
      <c r="Q181" s="2"/>
      <c r="R181" s="2"/>
      <c r="S181" s="2"/>
      <c r="T181" s="2"/>
      <c r="U181" s="2"/>
      <c r="V181" s="2"/>
      <c r="W181" s="2"/>
      <c r="X181" s="2"/>
      <c r="Y181" s="38"/>
    </row>
    <row r="182" spans="2:25" ht="15.75" customHeight="1" thickBot="1" x14ac:dyDescent="0.35">
      <c r="B182" s="2"/>
      <c r="C182" s="68" t="s">
        <v>365</v>
      </c>
      <c r="D182" s="69" t="s">
        <v>422</v>
      </c>
      <c r="E182" s="70" t="s">
        <v>423</v>
      </c>
      <c r="F182" s="71">
        <f>+'COMUNAS - HOME DELIVERY 2026'!F182*1.1</f>
        <v>4338.7344000000003</v>
      </c>
      <c r="G182" s="72">
        <f>+'COMUNAS - HOME DELIVERY 2026'!G182*1.1</f>
        <v>4641.8328000000001</v>
      </c>
      <c r="H182" s="72">
        <f>+'COMUNAS - HOME DELIVERY 2026'!H182*1.1</f>
        <v>5329.7640000000001</v>
      </c>
      <c r="I182" s="72">
        <f>+'COMUNAS - HOME DELIVERY 2026'!I182*1.1</f>
        <v>6120.9984000000004</v>
      </c>
      <c r="J182" s="72">
        <f>+'COMUNAS - HOME DELIVERY 2026'!J182*1.1</f>
        <v>7669.4112000000005</v>
      </c>
      <c r="K182" s="72">
        <f>+'COMUNAS - HOME DELIVERY 2026'!K182*1.1</f>
        <v>9295.017600000001</v>
      </c>
      <c r="L182" s="72">
        <f>+'COMUNAS - HOME DELIVERY 2026'!L182*1.1</f>
        <v>10409.784000000001</v>
      </c>
      <c r="M182" s="73">
        <f>+'COMUNAS - HOME DELIVERY 2026'!M182*1.1</f>
        <v>515.38080000000002</v>
      </c>
      <c r="N182" s="74">
        <f>+'COMUNAS - HOME DELIVERY 2026'!N182*1.1</f>
        <v>438.18720000000008</v>
      </c>
      <c r="O182" s="60"/>
      <c r="P182" s="2"/>
      <c r="Q182" s="2"/>
      <c r="R182" s="2"/>
      <c r="S182" s="2"/>
      <c r="T182" s="2"/>
      <c r="U182" s="2"/>
      <c r="V182" s="2"/>
      <c r="W182" s="2"/>
      <c r="X182" s="2"/>
      <c r="Y182" s="38"/>
    </row>
    <row r="183" spans="2:25" ht="15.75" customHeight="1" x14ac:dyDescent="0.3">
      <c r="B183" s="2"/>
      <c r="C183" s="75" t="s">
        <v>424</v>
      </c>
      <c r="D183" s="76" t="s">
        <v>425</v>
      </c>
      <c r="E183" s="77" t="s">
        <v>41</v>
      </c>
      <c r="F183" s="64">
        <f>+'COMUNAS - HOME DELIVERY 2026'!F183*1.1</f>
        <v>4867.7376000000004</v>
      </c>
      <c r="G183" s="65">
        <f>+'COMUNAS - HOME DELIVERY 2026'!G183*1.1</f>
        <v>5198.0808000000006</v>
      </c>
      <c r="H183" s="65">
        <f>+'COMUNAS - HOME DELIVERY 2026'!H183*1.1</f>
        <v>5780.4384000000009</v>
      </c>
      <c r="I183" s="65">
        <f>+'COMUNAS - HOME DELIVERY 2026'!I183*1.1</f>
        <v>6592.1064000000015</v>
      </c>
      <c r="J183" s="65">
        <f>+'COMUNAS - HOME DELIVERY 2026'!J183*1.1</f>
        <v>8039.4864000000007</v>
      </c>
      <c r="K183" s="65">
        <f>+'COMUNAS - HOME DELIVERY 2026'!K183*1.1</f>
        <v>9518.652</v>
      </c>
      <c r="L183" s="65">
        <f>+'COMUNAS - HOME DELIVERY 2026'!L183*1.1</f>
        <v>10875.216</v>
      </c>
      <c r="M183" s="66">
        <f>+'COMUNAS - HOME DELIVERY 2026'!M183*1.1</f>
        <v>620.95440000000008</v>
      </c>
      <c r="N183" s="67">
        <f>+'COMUNAS - HOME DELIVERY 2026'!N183*1.1</f>
        <v>500.62320000000005</v>
      </c>
      <c r="O183" s="60"/>
      <c r="P183" s="2"/>
      <c r="Q183" s="2"/>
      <c r="R183" s="2"/>
      <c r="S183" s="2"/>
      <c r="T183" s="2"/>
      <c r="U183" s="2"/>
      <c r="V183" s="2"/>
      <c r="W183" s="2"/>
      <c r="X183" s="2"/>
      <c r="Y183" s="38"/>
    </row>
    <row r="184" spans="2:25" ht="15.75" customHeight="1" x14ac:dyDescent="0.3">
      <c r="B184" s="2"/>
      <c r="C184" s="61" t="s">
        <v>424</v>
      </c>
      <c r="D184" s="62" t="s">
        <v>426</v>
      </c>
      <c r="E184" s="63" t="s">
        <v>427</v>
      </c>
      <c r="F184" s="64">
        <f>+'COMUNAS - HOME DELIVERY 2026'!F184*1.1</f>
        <v>4867.7376000000004</v>
      </c>
      <c r="G184" s="65">
        <f>+'COMUNAS - HOME DELIVERY 2026'!G184*1.1</f>
        <v>5198.0808000000006</v>
      </c>
      <c r="H184" s="65">
        <f>+'COMUNAS - HOME DELIVERY 2026'!H184*1.1</f>
        <v>5780.4384000000009</v>
      </c>
      <c r="I184" s="65">
        <f>+'COMUNAS - HOME DELIVERY 2026'!I184*1.1</f>
        <v>6592.1064000000015</v>
      </c>
      <c r="J184" s="65">
        <f>+'COMUNAS - HOME DELIVERY 2026'!J184*1.1</f>
        <v>8039.4864000000007</v>
      </c>
      <c r="K184" s="65">
        <f>+'COMUNAS - HOME DELIVERY 2026'!K184*1.1</f>
        <v>9518.652</v>
      </c>
      <c r="L184" s="65">
        <f>+'COMUNAS - HOME DELIVERY 2026'!L184*1.1</f>
        <v>10875.216</v>
      </c>
      <c r="M184" s="66">
        <f>+'COMUNAS - HOME DELIVERY 2026'!M184*1.1</f>
        <v>620.95440000000008</v>
      </c>
      <c r="N184" s="67">
        <f>+'COMUNAS - HOME DELIVERY 2026'!N184*1.1</f>
        <v>500.62320000000005</v>
      </c>
      <c r="O184" s="60"/>
      <c r="P184" s="2"/>
      <c r="Q184" s="2"/>
      <c r="R184" s="2"/>
      <c r="S184" s="2"/>
      <c r="T184" s="2"/>
      <c r="U184" s="2"/>
      <c r="V184" s="2"/>
      <c r="W184" s="2"/>
      <c r="X184" s="2"/>
      <c r="Y184" s="38"/>
    </row>
    <row r="185" spans="2:25" ht="15.75" customHeight="1" x14ac:dyDescent="0.3">
      <c r="B185" s="2"/>
      <c r="C185" s="61" t="s">
        <v>424</v>
      </c>
      <c r="D185" s="62" t="s">
        <v>428</v>
      </c>
      <c r="E185" s="63" t="s">
        <v>429</v>
      </c>
      <c r="F185" s="64">
        <f>+'COMUNAS - HOME DELIVERY 2026'!F185*1.1</f>
        <v>4867.7376000000004</v>
      </c>
      <c r="G185" s="65">
        <f>+'COMUNAS - HOME DELIVERY 2026'!G185*1.1</f>
        <v>5198.0808000000006</v>
      </c>
      <c r="H185" s="65">
        <f>+'COMUNAS - HOME DELIVERY 2026'!H185*1.1</f>
        <v>5780.4384000000009</v>
      </c>
      <c r="I185" s="65">
        <f>+'COMUNAS - HOME DELIVERY 2026'!I185*1.1</f>
        <v>6592.1064000000015</v>
      </c>
      <c r="J185" s="65">
        <f>+'COMUNAS - HOME DELIVERY 2026'!J185*1.1</f>
        <v>8039.4864000000007</v>
      </c>
      <c r="K185" s="65">
        <f>+'COMUNAS - HOME DELIVERY 2026'!K185*1.1</f>
        <v>9518.652</v>
      </c>
      <c r="L185" s="65">
        <f>+'COMUNAS - HOME DELIVERY 2026'!L185*1.1</f>
        <v>10875.216</v>
      </c>
      <c r="M185" s="66">
        <f>+'COMUNAS - HOME DELIVERY 2026'!M185*1.1</f>
        <v>620.95440000000008</v>
      </c>
      <c r="N185" s="67">
        <f>+'COMUNAS - HOME DELIVERY 2026'!N185*1.1</f>
        <v>500.62320000000005</v>
      </c>
      <c r="O185" s="60"/>
      <c r="P185" s="2"/>
      <c r="Q185" s="2"/>
      <c r="R185" s="2"/>
      <c r="S185" s="2"/>
      <c r="T185" s="2"/>
      <c r="U185" s="2"/>
      <c r="V185" s="2"/>
      <c r="W185" s="2"/>
      <c r="X185" s="2"/>
      <c r="Y185" s="38"/>
    </row>
    <row r="186" spans="2:25" ht="15.75" customHeight="1" x14ac:dyDescent="0.3">
      <c r="B186" s="2"/>
      <c r="C186" s="61" t="s">
        <v>424</v>
      </c>
      <c r="D186" s="62" t="s">
        <v>430</v>
      </c>
      <c r="E186" s="63" t="s">
        <v>431</v>
      </c>
      <c r="F186" s="64">
        <f>+'COMUNAS - HOME DELIVERY 2026'!F186*1.1</f>
        <v>7301.6064000000015</v>
      </c>
      <c r="G186" s="65">
        <f>+'COMUNAS - HOME DELIVERY 2026'!G186*1.1</f>
        <v>7797.1212000000014</v>
      </c>
      <c r="H186" s="65">
        <f>+'COMUNAS - HOME DELIVERY 2026'!H186*1.1</f>
        <v>8670.6576000000005</v>
      </c>
      <c r="I186" s="65">
        <f>+'COMUNAS - HOME DELIVERY 2026'!I186*1.1</f>
        <v>9888.1596000000009</v>
      </c>
      <c r="J186" s="65">
        <f>+'COMUNAS - HOME DELIVERY 2026'!J186*1.1</f>
        <v>12059.229600000001</v>
      </c>
      <c r="K186" s="65">
        <f>+'COMUNAS - HOME DELIVERY 2026'!K186*1.1</f>
        <v>14277.978000000001</v>
      </c>
      <c r="L186" s="65">
        <f>+'COMUNAS - HOME DELIVERY 2026'!L186*1.1</f>
        <v>16312.824000000002</v>
      </c>
      <c r="M186" s="66">
        <f>+'COMUNAS - HOME DELIVERY 2026'!M186*1.1</f>
        <v>931.4316</v>
      </c>
      <c r="N186" s="67">
        <f>+'COMUNAS - HOME DELIVERY 2026'!N186*1.1</f>
        <v>750.93480000000011</v>
      </c>
      <c r="O186" s="60"/>
      <c r="P186" s="2"/>
      <c r="Q186" s="2"/>
      <c r="R186" s="2"/>
      <c r="S186" s="2"/>
      <c r="T186" s="2"/>
      <c r="U186" s="2"/>
      <c r="V186" s="2"/>
      <c r="W186" s="2"/>
      <c r="X186" s="2"/>
      <c r="Y186" s="38"/>
    </row>
    <row r="187" spans="2:25" ht="15.75" customHeight="1" x14ac:dyDescent="0.3">
      <c r="B187" s="2"/>
      <c r="C187" s="61" t="s">
        <v>424</v>
      </c>
      <c r="D187" s="62" t="s">
        <v>432</v>
      </c>
      <c r="E187" s="63" t="s">
        <v>433</v>
      </c>
      <c r="F187" s="64">
        <f>+'COMUNAS - HOME DELIVERY 2026'!F187*1.1</f>
        <v>7301.6064000000015</v>
      </c>
      <c r="G187" s="65">
        <f>+'COMUNAS - HOME DELIVERY 2026'!G187*1.1</f>
        <v>7797.1212000000014</v>
      </c>
      <c r="H187" s="65">
        <f>+'COMUNAS - HOME DELIVERY 2026'!H187*1.1</f>
        <v>8670.6576000000005</v>
      </c>
      <c r="I187" s="65">
        <f>+'COMUNAS - HOME DELIVERY 2026'!I187*1.1</f>
        <v>9888.1596000000009</v>
      </c>
      <c r="J187" s="65">
        <f>+'COMUNAS - HOME DELIVERY 2026'!J187*1.1</f>
        <v>12059.229600000001</v>
      </c>
      <c r="K187" s="65">
        <f>+'COMUNAS - HOME DELIVERY 2026'!K187*1.1</f>
        <v>14277.978000000001</v>
      </c>
      <c r="L187" s="65">
        <f>+'COMUNAS - HOME DELIVERY 2026'!L187*1.1</f>
        <v>16312.824000000002</v>
      </c>
      <c r="M187" s="66">
        <f>+'COMUNAS - HOME DELIVERY 2026'!M187*1.1</f>
        <v>931.4316</v>
      </c>
      <c r="N187" s="67">
        <f>+'COMUNAS - HOME DELIVERY 2026'!N187*1.1</f>
        <v>750.93480000000011</v>
      </c>
      <c r="O187" s="60"/>
      <c r="P187" s="2"/>
      <c r="Q187" s="2"/>
      <c r="R187" s="2"/>
      <c r="S187" s="2"/>
      <c r="T187" s="2"/>
      <c r="U187" s="2"/>
      <c r="V187" s="2"/>
      <c r="W187" s="2"/>
      <c r="X187" s="2"/>
      <c r="Y187" s="38"/>
    </row>
    <row r="188" spans="2:25" ht="15.75" customHeight="1" x14ac:dyDescent="0.3">
      <c r="B188" s="2"/>
      <c r="C188" s="61" t="s">
        <v>424</v>
      </c>
      <c r="D188" s="62" t="s">
        <v>434</v>
      </c>
      <c r="E188" s="63" t="s">
        <v>435</v>
      </c>
      <c r="F188" s="64">
        <f>+'COMUNAS - HOME DELIVERY 2026'!F188*1.1</f>
        <v>4867.7376000000004</v>
      </c>
      <c r="G188" s="65">
        <f>+'COMUNAS - HOME DELIVERY 2026'!G188*1.1</f>
        <v>5198.0808000000006</v>
      </c>
      <c r="H188" s="65">
        <f>+'COMUNAS - HOME DELIVERY 2026'!H188*1.1</f>
        <v>5780.4384000000009</v>
      </c>
      <c r="I188" s="65">
        <f>+'COMUNAS - HOME DELIVERY 2026'!I188*1.1</f>
        <v>6592.1064000000015</v>
      </c>
      <c r="J188" s="65">
        <f>+'COMUNAS - HOME DELIVERY 2026'!J188*1.1</f>
        <v>8039.4864000000007</v>
      </c>
      <c r="K188" s="65">
        <f>+'COMUNAS - HOME DELIVERY 2026'!K188*1.1</f>
        <v>9518.652</v>
      </c>
      <c r="L188" s="65">
        <f>+'COMUNAS - HOME DELIVERY 2026'!L188*1.1</f>
        <v>10875.216</v>
      </c>
      <c r="M188" s="66">
        <f>+'COMUNAS - HOME DELIVERY 2026'!M188*1.1</f>
        <v>620.95440000000008</v>
      </c>
      <c r="N188" s="67">
        <f>+'COMUNAS - HOME DELIVERY 2026'!N188*1.1</f>
        <v>500.62320000000005</v>
      </c>
      <c r="O188" s="60"/>
      <c r="P188" s="2"/>
      <c r="Q188" s="2"/>
      <c r="R188" s="2"/>
      <c r="S188" s="2"/>
      <c r="T188" s="2"/>
      <c r="U188" s="2"/>
      <c r="V188" s="2"/>
      <c r="W188" s="2"/>
      <c r="X188" s="2"/>
      <c r="Y188" s="38"/>
    </row>
    <row r="189" spans="2:25" ht="15.75" customHeight="1" x14ac:dyDescent="0.3">
      <c r="B189" s="2"/>
      <c r="C189" s="61" t="s">
        <v>424</v>
      </c>
      <c r="D189" s="62" t="s">
        <v>436</v>
      </c>
      <c r="E189" s="63" t="s">
        <v>437</v>
      </c>
      <c r="F189" s="64">
        <f>+'COMUNAS - HOME DELIVERY 2026'!F189*1.1</f>
        <v>4867.7376000000004</v>
      </c>
      <c r="G189" s="65">
        <f>+'COMUNAS - HOME DELIVERY 2026'!G189*1.1</f>
        <v>5198.0808000000006</v>
      </c>
      <c r="H189" s="65">
        <f>+'COMUNAS - HOME DELIVERY 2026'!H189*1.1</f>
        <v>5780.4384000000009</v>
      </c>
      <c r="I189" s="65">
        <f>+'COMUNAS - HOME DELIVERY 2026'!I189*1.1</f>
        <v>6592.1064000000015</v>
      </c>
      <c r="J189" s="65">
        <f>+'COMUNAS - HOME DELIVERY 2026'!J189*1.1</f>
        <v>8039.4864000000007</v>
      </c>
      <c r="K189" s="65">
        <f>+'COMUNAS - HOME DELIVERY 2026'!K189*1.1</f>
        <v>9518.652</v>
      </c>
      <c r="L189" s="65">
        <f>+'COMUNAS - HOME DELIVERY 2026'!L189*1.1</f>
        <v>10875.216</v>
      </c>
      <c r="M189" s="66">
        <f>+'COMUNAS - HOME DELIVERY 2026'!M189*1.1</f>
        <v>620.95440000000008</v>
      </c>
      <c r="N189" s="67">
        <f>+'COMUNAS - HOME DELIVERY 2026'!N189*1.1</f>
        <v>500.62320000000005</v>
      </c>
      <c r="O189" s="60"/>
      <c r="P189" s="2"/>
      <c r="Q189" s="2"/>
      <c r="R189" s="2"/>
      <c r="S189" s="2"/>
      <c r="T189" s="2"/>
      <c r="U189" s="2"/>
      <c r="V189" s="2"/>
      <c r="W189" s="2"/>
      <c r="X189" s="2"/>
      <c r="Y189" s="38"/>
    </row>
    <row r="190" spans="2:25" ht="15.75" customHeight="1" x14ac:dyDescent="0.3">
      <c r="B190" s="2"/>
      <c r="C190" s="61" t="s">
        <v>424</v>
      </c>
      <c r="D190" s="62" t="s">
        <v>438</v>
      </c>
      <c r="E190" s="63" t="s">
        <v>439</v>
      </c>
      <c r="F190" s="64">
        <f>+'COMUNAS - HOME DELIVERY 2026'!F190*1.1</f>
        <v>4867.7376000000004</v>
      </c>
      <c r="G190" s="65">
        <f>+'COMUNAS - HOME DELIVERY 2026'!G190*1.1</f>
        <v>5198.0808000000006</v>
      </c>
      <c r="H190" s="65">
        <f>+'COMUNAS - HOME DELIVERY 2026'!H190*1.1</f>
        <v>5780.4384000000009</v>
      </c>
      <c r="I190" s="65">
        <f>+'COMUNAS - HOME DELIVERY 2026'!I190*1.1</f>
        <v>6592.1064000000015</v>
      </c>
      <c r="J190" s="65">
        <f>+'COMUNAS - HOME DELIVERY 2026'!J190*1.1</f>
        <v>8039.4864000000007</v>
      </c>
      <c r="K190" s="65">
        <f>+'COMUNAS - HOME DELIVERY 2026'!K190*1.1</f>
        <v>9518.652</v>
      </c>
      <c r="L190" s="65">
        <f>+'COMUNAS - HOME DELIVERY 2026'!L190*1.1</f>
        <v>10875.216</v>
      </c>
      <c r="M190" s="66">
        <f>+'COMUNAS - HOME DELIVERY 2026'!M190*1.1</f>
        <v>620.95440000000008</v>
      </c>
      <c r="N190" s="67">
        <f>+'COMUNAS - HOME DELIVERY 2026'!N190*1.1</f>
        <v>500.62320000000005</v>
      </c>
      <c r="O190" s="60"/>
      <c r="P190" s="2"/>
      <c r="Q190" s="2"/>
      <c r="R190" s="2"/>
      <c r="S190" s="2"/>
      <c r="T190" s="2"/>
      <c r="U190" s="2"/>
      <c r="V190" s="2"/>
      <c r="W190" s="2"/>
      <c r="X190" s="2"/>
      <c r="Y190" s="38"/>
    </row>
    <row r="191" spans="2:25" ht="15.75" customHeight="1" x14ac:dyDescent="0.3">
      <c r="B191" s="2"/>
      <c r="C191" s="61" t="s">
        <v>424</v>
      </c>
      <c r="D191" s="62" t="s">
        <v>440</v>
      </c>
      <c r="E191" s="63" t="s">
        <v>441</v>
      </c>
      <c r="F191" s="64">
        <f>+'COMUNAS - HOME DELIVERY 2026'!F191*1.1</f>
        <v>4867.7376000000004</v>
      </c>
      <c r="G191" s="65">
        <f>+'COMUNAS - HOME DELIVERY 2026'!G191*1.1</f>
        <v>5198.0808000000006</v>
      </c>
      <c r="H191" s="65">
        <f>+'COMUNAS - HOME DELIVERY 2026'!H191*1.1</f>
        <v>5780.4384000000009</v>
      </c>
      <c r="I191" s="65">
        <f>+'COMUNAS - HOME DELIVERY 2026'!I191*1.1</f>
        <v>6592.1064000000015</v>
      </c>
      <c r="J191" s="65">
        <f>+'COMUNAS - HOME DELIVERY 2026'!J191*1.1</f>
        <v>8039.4864000000007</v>
      </c>
      <c r="K191" s="65">
        <f>+'COMUNAS - HOME DELIVERY 2026'!K191*1.1</f>
        <v>9518.652</v>
      </c>
      <c r="L191" s="65">
        <f>+'COMUNAS - HOME DELIVERY 2026'!L191*1.1</f>
        <v>10875.216</v>
      </c>
      <c r="M191" s="66">
        <f>+'COMUNAS - HOME DELIVERY 2026'!M191*1.1</f>
        <v>620.95440000000008</v>
      </c>
      <c r="N191" s="67">
        <f>+'COMUNAS - HOME DELIVERY 2026'!N191*1.1</f>
        <v>500.62320000000005</v>
      </c>
      <c r="O191" s="60"/>
      <c r="P191" s="2"/>
      <c r="Q191" s="2"/>
      <c r="R191" s="2"/>
      <c r="S191" s="2"/>
      <c r="T191" s="2"/>
      <c r="U191" s="2"/>
      <c r="V191" s="2"/>
      <c r="W191" s="2"/>
      <c r="X191" s="2"/>
      <c r="Y191" s="38"/>
    </row>
    <row r="192" spans="2:25" ht="15.75" customHeight="1" x14ac:dyDescent="0.3">
      <c r="B192" s="2"/>
      <c r="C192" s="61" t="s">
        <v>424</v>
      </c>
      <c r="D192" s="62" t="s">
        <v>442</v>
      </c>
      <c r="E192" s="63" t="s">
        <v>443</v>
      </c>
      <c r="F192" s="64">
        <f>+'COMUNAS - HOME DELIVERY 2026'!F192*1.1</f>
        <v>4867.7376000000004</v>
      </c>
      <c r="G192" s="65">
        <f>+'COMUNAS - HOME DELIVERY 2026'!G192*1.1</f>
        <v>5198.0808000000006</v>
      </c>
      <c r="H192" s="65">
        <f>+'COMUNAS - HOME DELIVERY 2026'!H192*1.1</f>
        <v>5780.4384000000009</v>
      </c>
      <c r="I192" s="65">
        <f>+'COMUNAS - HOME DELIVERY 2026'!I192*1.1</f>
        <v>6592.1064000000015</v>
      </c>
      <c r="J192" s="65">
        <f>+'COMUNAS - HOME DELIVERY 2026'!J192*1.1</f>
        <v>8039.4864000000007</v>
      </c>
      <c r="K192" s="65">
        <f>+'COMUNAS - HOME DELIVERY 2026'!K192*1.1</f>
        <v>9518.652</v>
      </c>
      <c r="L192" s="65">
        <f>+'COMUNAS - HOME DELIVERY 2026'!L192*1.1</f>
        <v>10875.216</v>
      </c>
      <c r="M192" s="66">
        <f>+'COMUNAS - HOME DELIVERY 2026'!M192*1.1</f>
        <v>620.95440000000008</v>
      </c>
      <c r="N192" s="67">
        <f>+'COMUNAS - HOME DELIVERY 2026'!N192*1.1</f>
        <v>500.62320000000005</v>
      </c>
      <c r="O192" s="60"/>
      <c r="P192" s="2"/>
      <c r="Q192" s="2"/>
      <c r="R192" s="2"/>
      <c r="S192" s="2"/>
      <c r="T192" s="2"/>
      <c r="U192" s="2"/>
      <c r="V192" s="2"/>
      <c r="W192" s="2"/>
      <c r="X192" s="2"/>
      <c r="Y192" s="38"/>
    </row>
    <row r="193" spans="2:25" ht="15.75" customHeight="1" x14ac:dyDescent="0.3">
      <c r="B193" s="2"/>
      <c r="C193" s="61" t="s">
        <v>424</v>
      </c>
      <c r="D193" s="62" t="s">
        <v>444</v>
      </c>
      <c r="E193" s="63" t="s">
        <v>445</v>
      </c>
      <c r="F193" s="64">
        <f>+'COMUNAS - HOME DELIVERY 2026'!F193*1.1</f>
        <v>4867.7376000000004</v>
      </c>
      <c r="G193" s="65">
        <f>+'COMUNAS - HOME DELIVERY 2026'!G193*1.1</f>
        <v>5198.0808000000006</v>
      </c>
      <c r="H193" s="65">
        <f>+'COMUNAS - HOME DELIVERY 2026'!H193*1.1</f>
        <v>5780.4384000000009</v>
      </c>
      <c r="I193" s="65">
        <f>+'COMUNAS - HOME DELIVERY 2026'!I193*1.1</f>
        <v>6592.1064000000015</v>
      </c>
      <c r="J193" s="65">
        <f>+'COMUNAS - HOME DELIVERY 2026'!J193*1.1</f>
        <v>8039.4864000000007</v>
      </c>
      <c r="K193" s="65">
        <f>+'COMUNAS - HOME DELIVERY 2026'!K193*1.1</f>
        <v>9518.652</v>
      </c>
      <c r="L193" s="65">
        <f>+'COMUNAS - HOME DELIVERY 2026'!L193*1.1</f>
        <v>10875.216</v>
      </c>
      <c r="M193" s="66">
        <f>+'COMUNAS - HOME DELIVERY 2026'!M193*1.1</f>
        <v>620.95440000000008</v>
      </c>
      <c r="N193" s="67">
        <f>+'COMUNAS - HOME DELIVERY 2026'!N193*1.1</f>
        <v>500.62320000000005</v>
      </c>
      <c r="O193" s="60"/>
      <c r="P193" s="2"/>
      <c r="Q193" s="2"/>
      <c r="R193" s="2"/>
      <c r="S193" s="2"/>
      <c r="T193" s="2"/>
      <c r="U193" s="2"/>
      <c r="V193" s="2"/>
      <c r="W193" s="2"/>
      <c r="X193" s="2"/>
      <c r="Y193" s="38"/>
    </row>
    <row r="194" spans="2:25" ht="15.75" customHeight="1" x14ac:dyDescent="0.3">
      <c r="B194" s="2"/>
      <c r="C194" s="61" t="s">
        <v>424</v>
      </c>
      <c r="D194" s="62" t="s">
        <v>446</v>
      </c>
      <c r="E194" s="63" t="s">
        <v>447</v>
      </c>
      <c r="F194" s="64">
        <f>+'COMUNAS - HOME DELIVERY 2026'!F194*1.1</f>
        <v>7301.6064000000015</v>
      </c>
      <c r="G194" s="65">
        <f>+'COMUNAS - HOME DELIVERY 2026'!G194*1.1</f>
        <v>7797.1212000000014</v>
      </c>
      <c r="H194" s="65">
        <f>+'COMUNAS - HOME DELIVERY 2026'!H194*1.1</f>
        <v>8670.6576000000005</v>
      </c>
      <c r="I194" s="65">
        <f>+'COMUNAS - HOME DELIVERY 2026'!I194*1.1</f>
        <v>9888.1596000000009</v>
      </c>
      <c r="J194" s="65">
        <f>+'COMUNAS - HOME DELIVERY 2026'!J194*1.1</f>
        <v>12059.229600000001</v>
      </c>
      <c r="K194" s="65">
        <f>+'COMUNAS - HOME DELIVERY 2026'!K194*1.1</f>
        <v>14277.978000000001</v>
      </c>
      <c r="L194" s="65">
        <f>+'COMUNAS - HOME DELIVERY 2026'!L194*1.1</f>
        <v>16312.824000000002</v>
      </c>
      <c r="M194" s="66">
        <f>+'COMUNAS - HOME DELIVERY 2026'!M194*1.1</f>
        <v>931.4316</v>
      </c>
      <c r="N194" s="67">
        <f>+'COMUNAS - HOME DELIVERY 2026'!N194*1.1</f>
        <v>750.93480000000011</v>
      </c>
      <c r="O194" s="60"/>
      <c r="P194" s="2"/>
      <c r="Q194" s="2"/>
      <c r="R194" s="2"/>
      <c r="S194" s="2"/>
      <c r="T194" s="2"/>
      <c r="U194" s="2"/>
      <c r="V194" s="2"/>
      <c r="W194" s="2"/>
      <c r="X194" s="2"/>
      <c r="Y194" s="38"/>
    </row>
    <row r="195" spans="2:25" ht="15.75" customHeight="1" x14ac:dyDescent="0.3">
      <c r="B195" s="2"/>
      <c r="C195" s="61" t="s">
        <v>424</v>
      </c>
      <c r="D195" s="62" t="s">
        <v>448</v>
      </c>
      <c r="E195" s="63" t="s">
        <v>449</v>
      </c>
      <c r="F195" s="64">
        <f>+'COMUNAS - HOME DELIVERY 2026'!F195*1.1</f>
        <v>4867.7376000000004</v>
      </c>
      <c r="G195" s="65">
        <f>+'COMUNAS - HOME DELIVERY 2026'!G195*1.1</f>
        <v>5198.0808000000006</v>
      </c>
      <c r="H195" s="65">
        <f>+'COMUNAS - HOME DELIVERY 2026'!H195*1.1</f>
        <v>5780.4384000000009</v>
      </c>
      <c r="I195" s="65">
        <f>+'COMUNAS - HOME DELIVERY 2026'!I195*1.1</f>
        <v>6592.1064000000015</v>
      </c>
      <c r="J195" s="65">
        <f>+'COMUNAS - HOME DELIVERY 2026'!J195*1.1</f>
        <v>8039.4864000000007</v>
      </c>
      <c r="K195" s="65">
        <f>+'COMUNAS - HOME DELIVERY 2026'!K195*1.1</f>
        <v>9518.652</v>
      </c>
      <c r="L195" s="65">
        <f>+'COMUNAS - HOME DELIVERY 2026'!L195*1.1</f>
        <v>10875.216</v>
      </c>
      <c r="M195" s="66">
        <f>+'COMUNAS - HOME DELIVERY 2026'!M195*1.1</f>
        <v>620.95440000000008</v>
      </c>
      <c r="N195" s="67">
        <f>+'COMUNAS - HOME DELIVERY 2026'!N195*1.1</f>
        <v>500.62320000000005</v>
      </c>
      <c r="O195" s="60"/>
      <c r="P195" s="2"/>
      <c r="Q195" s="2"/>
      <c r="R195" s="2"/>
      <c r="S195" s="2"/>
      <c r="T195" s="2"/>
      <c r="U195" s="2"/>
      <c r="V195" s="2"/>
      <c r="W195" s="2"/>
      <c r="X195" s="2"/>
      <c r="Y195" s="38"/>
    </row>
    <row r="196" spans="2:25" ht="15.75" customHeight="1" x14ac:dyDescent="0.3">
      <c r="B196" s="2"/>
      <c r="C196" s="61" t="s">
        <v>424</v>
      </c>
      <c r="D196" s="62" t="s">
        <v>450</v>
      </c>
      <c r="E196" s="63" t="s">
        <v>451</v>
      </c>
      <c r="F196" s="64">
        <f>+'COMUNAS - HOME DELIVERY 2026'!F196*1.1</f>
        <v>4867.7376000000004</v>
      </c>
      <c r="G196" s="65">
        <f>+'COMUNAS - HOME DELIVERY 2026'!G196*1.1</f>
        <v>5198.0808000000006</v>
      </c>
      <c r="H196" s="65">
        <f>+'COMUNAS - HOME DELIVERY 2026'!H196*1.1</f>
        <v>5780.4384000000009</v>
      </c>
      <c r="I196" s="65">
        <f>+'COMUNAS - HOME DELIVERY 2026'!I196*1.1</f>
        <v>6592.1064000000015</v>
      </c>
      <c r="J196" s="65">
        <f>+'COMUNAS - HOME DELIVERY 2026'!J196*1.1</f>
        <v>8039.4864000000007</v>
      </c>
      <c r="K196" s="65">
        <f>+'COMUNAS - HOME DELIVERY 2026'!K196*1.1</f>
        <v>9518.652</v>
      </c>
      <c r="L196" s="65">
        <f>+'COMUNAS - HOME DELIVERY 2026'!L196*1.1</f>
        <v>10875.216</v>
      </c>
      <c r="M196" s="66">
        <f>+'COMUNAS - HOME DELIVERY 2026'!M196*1.1</f>
        <v>620.95440000000008</v>
      </c>
      <c r="N196" s="67">
        <f>+'COMUNAS - HOME DELIVERY 2026'!N196*1.1</f>
        <v>500.62320000000005</v>
      </c>
      <c r="O196" s="60"/>
      <c r="P196" s="2"/>
      <c r="Q196" s="2"/>
      <c r="R196" s="2"/>
      <c r="S196" s="2"/>
      <c r="T196" s="2"/>
      <c r="U196" s="2"/>
      <c r="V196" s="2"/>
      <c r="W196" s="2"/>
      <c r="X196" s="2"/>
      <c r="Y196" s="38"/>
    </row>
    <row r="197" spans="2:25" ht="15.75" customHeight="1" x14ac:dyDescent="0.3">
      <c r="B197" s="2"/>
      <c r="C197" s="61" t="s">
        <v>424</v>
      </c>
      <c r="D197" s="62" t="s">
        <v>452</v>
      </c>
      <c r="E197" s="63" t="s">
        <v>453</v>
      </c>
      <c r="F197" s="64">
        <f>+'COMUNAS - HOME DELIVERY 2026'!F197*1.1</f>
        <v>7301.6064000000015</v>
      </c>
      <c r="G197" s="65">
        <f>+'COMUNAS - HOME DELIVERY 2026'!G197*1.1</f>
        <v>7797.1212000000014</v>
      </c>
      <c r="H197" s="65">
        <f>+'COMUNAS - HOME DELIVERY 2026'!H197*1.1</f>
        <v>8670.6576000000005</v>
      </c>
      <c r="I197" s="65">
        <f>+'COMUNAS - HOME DELIVERY 2026'!I197*1.1</f>
        <v>9888.1596000000009</v>
      </c>
      <c r="J197" s="65">
        <f>+'COMUNAS - HOME DELIVERY 2026'!J197*1.1</f>
        <v>12059.229600000001</v>
      </c>
      <c r="K197" s="65">
        <f>+'COMUNAS - HOME DELIVERY 2026'!K197*1.1</f>
        <v>14277.978000000001</v>
      </c>
      <c r="L197" s="65">
        <f>+'COMUNAS - HOME DELIVERY 2026'!L197*1.1</f>
        <v>16312.824000000002</v>
      </c>
      <c r="M197" s="66">
        <f>+'COMUNAS - HOME DELIVERY 2026'!M197*1.1</f>
        <v>931.4316</v>
      </c>
      <c r="N197" s="67">
        <f>+'COMUNAS - HOME DELIVERY 2026'!N197*1.1</f>
        <v>750.93480000000011</v>
      </c>
      <c r="O197" s="60"/>
      <c r="P197" s="2"/>
      <c r="Q197" s="2"/>
      <c r="R197" s="2"/>
      <c r="S197" s="2"/>
      <c r="T197" s="2"/>
      <c r="U197" s="2"/>
      <c r="V197" s="2"/>
      <c r="W197" s="2"/>
      <c r="X197" s="2"/>
      <c r="Y197" s="38"/>
    </row>
    <row r="198" spans="2:25" ht="15.75" customHeight="1" x14ac:dyDescent="0.3">
      <c r="B198" s="2"/>
      <c r="C198" s="61" t="s">
        <v>424</v>
      </c>
      <c r="D198" s="62" t="s">
        <v>454</v>
      </c>
      <c r="E198" s="63" t="s">
        <v>455</v>
      </c>
      <c r="F198" s="64">
        <f>+'COMUNAS - HOME DELIVERY 2026'!F198*1.1</f>
        <v>4867.7376000000004</v>
      </c>
      <c r="G198" s="65">
        <f>+'COMUNAS - HOME DELIVERY 2026'!G198*1.1</f>
        <v>5198.0808000000006</v>
      </c>
      <c r="H198" s="65">
        <f>+'COMUNAS - HOME DELIVERY 2026'!H198*1.1</f>
        <v>5780.4384000000009</v>
      </c>
      <c r="I198" s="65">
        <f>+'COMUNAS - HOME DELIVERY 2026'!I198*1.1</f>
        <v>6592.1064000000015</v>
      </c>
      <c r="J198" s="65">
        <f>+'COMUNAS - HOME DELIVERY 2026'!J198*1.1</f>
        <v>8039.4864000000007</v>
      </c>
      <c r="K198" s="65">
        <f>+'COMUNAS - HOME DELIVERY 2026'!K198*1.1</f>
        <v>9518.652</v>
      </c>
      <c r="L198" s="65">
        <f>+'COMUNAS - HOME DELIVERY 2026'!L198*1.1</f>
        <v>10875.216</v>
      </c>
      <c r="M198" s="66">
        <f>+'COMUNAS - HOME DELIVERY 2026'!M198*1.1</f>
        <v>620.95440000000008</v>
      </c>
      <c r="N198" s="67">
        <f>+'COMUNAS - HOME DELIVERY 2026'!N198*1.1</f>
        <v>500.62320000000005</v>
      </c>
      <c r="O198" s="60"/>
      <c r="P198" s="2"/>
      <c r="Q198" s="2"/>
      <c r="R198" s="2"/>
      <c r="S198" s="2"/>
      <c r="T198" s="2"/>
      <c r="U198" s="2"/>
      <c r="V198" s="2"/>
      <c r="W198" s="2"/>
      <c r="X198" s="2"/>
      <c r="Y198" s="38"/>
    </row>
    <row r="199" spans="2:25" ht="15.75" customHeight="1" x14ac:dyDescent="0.3">
      <c r="B199" s="2"/>
      <c r="C199" s="61" t="s">
        <v>424</v>
      </c>
      <c r="D199" s="62" t="s">
        <v>456</v>
      </c>
      <c r="E199" s="63" t="s">
        <v>457</v>
      </c>
      <c r="F199" s="64">
        <f>+'COMUNAS - HOME DELIVERY 2026'!F199*1.1</f>
        <v>7301.6064000000015</v>
      </c>
      <c r="G199" s="65">
        <f>+'COMUNAS - HOME DELIVERY 2026'!G199*1.1</f>
        <v>7797.1212000000014</v>
      </c>
      <c r="H199" s="65">
        <f>+'COMUNAS - HOME DELIVERY 2026'!H199*1.1</f>
        <v>8670.6576000000005</v>
      </c>
      <c r="I199" s="65">
        <f>+'COMUNAS - HOME DELIVERY 2026'!I199*1.1</f>
        <v>9888.1596000000009</v>
      </c>
      <c r="J199" s="65">
        <f>+'COMUNAS - HOME DELIVERY 2026'!J199*1.1</f>
        <v>12059.229600000001</v>
      </c>
      <c r="K199" s="65">
        <f>+'COMUNAS - HOME DELIVERY 2026'!K199*1.1</f>
        <v>14277.978000000001</v>
      </c>
      <c r="L199" s="65">
        <f>+'COMUNAS - HOME DELIVERY 2026'!L199*1.1</f>
        <v>16312.824000000002</v>
      </c>
      <c r="M199" s="66">
        <f>+'COMUNAS - HOME DELIVERY 2026'!M199*1.1</f>
        <v>931.4316</v>
      </c>
      <c r="N199" s="67">
        <f>+'COMUNAS - HOME DELIVERY 2026'!N199*1.1</f>
        <v>750.93480000000011</v>
      </c>
      <c r="O199" s="60"/>
      <c r="P199" s="2"/>
      <c r="Q199" s="2"/>
      <c r="R199" s="2"/>
      <c r="S199" s="2"/>
      <c r="T199" s="2"/>
      <c r="U199" s="2"/>
      <c r="V199" s="2"/>
      <c r="W199" s="2"/>
      <c r="X199" s="2"/>
      <c r="Y199" s="38"/>
    </row>
    <row r="200" spans="2:25" ht="15.75" customHeight="1" x14ac:dyDescent="0.3">
      <c r="B200" s="2"/>
      <c r="C200" s="61" t="s">
        <v>424</v>
      </c>
      <c r="D200" s="62" t="s">
        <v>458</v>
      </c>
      <c r="E200" s="63" t="s">
        <v>459</v>
      </c>
      <c r="F200" s="64">
        <f>+'COMUNAS - HOME DELIVERY 2026'!F200*1.1</f>
        <v>4867.7376000000004</v>
      </c>
      <c r="G200" s="65">
        <f>+'COMUNAS - HOME DELIVERY 2026'!G200*1.1</f>
        <v>5198.0808000000006</v>
      </c>
      <c r="H200" s="65">
        <f>+'COMUNAS - HOME DELIVERY 2026'!H200*1.1</f>
        <v>5780.4384000000009</v>
      </c>
      <c r="I200" s="65">
        <f>+'COMUNAS - HOME DELIVERY 2026'!I200*1.1</f>
        <v>6592.1064000000015</v>
      </c>
      <c r="J200" s="65">
        <f>+'COMUNAS - HOME DELIVERY 2026'!J200*1.1</f>
        <v>8039.4864000000007</v>
      </c>
      <c r="K200" s="65">
        <f>+'COMUNAS - HOME DELIVERY 2026'!K200*1.1</f>
        <v>9518.652</v>
      </c>
      <c r="L200" s="65">
        <f>+'COMUNAS - HOME DELIVERY 2026'!L200*1.1</f>
        <v>10875.216</v>
      </c>
      <c r="M200" s="66">
        <f>+'COMUNAS - HOME DELIVERY 2026'!M200*1.1</f>
        <v>620.95440000000008</v>
      </c>
      <c r="N200" s="67">
        <f>+'COMUNAS - HOME DELIVERY 2026'!N200*1.1</f>
        <v>500.62320000000005</v>
      </c>
      <c r="O200" s="60"/>
      <c r="P200" s="2"/>
      <c r="Q200" s="2"/>
      <c r="R200" s="2"/>
      <c r="S200" s="2"/>
      <c r="T200" s="2"/>
      <c r="U200" s="2"/>
      <c r="V200" s="2"/>
      <c r="W200" s="2"/>
      <c r="X200" s="2"/>
      <c r="Y200" s="38"/>
    </row>
    <row r="201" spans="2:25" ht="15.75" customHeight="1" x14ac:dyDescent="0.3">
      <c r="B201" s="2"/>
      <c r="C201" s="61" t="s">
        <v>424</v>
      </c>
      <c r="D201" s="62" t="s">
        <v>460</v>
      </c>
      <c r="E201" s="63" t="s">
        <v>461</v>
      </c>
      <c r="F201" s="64">
        <f>+'COMUNAS - HOME DELIVERY 2026'!F201*1.1</f>
        <v>4867.7376000000004</v>
      </c>
      <c r="G201" s="65">
        <f>+'COMUNAS - HOME DELIVERY 2026'!G201*1.1</f>
        <v>5198.0808000000006</v>
      </c>
      <c r="H201" s="65">
        <f>+'COMUNAS - HOME DELIVERY 2026'!H201*1.1</f>
        <v>5780.4384000000009</v>
      </c>
      <c r="I201" s="65">
        <f>+'COMUNAS - HOME DELIVERY 2026'!I201*1.1</f>
        <v>6592.1064000000015</v>
      </c>
      <c r="J201" s="65">
        <f>+'COMUNAS - HOME DELIVERY 2026'!J201*1.1</f>
        <v>8039.4864000000007</v>
      </c>
      <c r="K201" s="65">
        <f>+'COMUNAS - HOME DELIVERY 2026'!K201*1.1</f>
        <v>9518.652</v>
      </c>
      <c r="L201" s="65">
        <f>+'COMUNAS - HOME DELIVERY 2026'!L201*1.1</f>
        <v>10875.216</v>
      </c>
      <c r="M201" s="66">
        <f>+'COMUNAS - HOME DELIVERY 2026'!M201*1.1</f>
        <v>620.95440000000008</v>
      </c>
      <c r="N201" s="67">
        <f>+'COMUNAS - HOME DELIVERY 2026'!N201*1.1</f>
        <v>500.62320000000005</v>
      </c>
      <c r="O201" s="60"/>
      <c r="P201" s="2"/>
      <c r="Q201" s="2"/>
      <c r="R201" s="2"/>
      <c r="S201" s="2"/>
      <c r="T201" s="2"/>
      <c r="U201" s="2"/>
      <c r="V201" s="2"/>
      <c r="W201" s="2"/>
      <c r="X201" s="2"/>
      <c r="Y201" s="38"/>
    </row>
    <row r="202" spans="2:25" ht="15.75" customHeight="1" x14ac:dyDescent="0.3">
      <c r="B202" s="2"/>
      <c r="C202" s="61" t="s">
        <v>424</v>
      </c>
      <c r="D202" s="62" t="s">
        <v>462</v>
      </c>
      <c r="E202" s="63" t="s">
        <v>463</v>
      </c>
      <c r="F202" s="64">
        <f>+'COMUNAS - HOME DELIVERY 2026'!F202*1.1</f>
        <v>7301.6064000000015</v>
      </c>
      <c r="G202" s="65">
        <f>+'COMUNAS - HOME DELIVERY 2026'!G202*1.1</f>
        <v>7797.1212000000014</v>
      </c>
      <c r="H202" s="65">
        <f>+'COMUNAS - HOME DELIVERY 2026'!H202*1.1</f>
        <v>8670.6576000000005</v>
      </c>
      <c r="I202" s="65">
        <f>+'COMUNAS - HOME DELIVERY 2026'!I202*1.1</f>
        <v>9888.1596000000009</v>
      </c>
      <c r="J202" s="65">
        <f>+'COMUNAS - HOME DELIVERY 2026'!J202*1.1</f>
        <v>12059.229600000001</v>
      </c>
      <c r="K202" s="65">
        <f>+'COMUNAS - HOME DELIVERY 2026'!K202*1.1</f>
        <v>14277.978000000001</v>
      </c>
      <c r="L202" s="65">
        <f>+'COMUNAS - HOME DELIVERY 2026'!L202*1.1</f>
        <v>16312.824000000002</v>
      </c>
      <c r="M202" s="66">
        <f>+'COMUNAS - HOME DELIVERY 2026'!M202*1.1</f>
        <v>931.4316</v>
      </c>
      <c r="N202" s="67">
        <f>+'COMUNAS - HOME DELIVERY 2026'!N202*1.1</f>
        <v>750.93480000000011</v>
      </c>
      <c r="O202" s="60"/>
      <c r="P202" s="2"/>
      <c r="Q202" s="2"/>
      <c r="R202" s="2"/>
      <c r="S202" s="2"/>
      <c r="T202" s="2"/>
      <c r="U202" s="2"/>
      <c r="V202" s="2"/>
      <c r="W202" s="2"/>
      <c r="X202" s="2"/>
      <c r="Y202" s="38"/>
    </row>
    <row r="203" spans="2:25" ht="15.75" customHeight="1" thickBot="1" x14ac:dyDescent="0.35">
      <c r="B203" s="2"/>
      <c r="C203" s="68" t="s">
        <v>424</v>
      </c>
      <c r="D203" s="69" t="s">
        <v>464</v>
      </c>
      <c r="E203" s="70" t="s">
        <v>465</v>
      </c>
      <c r="F203" s="71">
        <f>+'COMUNAS - HOME DELIVERY 2026'!F203*1.1</f>
        <v>7301.6064000000015</v>
      </c>
      <c r="G203" s="72">
        <f>+'COMUNAS - HOME DELIVERY 2026'!G203*1.1</f>
        <v>7797.1212000000014</v>
      </c>
      <c r="H203" s="72">
        <f>+'COMUNAS - HOME DELIVERY 2026'!H203*1.1</f>
        <v>8670.6576000000005</v>
      </c>
      <c r="I203" s="72">
        <f>+'COMUNAS - HOME DELIVERY 2026'!I203*1.1</f>
        <v>9888.1596000000009</v>
      </c>
      <c r="J203" s="72">
        <f>+'COMUNAS - HOME DELIVERY 2026'!J203*1.1</f>
        <v>12059.229600000001</v>
      </c>
      <c r="K203" s="72">
        <f>+'COMUNAS - HOME DELIVERY 2026'!K203*1.1</f>
        <v>14277.978000000001</v>
      </c>
      <c r="L203" s="72">
        <f>+'COMUNAS - HOME DELIVERY 2026'!L203*1.1</f>
        <v>16312.824000000002</v>
      </c>
      <c r="M203" s="73">
        <f>+'COMUNAS - HOME DELIVERY 2026'!M203*1.1</f>
        <v>931.4316</v>
      </c>
      <c r="N203" s="74">
        <f>+'COMUNAS - HOME DELIVERY 2026'!N203*1.1</f>
        <v>750.93480000000011</v>
      </c>
      <c r="O203" s="60"/>
      <c r="P203" s="2"/>
      <c r="Q203" s="2"/>
      <c r="R203" s="2"/>
      <c r="S203" s="2"/>
      <c r="T203" s="2"/>
      <c r="U203" s="2"/>
      <c r="V203" s="2"/>
      <c r="W203" s="2"/>
      <c r="X203" s="2"/>
      <c r="Y203" s="38"/>
    </row>
    <row r="204" spans="2:25" ht="15.75" customHeight="1" x14ac:dyDescent="0.3">
      <c r="B204" s="2"/>
      <c r="C204" s="53" t="s">
        <v>466</v>
      </c>
      <c r="D204" s="54" t="s">
        <v>467</v>
      </c>
      <c r="E204" s="55" t="s">
        <v>43</v>
      </c>
      <c r="F204" s="56">
        <f>+'COMUNAS - HOME DELIVERY 2026'!F204*1.1</f>
        <v>4867.7376000000004</v>
      </c>
      <c r="G204" s="57">
        <f>+'COMUNAS - HOME DELIVERY 2026'!G204*1.1</f>
        <v>5198.0808000000006</v>
      </c>
      <c r="H204" s="57">
        <f>+'COMUNAS - HOME DELIVERY 2026'!H204*1.1</f>
        <v>5780.4384000000009</v>
      </c>
      <c r="I204" s="57">
        <f>+'COMUNAS - HOME DELIVERY 2026'!I204*1.1</f>
        <v>6592.1064000000015</v>
      </c>
      <c r="J204" s="57">
        <f>+'COMUNAS - HOME DELIVERY 2026'!J204*1.1</f>
        <v>8039.4864000000007</v>
      </c>
      <c r="K204" s="57">
        <f>+'COMUNAS - HOME DELIVERY 2026'!K204*1.1</f>
        <v>9518.652</v>
      </c>
      <c r="L204" s="57">
        <f>+'COMUNAS - HOME DELIVERY 2026'!L204*1.1</f>
        <v>10875.216</v>
      </c>
      <c r="M204" s="58">
        <f>+'COMUNAS - HOME DELIVERY 2026'!M204*1.1</f>
        <v>620.95440000000008</v>
      </c>
      <c r="N204" s="59">
        <f>+'COMUNAS - HOME DELIVERY 2026'!N204*1.1</f>
        <v>500.62320000000005</v>
      </c>
      <c r="O204" s="60"/>
      <c r="P204" s="2"/>
      <c r="Q204" s="2"/>
      <c r="R204" s="2"/>
      <c r="S204" s="2"/>
      <c r="T204" s="2"/>
      <c r="U204" s="2"/>
      <c r="V204" s="2"/>
      <c r="W204" s="2"/>
      <c r="X204" s="2"/>
      <c r="Y204" s="38"/>
    </row>
    <row r="205" spans="2:25" ht="15.75" customHeight="1" x14ac:dyDescent="0.3">
      <c r="B205" s="2"/>
      <c r="C205" s="75" t="s">
        <v>466</v>
      </c>
      <c r="D205" s="76" t="s">
        <v>468</v>
      </c>
      <c r="E205" s="77" t="s">
        <v>469</v>
      </c>
      <c r="F205" s="64">
        <f>+'COMUNAS - HOME DELIVERY 2026'!F205*1.1</f>
        <v>7560.4320000000007</v>
      </c>
      <c r="G205" s="65">
        <f>+'COMUNAS - HOME DELIVERY 2026'!G205*1.1</f>
        <v>8076.3804</v>
      </c>
      <c r="H205" s="65">
        <f>+'COMUNAS - HOME DELIVERY 2026'!H205*1.1</f>
        <v>8980.5672000000013</v>
      </c>
      <c r="I205" s="65">
        <f>+'COMUNAS - HOME DELIVERY 2026'!I205*1.1</f>
        <v>10238.936400000001</v>
      </c>
      <c r="J205" s="65">
        <f>+'COMUNAS - HOME DELIVERY 2026'!J205*1.1</f>
        <v>12462.7932</v>
      </c>
      <c r="K205" s="65">
        <f>+'COMUNAS - HOME DELIVERY 2026'!K205*1.1</f>
        <v>14722.408800000001</v>
      </c>
      <c r="L205" s="65">
        <f>+'COMUNAS - HOME DELIVERY 2026'!L205*1.1</f>
        <v>16767.471600000001</v>
      </c>
      <c r="M205" s="66">
        <f>+'COMUNAS - HOME DELIVERY 2026'!M205*1.1</f>
        <v>936.54000000000008</v>
      </c>
      <c r="N205" s="67">
        <f>+'COMUNAS - HOME DELIVERY 2026'!N205*1.1</f>
        <v>762.85440000000006</v>
      </c>
      <c r="O205" s="60"/>
      <c r="P205" s="2"/>
      <c r="Q205" s="2"/>
      <c r="R205" s="2"/>
      <c r="S205" s="2"/>
      <c r="T205" s="2"/>
      <c r="U205" s="2"/>
      <c r="V205" s="2"/>
      <c r="W205" s="2"/>
      <c r="X205" s="2"/>
      <c r="Y205" s="38"/>
    </row>
    <row r="206" spans="2:25" ht="15.75" customHeight="1" x14ac:dyDescent="0.3">
      <c r="B206" s="2"/>
      <c r="C206" s="61" t="s">
        <v>466</v>
      </c>
      <c r="D206" s="62" t="s">
        <v>470</v>
      </c>
      <c r="E206" s="63" t="s">
        <v>471</v>
      </c>
      <c r="F206" s="64">
        <f>+'COMUNAS - HOME DELIVERY 2026'!F206*1.1</f>
        <v>5040.2880000000005</v>
      </c>
      <c r="G206" s="65">
        <f>+'COMUNAS - HOME DELIVERY 2026'!G206*1.1</f>
        <v>5384.2536</v>
      </c>
      <c r="H206" s="65">
        <f>+'COMUNAS - HOME DELIVERY 2026'!H206*1.1</f>
        <v>5987.0448000000006</v>
      </c>
      <c r="I206" s="65">
        <f>+'COMUNAS - HOME DELIVERY 2026'!I206*1.1</f>
        <v>6825.9576000000006</v>
      </c>
      <c r="J206" s="65">
        <f>+'COMUNAS - HOME DELIVERY 2026'!J206*1.1</f>
        <v>8308.5288000000019</v>
      </c>
      <c r="K206" s="65">
        <f>+'COMUNAS - HOME DELIVERY 2026'!K206*1.1</f>
        <v>9814.9392000000007</v>
      </c>
      <c r="L206" s="65">
        <f>+'COMUNAS - HOME DELIVERY 2026'!L206*1.1</f>
        <v>11178.314400000003</v>
      </c>
      <c r="M206" s="66">
        <f>+'COMUNAS - HOME DELIVERY 2026'!M206*1.1</f>
        <v>624.36000000000013</v>
      </c>
      <c r="N206" s="67">
        <f>+'COMUNAS - HOME DELIVERY 2026'!N206*1.1</f>
        <v>508.56960000000004</v>
      </c>
      <c r="O206" s="60"/>
      <c r="P206" s="2"/>
      <c r="Q206" s="2"/>
      <c r="R206" s="2"/>
      <c r="S206" s="2"/>
      <c r="T206" s="2"/>
      <c r="U206" s="2"/>
      <c r="V206" s="2"/>
      <c r="W206" s="2"/>
      <c r="X206" s="2"/>
      <c r="Y206" s="38"/>
    </row>
    <row r="207" spans="2:25" ht="15.75" customHeight="1" x14ac:dyDescent="0.3">
      <c r="B207" s="2"/>
      <c r="C207" s="61" t="s">
        <v>466</v>
      </c>
      <c r="D207" s="62" t="s">
        <v>472</v>
      </c>
      <c r="E207" s="63" t="s">
        <v>473</v>
      </c>
      <c r="F207" s="64">
        <f>+'COMUNAS - HOME DELIVERY 2026'!F207*1.1</f>
        <v>4867.7376000000004</v>
      </c>
      <c r="G207" s="65">
        <f>+'COMUNAS - HOME DELIVERY 2026'!G207*1.1</f>
        <v>5198.0808000000006</v>
      </c>
      <c r="H207" s="65">
        <f>+'COMUNAS - HOME DELIVERY 2026'!H207*1.1</f>
        <v>5780.4384000000009</v>
      </c>
      <c r="I207" s="65">
        <f>+'COMUNAS - HOME DELIVERY 2026'!I207*1.1</f>
        <v>6592.1064000000015</v>
      </c>
      <c r="J207" s="65">
        <f>+'COMUNAS - HOME DELIVERY 2026'!J207*1.1</f>
        <v>8039.4864000000007</v>
      </c>
      <c r="K207" s="65">
        <f>+'COMUNAS - HOME DELIVERY 2026'!K207*1.1</f>
        <v>9518.652</v>
      </c>
      <c r="L207" s="65">
        <f>+'COMUNAS - HOME DELIVERY 2026'!L207*1.1</f>
        <v>10875.216</v>
      </c>
      <c r="M207" s="66">
        <f>+'COMUNAS - HOME DELIVERY 2026'!M207*1.1</f>
        <v>620.95440000000008</v>
      </c>
      <c r="N207" s="67">
        <f>+'COMUNAS - HOME DELIVERY 2026'!N207*1.1</f>
        <v>500.62320000000005</v>
      </c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38"/>
    </row>
    <row r="208" spans="2:25" ht="15.75" customHeight="1" x14ac:dyDescent="0.3">
      <c r="B208" s="2"/>
      <c r="C208" s="61" t="s">
        <v>466</v>
      </c>
      <c r="D208" s="62" t="s">
        <v>474</v>
      </c>
      <c r="E208" s="63" t="s">
        <v>475</v>
      </c>
      <c r="F208" s="64">
        <f>+'COMUNAS - HOME DELIVERY 2026'!F208*1.1</f>
        <v>5040.2880000000005</v>
      </c>
      <c r="G208" s="65">
        <f>+'COMUNAS - HOME DELIVERY 2026'!G208*1.1</f>
        <v>5384.2536</v>
      </c>
      <c r="H208" s="65">
        <f>+'COMUNAS - HOME DELIVERY 2026'!H208*1.1</f>
        <v>5987.0448000000006</v>
      </c>
      <c r="I208" s="65">
        <f>+'COMUNAS - HOME DELIVERY 2026'!I208*1.1</f>
        <v>6825.9576000000006</v>
      </c>
      <c r="J208" s="65">
        <f>+'COMUNAS - HOME DELIVERY 2026'!J208*1.1</f>
        <v>8308.5288000000019</v>
      </c>
      <c r="K208" s="65">
        <f>+'COMUNAS - HOME DELIVERY 2026'!K208*1.1</f>
        <v>9814.9392000000007</v>
      </c>
      <c r="L208" s="65">
        <f>+'COMUNAS - HOME DELIVERY 2026'!L208*1.1</f>
        <v>11178.314400000003</v>
      </c>
      <c r="M208" s="66">
        <f>+'COMUNAS - HOME DELIVERY 2026'!M208*1.1</f>
        <v>624.36000000000013</v>
      </c>
      <c r="N208" s="67">
        <f>+'COMUNAS - HOME DELIVERY 2026'!N208*1.1</f>
        <v>508.56960000000004</v>
      </c>
      <c r="O208" s="60"/>
      <c r="P208" s="2"/>
      <c r="Q208" s="2"/>
      <c r="R208" s="2"/>
      <c r="S208" s="2"/>
      <c r="T208" s="2"/>
      <c r="U208" s="2"/>
      <c r="V208" s="2"/>
      <c r="W208" s="2"/>
      <c r="X208" s="2"/>
      <c r="Y208" s="38"/>
    </row>
    <row r="209" spans="2:25" ht="15.75" customHeight="1" x14ac:dyDescent="0.3">
      <c r="B209" s="2"/>
      <c r="C209" s="61" t="s">
        <v>466</v>
      </c>
      <c r="D209" s="62" t="s">
        <v>476</v>
      </c>
      <c r="E209" s="63" t="s">
        <v>477</v>
      </c>
      <c r="F209" s="64">
        <f>+'COMUNAS - HOME DELIVERY 2026'!F209*1.1</f>
        <v>7301.6064000000015</v>
      </c>
      <c r="G209" s="65">
        <f>+'COMUNAS - HOME DELIVERY 2026'!G209*1.1</f>
        <v>7797.1212000000014</v>
      </c>
      <c r="H209" s="65">
        <f>+'COMUNAS - HOME DELIVERY 2026'!H209*1.1</f>
        <v>8670.6576000000005</v>
      </c>
      <c r="I209" s="65">
        <f>+'COMUNAS - HOME DELIVERY 2026'!I209*1.1</f>
        <v>9888.1596000000009</v>
      </c>
      <c r="J209" s="65">
        <f>+'COMUNAS - HOME DELIVERY 2026'!J209*1.1</f>
        <v>12059.229600000001</v>
      </c>
      <c r="K209" s="65">
        <f>+'COMUNAS - HOME DELIVERY 2026'!K209*1.1</f>
        <v>14277.978000000001</v>
      </c>
      <c r="L209" s="65">
        <f>+'COMUNAS - HOME DELIVERY 2026'!L209*1.1</f>
        <v>16312.824000000002</v>
      </c>
      <c r="M209" s="66">
        <f>+'COMUNAS - HOME DELIVERY 2026'!M209*1.1</f>
        <v>931.4316</v>
      </c>
      <c r="N209" s="67">
        <f>+'COMUNAS - HOME DELIVERY 2026'!N209*1.1</f>
        <v>750.93480000000011</v>
      </c>
      <c r="O209" s="60"/>
      <c r="P209" s="2"/>
      <c r="Q209" s="2"/>
      <c r="R209" s="2"/>
      <c r="S209" s="2"/>
      <c r="T209" s="2"/>
      <c r="U209" s="2"/>
      <c r="V209" s="2"/>
      <c r="W209" s="2"/>
      <c r="X209" s="2"/>
      <c r="Y209" s="38"/>
    </row>
    <row r="210" spans="2:25" ht="15.75" customHeight="1" x14ac:dyDescent="0.3">
      <c r="B210" s="2"/>
      <c r="C210" s="61" t="s">
        <v>466</v>
      </c>
      <c r="D210" s="62" t="s">
        <v>478</v>
      </c>
      <c r="E210" s="63" t="s">
        <v>479</v>
      </c>
      <c r="F210" s="64">
        <f>+'COMUNAS - HOME DELIVERY 2026'!F210*1.1</f>
        <v>4867.7376000000004</v>
      </c>
      <c r="G210" s="65">
        <f>+'COMUNAS - HOME DELIVERY 2026'!G210*1.1</f>
        <v>5198.0808000000006</v>
      </c>
      <c r="H210" s="65">
        <f>+'COMUNAS - HOME DELIVERY 2026'!H210*1.1</f>
        <v>5780.4384000000009</v>
      </c>
      <c r="I210" s="65">
        <f>+'COMUNAS - HOME DELIVERY 2026'!I210*1.1</f>
        <v>6592.1064000000015</v>
      </c>
      <c r="J210" s="65">
        <f>+'COMUNAS - HOME DELIVERY 2026'!J210*1.1</f>
        <v>8039.4864000000007</v>
      </c>
      <c r="K210" s="65">
        <f>+'COMUNAS - HOME DELIVERY 2026'!K210*1.1</f>
        <v>9518.652</v>
      </c>
      <c r="L210" s="65">
        <f>+'COMUNAS - HOME DELIVERY 2026'!L210*1.1</f>
        <v>10875.216</v>
      </c>
      <c r="M210" s="66">
        <f>+'COMUNAS - HOME DELIVERY 2026'!M210*1.1</f>
        <v>620.95440000000008</v>
      </c>
      <c r="N210" s="67">
        <f>+'COMUNAS - HOME DELIVERY 2026'!N210*1.1</f>
        <v>500.62320000000005</v>
      </c>
      <c r="O210" s="60"/>
      <c r="P210" s="2"/>
      <c r="Q210" s="2"/>
      <c r="R210" s="2"/>
      <c r="S210" s="2"/>
      <c r="T210" s="2"/>
      <c r="U210" s="2"/>
      <c r="V210" s="2"/>
      <c r="W210" s="2"/>
      <c r="X210" s="2"/>
      <c r="Y210" s="38"/>
    </row>
    <row r="211" spans="2:25" ht="15.75" customHeight="1" x14ac:dyDescent="0.3">
      <c r="B211" s="2"/>
      <c r="C211" s="61" t="s">
        <v>466</v>
      </c>
      <c r="D211" s="62" t="s">
        <v>480</v>
      </c>
      <c r="E211" s="63" t="s">
        <v>481</v>
      </c>
      <c r="F211" s="64">
        <f>+'COMUNAS - HOME DELIVERY 2026'!F211*1.1</f>
        <v>7301.6064000000015</v>
      </c>
      <c r="G211" s="65">
        <f>+'COMUNAS - HOME DELIVERY 2026'!G211*1.1</f>
        <v>7797.1212000000014</v>
      </c>
      <c r="H211" s="65">
        <f>+'COMUNAS - HOME DELIVERY 2026'!H211*1.1</f>
        <v>8670.6576000000005</v>
      </c>
      <c r="I211" s="65">
        <f>+'COMUNAS - HOME DELIVERY 2026'!I211*1.1</f>
        <v>9888.1596000000009</v>
      </c>
      <c r="J211" s="65">
        <f>+'COMUNAS - HOME DELIVERY 2026'!J211*1.1</f>
        <v>12059.229600000001</v>
      </c>
      <c r="K211" s="65">
        <f>+'COMUNAS - HOME DELIVERY 2026'!K211*1.1</f>
        <v>14277.978000000001</v>
      </c>
      <c r="L211" s="65">
        <f>+'COMUNAS - HOME DELIVERY 2026'!L211*1.1</f>
        <v>16312.824000000002</v>
      </c>
      <c r="M211" s="66">
        <f>+'COMUNAS - HOME DELIVERY 2026'!M211*1.1</f>
        <v>931.4316</v>
      </c>
      <c r="N211" s="67">
        <f>+'COMUNAS - HOME DELIVERY 2026'!N211*1.1</f>
        <v>750.93480000000011</v>
      </c>
      <c r="O211" s="60"/>
      <c r="P211" s="2"/>
      <c r="Q211" s="2"/>
      <c r="R211" s="2"/>
      <c r="S211" s="2"/>
      <c r="T211" s="2"/>
      <c r="U211" s="2"/>
      <c r="V211" s="2"/>
      <c r="W211" s="2"/>
      <c r="X211" s="2"/>
      <c r="Y211" s="38"/>
    </row>
    <row r="212" spans="2:25" ht="15.75" customHeight="1" x14ac:dyDescent="0.3">
      <c r="B212" s="2"/>
      <c r="C212" s="61" t="s">
        <v>466</v>
      </c>
      <c r="D212" s="62" t="s">
        <v>482</v>
      </c>
      <c r="E212" s="63" t="s">
        <v>483</v>
      </c>
      <c r="F212" s="64">
        <f>+'COMUNAS - HOME DELIVERY 2026'!F212*1.1</f>
        <v>4867.7376000000004</v>
      </c>
      <c r="G212" s="65">
        <f>+'COMUNAS - HOME DELIVERY 2026'!G212*1.1</f>
        <v>5198.0808000000006</v>
      </c>
      <c r="H212" s="65">
        <f>+'COMUNAS - HOME DELIVERY 2026'!H212*1.1</f>
        <v>5780.4384000000009</v>
      </c>
      <c r="I212" s="65">
        <f>+'COMUNAS - HOME DELIVERY 2026'!I212*1.1</f>
        <v>6592.1064000000015</v>
      </c>
      <c r="J212" s="65">
        <f>+'COMUNAS - HOME DELIVERY 2026'!J212*1.1</f>
        <v>8039.4864000000007</v>
      </c>
      <c r="K212" s="65">
        <f>+'COMUNAS - HOME DELIVERY 2026'!K212*1.1</f>
        <v>9518.652</v>
      </c>
      <c r="L212" s="65">
        <f>+'COMUNAS - HOME DELIVERY 2026'!L212*1.1</f>
        <v>10875.216</v>
      </c>
      <c r="M212" s="66">
        <f>+'COMUNAS - HOME DELIVERY 2026'!M212*1.1</f>
        <v>620.95440000000008</v>
      </c>
      <c r="N212" s="67">
        <f>+'COMUNAS - HOME DELIVERY 2026'!N212*1.1</f>
        <v>500.62320000000005</v>
      </c>
      <c r="O212" s="60"/>
      <c r="P212" s="2"/>
      <c r="Q212" s="2"/>
      <c r="R212" s="2"/>
      <c r="S212" s="2"/>
      <c r="T212" s="2"/>
      <c r="U212" s="2"/>
      <c r="V212" s="2"/>
      <c r="W212" s="2"/>
      <c r="X212" s="2"/>
      <c r="Y212" s="38"/>
    </row>
    <row r="213" spans="2:25" ht="15.75" customHeight="1" x14ac:dyDescent="0.3">
      <c r="B213" s="2"/>
      <c r="C213" s="61" t="s">
        <v>466</v>
      </c>
      <c r="D213" s="62" t="s">
        <v>484</v>
      </c>
      <c r="E213" s="63" t="s">
        <v>485</v>
      </c>
      <c r="F213" s="64">
        <f>+'COMUNAS - HOME DELIVERY 2026'!F213*1.1</f>
        <v>7301.6064000000015</v>
      </c>
      <c r="G213" s="65">
        <f>+'COMUNAS - HOME DELIVERY 2026'!G213*1.1</f>
        <v>7797.1212000000014</v>
      </c>
      <c r="H213" s="65">
        <f>+'COMUNAS - HOME DELIVERY 2026'!H213*1.1</f>
        <v>8670.6576000000005</v>
      </c>
      <c r="I213" s="65">
        <f>+'COMUNAS - HOME DELIVERY 2026'!I213*1.1</f>
        <v>9888.1596000000009</v>
      </c>
      <c r="J213" s="65">
        <f>+'COMUNAS - HOME DELIVERY 2026'!J213*1.1</f>
        <v>12059.229600000001</v>
      </c>
      <c r="K213" s="65">
        <f>+'COMUNAS - HOME DELIVERY 2026'!K213*1.1</f>
        <v>14277.978000000001</v>
      </c>
      <c r="L213" s="65">
        <f>+'COMUNAS - HOME DELIVERY 2026'!L213*1.1</f>
        <v>16312.824000000002</v>
      </c>
      <c r="M213" s="66">
        <f>+'COMUNAS - HOME DELIVERY 2026'!M213*1.1</f>
        <v>931.4316</v>
      </c>
      <c r="N213" s="67">
        <f>+'COMUNAS - HOME DELIVERY 2026'!N213*1.1</f>
        <v>750.93480000000011</v>
      </c>
      <c r="O213" s="60"/>
      <c r="P213" s="2"/>
      <c r="Q213" s="2"/>
      <c r="R213" s="2"/>
      <c r="S213" s="2"/>
      <c r="T213" s="2"/>
      <c r="U213" s="2"/>
      <c r="V213" s="2"/>
      <c r="W213" s="2"/>
      <c r="X213" s="2"/>
      <c r="Y213" s="38"/>
    </row>
    <row r="214" spans="2:25" ht="15.75" customHeight="1" x14ac:dyDescent="0.3">
      <c r="B214" s="2"/>
      <c r="C214" s="61" t="s">
        <v>466</v>
      </c>
      <c r="D214" s="62" t="s">
        <v>486</v>
      </c>
      <c r="E214" s="63" t="s">
        <v>487</v>
      </c>
      <c r="F214" s="64">
        <f>+'COMUNAS - HOME DELIVERY 2026'!F214*1.1</f>
        <v>4867.7376000000004</v>
      </c>
      <c r="G214" s="65">
        <f>+'COMUNAS - HOME DELIVERY 2026'!G214*1.1</f>
        <v>5198.0808000000006</v>
      </c>
      <c r="H214" s="65">
        <f>+'COMUNAS - HOME DELIVERY 2026'!H214*1.1</f>
        <v>5780.4384000000009</v>
      </c>
      <c r="I214" s="65">
        <f>+'COMUNAS - HOME DELIVERY 2026'!I214*1.1</f>
        <v>6592.1064000000015</v>
      </c>
      <c r="J214" s="65">
        <f>+'COMUNAS - HOME DELIVERY 2026'!J214*1.1</f>
        <v>8039.4864000000007</v>
      </c>
      <c r="K214" s="65">
        <f>+'COMUNAS - HOME DELIVERY 2026'!K214*1.1</f>
        <v>9518.652</v>
      </c>
      <c r="L214" s="65">
        <f>+'COMUNAS - HOME DELIVERY 2026'!L214*1.1</f>
        <v>10875.216</v>
      </c>
      <c r="M214" s="66">
        <f>+'COMUNAS - HOME DELIVERY 2026'!M214*1.1</f>
        <v>620.95440000000008</v>
      </c>
      <c r="N214" s="67">
        <f>+'COMUNAS - HOME DELIVERY 2026'!N214*1.1</f>
        <v>500.62320000000005</v>
      </c>
      <c r="O214" s="60"/>
      <c r="P214" s="2"/>
      <c r="Q214" s="2"/>
      <c r="R214" s="2"/>
      <c r="S214" s="2"/>
      <c r="T214" s="2"/>
      <c r="U214" s="2"/>
      <c r="V214" s="2"/>
      <c r="W214" s="2"/>
      <c r="X214" s="2"/>
      <c r="Y214" s="38"/>
    </row>
    <row r="215" spans="2:25" ht="15.75" customHeight="1" x14ac:dyDescent="0.3">
      <c r="B215" s="2"/>
      <c r="C215" s="61" t="s">
        <v>466</v>
      </c>
      <c r="D215" s="62" t="s">
        <v>488</v>
      </c>
      <c r="E215" s="63" t="s">
        <v>489</v>
      </c>
      <c r="F215" s="64">
        <f>+'COMUNAS - HOME DELIVERY 2026'!F215*1.1</f>
        <v>4867.7376000000004</v>
      </c>
      <c r="G215" s="65">
        <f>+'COMUNAS - HOME DELIVERY 2026'!G215*1.1</f>
        <v>5198.0808000000006</v>
      </c>
      <c r="H215" s="65">
        <f>+'COMUNAS - HOME DELIVERY 2026'!H215*1.1</f>
        <v>5780.4384000000009</v>
      </c>
      <c r="I215" s="65">
        <f>+'COMUNAS - HOME DELIVERY 2026'!I215*1.1</f>
        <v>6592.1064000000015</v>
      </c>
      <c r="J215" s="65">
        <f>+'COMUNAS - HOME DELIVERY 2026'!J215*1.1</f>
        <v>8039.4864000000007</v>
      </c>
      <c r="K215" s="65">
        <f>+'COMUNAS - HOME DELIVERY 2026'!K215*1.1</f>
        <v>9518.652</v>
      </c>
      <c r="L215" s="65">
        <f>+'COMUNAS - HOME DELIVERY 2026'!L215*1.1</f>
        <v>10875.216</v>
      </c>
      <c r="M215" s="66">
        <f>+'COMUNAS - HOME DELIVERY 2026'!M215*1.1</f>
        <v>620.95440000000008</v>
      </c>
      <c r="N215" s="67">
        <f>+'COMUNAS - HOME DELIVERY 2026'!N215*1.1</f>
        <v>500.62320000000005</v>
      </c>
      <c r="O215" s="60"/>
      <c r="P215" s="2"/>
      <c r="Q215" s="2"/>
      <c r="R215" s="2"/>
      <c r="S215" s="2"/>
      <c r="T215" s="2"/>
      <c r="U215" s="2"/>
      <c r="V215" s="2"/>
      <c r="W215" s="2"/>
      <c r="X215" s="2"/>
      <c r="Y215" s="38"/>
    </row>
    <row r="216" spans="2:25" ht="15.75" customHeight="1" x14ac:dyDescent="0.3">
      <c r="B216" s="2"/>
      <c r="C216" s="61" t="s">
        <v>466</v>
      </c>
      <c r="D216" s="62" t="s">
        <v>490</v>
      </c>
      <c r="E216" s="63" t="s">
        <v>491</v>
      </c>
      <c r="F216" s="64">
        <f>+'COMUNAS - HOME DELIVERY 2026'!F216*1.1</f>
        <v>4867.7376000000004</v>
      </c>
      <c r="G216" s="65">
        <f>+'COMUNAS - HOME DELIVERY 2026'!G216*1.1</f>
        <v>5198.0808000000006</v>
      </c>
      <c r="H216" s="65">
        <f>+'COMUNAS - HOME DELIVERY 2026'!H216*1.1</f>
        <v>5780.4384000000009</v>
      </c>
      <c r="I216" s="65">
        <f>+'COMUNAS - HOME DELIVERY 2026'!I216*1.1</f>
        <v>6592.1064000000015</v>
      </c>
      <c r="J216" s="65">
        <f>+'COMUNAS - HOME DELIVERY 2026'!J216*1.1</f>
        <v>8039.4864000000007</v>
      </c>
      <c r="K216" s="65">
        <f>+'COMUNAS - HOME DELIVERY 2026'!K216*1.1</f>
        <v>9518.652</v>
      </c>
      <c r="L216" s="65">
        <f>+'COMUNAS - HOME DELIVERY 2026'!L216*1.1</f>
        <v>10875.216</v>
      </c>
      <c r="M216" s="66">
        <f>+'COMUNAS - HOME DELIVERY 2026'!M216*1.1</f>
        <v>620.95440000000008</v>
      </c>
      <c r="N216" s="67">
        <f>+'COMUNAS - HOME DELIVERY 2026'!N216*1.1</f>
        <v>500.62320000000005</v>
      </c>
      <c r="O216" s="60"/>
      <c r="P216" s="2"/>
      <c r="Q216" s="2"/>
      <c r="R216" s="2"/>
      <c r="S216" s="2"/>
      <c r="T216" s="2"/>
      <c r="U216" s="2"/>
      <c r="V216" s="2"/>
      <c r="W216" s="2"/>
      <c r="X216" s="2"/>
      <c r="Y216" s="38"/>
    </row>
    <row r="217" spans="2:25" ht="15.75" customHeight="1" x14ac:dyDescent="0.3">
      <c r="B217" s="2"/>
      <c r="C217" s="61" t="s">
        <v>466</v>
      </c>
      <c r="D217" s="62" t="s">
        <v>492</v>
      </c>
      <c r="E217" s="63" t="s">
        <v>493</v>
      </c>
      <c r="F217" s="64">
        <f>+'COMUNAS - HOME DELIVERY 2026'!F217*1.1</f>
        <v>5040.2880000000005</v>
      </c>
      <c r="G217" s="65">
        <f>+'COMUNAS - HOME DELIVERY 2026'!G217*1.1</f>
        <v>5384.2536</v>
      </c>
      <c r="H217" s="65">
        <f>+'COMUNAS - HOME DELIVERY 2026'!H217*1.1</f>
        <v>5987.0448000000006</v>
      </c>
      <c r="I217" s="65">
        <f>+'COMUNAS - HOME DELIVERY 2026'!I217*1.1</f>
        <v>6825.9576000000006</v>
      </c>
      <c r="J217" s="65">
        <f>+'COMUNAS - HOME DELIVERY 2026'!J217*1.1</f>
        <v>8308.5288000000019</v>
      </c>
      <c r="K217" s="65">
        <f>+'COMUNAS - HOME DELIVERY 2026'!K217*1.1</f>
        <v>9814.9392000000007</v>
      </c>
      <c r="L217" s="65">
        <f>+'COMUNAS - HOME DELIVERY 2026'!L217*1.1</f>
        <v>11178.314400000003</v>
      </c>
      <c r="M217" s="66">
        <f>+'COMUNAS - HOME DELIVERY 2026'!M217*1.1</f>
        <v>624.36000000000013</v>
      </c>
      <c r="N217" s="67">
        <f>+'COMUNAS - HOME DELIVERY 2026'!N217*1.1</f>
        <v>508.56960000000004</v>
      </c>
      <c r="O217" s="60"/>
      <c r="P217" s="2"/>
      <c r="Q217" s="2"/>
      <c r="R217" s="2"/>
      <c r="S217" s="2"/>
      <c r="T217" s="2"/>
      <c r="U217" s="2"/>
      <c r="V217" s="2"/>
      <c r="W217" s="2"/>
      <c r="X217" s="2"/>
      <c r="Y217" s="38"/>
    </row>
    <row r="218" spans="2:25" ht="15.75" customHeight="1" x14ac:dyDescent="0.3">
      <c r="B218" s="2"/>
      <c r="C218" s="61" t="s">
        <v>466</v>
      </c>
      <c r="D218" s="62" t="s">
        <v>494</v>
      </c>
      <c r="E218" s="63" t="s">
        <v>495</v>
      </c>
      <c r="F218" s="64">
        <f>+'COMUNAS - HOME DELIVERY 2026'!F218*1.1</f>
        <v>7301.6064000000015</v>
      </c>
      <c r="G218" s="65">
        <f>+'COMUNAS - HOME DELIVERY 2026'!G218*1.1</f>
        <v>7797.1212000000014</v>
      </c>
      <c r="H218" s="65">
        <f>+'COMUNAS - HOME DELIVERY 2026'!H218*1.1</f>
        <v>8670.6576000000005</v>
      </c>
      <c r="I218" s="65">
        <f>+'COMUNAS - HOME DELIVERY 2026'!I218*1.1</f>
        <v>9888.1596000000009</v>
      </c>
      <c r="J218" s="65">
        <f>+'COMUNAS - HOME DELIVERY 2026'!J218*1.1</f>
        <v>12059.229600000001</v>
      </c>
      <c r="K218" s="65">
        <f>+'COMUNAS - HOME DELIVERY 2026'!K218*1.1</f>
        <v>14277.978000000001</v>
      </c>
      <c r="L218" s="65">
        <f>+'COMUNAS - HOME DELIVERY 2026'!L218*1.1</f>
        <v>16312.824000000002</v>
      </c>
      <c r="M218" s="66">
        <f>+'COMUNAS - HOME DELIVERY 2026'!M218*1.1</f>
        <v>931.4316</v>
      </c>
      <c r="N218" s="67">
        <f>+'COMUNAS - HOME DELIVERY 2026'!N218*1.1</f>
        <v>750.93480000000011</v>
      </c>
      <c r="O218" s="60"/>
      <c r="P218" s="2"/>
      <c r="Q218" s="2"/>
      <c r="R218" s="2"/>
      <c r="S218" s="2"/>
      <c r="T218" s="2"/>
      <c r="U218" s="2"/>
      <c r="V218" s="2"/>
      <c r="W218" s="2"/>
      <c r="X218" s="2"/>
      <c r="Y218" s="38"/>
    </row>
    <row r="219" spans="2:25" ht="15.75" customHeight="1" x14ac:dyDescent="0.3">
      <c r="B219" s="2"/>
      <c r="C219" s="61" t="s">
        <v>466</v>
      </c>
      <c r="D219" s="62" t="s">
        <v>496</v>
      </c>
      <c r="E219" s="63" t="s">
        <v>497</v>
      </c>
      <c r="F219" s="64">
        <f>+'COMUNAS - HOME DELIVERY 2026'!F219*1.1</f>
        <v>7301.6064000000015</v>
      </c>
      <c r="G219" s="65">
        <f>+'COMUNAS - HOME DELIVERY 2026'!G219*1.1</f>
        <v>7797.1212000000014</v>
      </c>
      <c r="H219" s="65">
        <f>+'COMUNAS - HOME DELIVERY 2026'!H219*1.1</f>
        <v>8670.6576000000005</v>
      </c>
      <c r="I219" s="65">
        <f>+'COMUNAS - HOME DELIVERY 2026'!I219*1.1</f>
        <v>9888.1596000000009</v>
      </c>
      <c r="J219" s="65">
        <f>+'COMUNAS - HOME DELIVERY 2026'!J219*1.1</f>
        <v>12059.229600000001</v>
      </c>
      <c r="K219" s="65">
        <f>+'COMUNAS - HOME DELIVERY 2026'!K219*1.1</f>
        <v>14277.978000000001</v>
      </c>
      <c r="L219" s="65">
        <f>+'COMUNAS - HOME DELIVERY 2026'!L219*1.1</f>
        <v>16312.824000000002</v>
      </c>
      <c r="M219" s="66">
        <f>+'COMUNAS - HOME DELIVERY 2026'!M219*1.1</f>
        <v>931.4316</v>
      </c>
      <c r="N219" s="67">
        <f>+'COMUNAS - HOME DELIVERY 2026'!N219*1.1</f>
        <v>750.93480000000011</v>
      </c>
      <c r="O219" s="60"/>
      <c r="P219" s="2"/>
      <c r="Q219" s="2"/>
      <c r="R219" s="2"/>
      <c r="S219" s="2"/>
      <c r="T219" s="2"/>
      <c r="U219" s="2"/>
      <c r="V219" s="2"/>
      <c r="W219" s="2"/>
      <c r="X219" s="2"/>
      <c r="Y219" s="38"/>
    </row>
    <row r="220" spans="2:25" ht="15.75" customHeight="1" x14ac:dyDescent="0.3">
      <c r="B220" s="2"/>
      <c r="C220" s="61" t="s">
        <v>466</v>
      </c>
      <c r="D220" s="62" t="s">
        <v>498</v>
      </c>
      <c r="E220" s="63" t="s">
        <v>44</v>
      </c>
      <c r="F220" s="64">
        <f>+'COMUNAS - HOME DELIVERY 2026'!F220*1.1</f>
        <v>5040.2880000000005</v>
      </c>
      <c r="G220" s="65">
        <f>+'COMUNAS - HOME DELIVERY 2026'!G220*1.1</f>
        <v>5384.2536</v>
      </c>
      <c r="H220" s="65">
        <f>+'COMUNAS - HOME DELIVERY 2026'!H220*1.1</f>
        <v>5987.0448000000006</v>
      </c>
      <c r="I220" s="65">
        <f>+'COMUNAS - HOME DELIVERY 2026'!I220*1.1</f>
        <v>6825.9576000000006</v>
      </c>
      <c r="J220" s="65">
        <f>+'COMUNAS - HOME DELIVERY 2026'!J220*1.1</f>
        <v>8308.5288000000019</v>
      </c>
      <c r="K220" s="65">
        <f>+'COMUNAS - HOME DELIVERY 2026'!K220*1.1</f>
        <v>9814.9392000000007</v>
      </c>
      <c r="L220" s="65">
        <f>+'COMUNAS - HOME DELIVERY 2026'!L220*1.1</f>
        <v>11178.314400000003</v>
      </c>
      <c r="M220" s="66">
        <f>+'COMUNAS - HOME DELIVERY 2026'!M220*1.1</f>
        <v>624.36000000000013</v>
      </c>
      <c r="N220" s="67">
        <f>+'COMUNAS - HOME DELIVERY 2026'!N220*1.1</f>
        <v>508.56960000000004</v>
      </c>
      <c r="O220" s="60"/>
      <c r="P220" s="2"/>
      <c r="Q220" s="2"/>
      <c r="R220" s="2"/>
      <c r="S220" s="2"/>
      <c r="T220" s="2"/>
      <c r="U220" s="2"/>
      <c r="V220" s="2"/>
      <c r="W220" s="2"/>
      <c r="X220" s="2"/>
      <c r="Y220" s="38"/>
    </row>
    <row r="221" spans="2:25" ht="15.75" customHeight="1" x14ac:dyDescent="0.3">
      <c r="B221" s="2"/>
      <c r="C221" s="61" t="s">
        <v>466</v>
      </c>
      <c r="D221" s="62" t="s">
        <v>499</v>
      </c>
      <c r="E221" s="63" t="s">
        <v>500</v>
      </c>
      <c r="F221" s="64">
        <f>+'COMUNAS - HOME DELIVERY 2026'!F221*1.1</f>
        <v>4867.7376000000004</v>
      </c>
      <c r="G221" s="65">
        <f>+'COMUNAS - HOME DELIVERY 2026'!G221*1.1</f>
        <v>5198.0808000000006</v>
      </c>
      <c r="H221" s="65">
        <f>+'COMUNAS - HOME DELIVERY 2026'!H221*1.1</f>
        <v>5780.4384000000009</v>
      </c>
      <c r="I221" s="65">
        <f>+'COMUNAS - HOME DELIVERY 2026'!I221*1.1</f>
        <v>6592.1064000000015</v>
      </c>
      <c r="J221" s="65">
        <f>+'COMUNAS - HOME DELIVERY 2026'!J221*1.1</f>
        <v>8039.4864000000007</v>
      </c>
      <c r="K221" s="65">
        <f>+'COMUNAS - HOME DELIVERY 2026'!K221*1.1</f>
        <v>9518.652</v>
      </c>
      <c r="L221" s="65">
        <f>+'COMUNAS - HOME DELIVERY 2026'!L221*1.1</f>
        <v>10875.216</v>
      </c>
      <c r="M221" s="66">
        <f>+'COMUNAS - HOME DELIVERY 2026'!M221*1.1</f>
        <v>620.95440000000008</v>
      </c>
      <c r="N221" s="67">
        <f>+'COMUNAS - HOME DELIVERY 2026'!N221*1.1</f>
        <v>500.62320000000005</v>
      </c>
      <c r="O221" s="60"/>
      <c r="P221" s="2"/>
      <c r="Q221" s="2"/>
      <c r="R221" s="2"/>
      <c r="S221" s="2"/>
      <c r="T221" s="2"/>
      <c r="U221" s="2"/>
      <c r="V221" s="2"/>
      <c r="W221" s="2"/>
      <c r="X221" s="2"/>
      <c r="Y221" s="38"/>
    </row>
    <row r="222" spans="2:25" ht="15.75" customHeight="1" x14ac:dyDescent="0.3">
      <c r="B222" s="2"/>
      <c r="C222" s="61" t="s">
        <v>466</v>
      </c>
      <c r="D222" s="62" t="s">
        <v>501</v>
      </c>
      <c r="E222" s="63" t="s">
        <v>502</v>
      </c>
      <c r="F222" s="64">
        <f>+'COMUNAS - HOME DELIVERY 2026'!F222*1.1</f>
        <v>5040.2880000000005</v>
      </c>
      <c r="G222" s="65">
        <f>+'COMUNAS - HOME DELIVERY 2026'!G222*1.1</f>
        <v>5384.2536</v>
      </c>
      <c r="H222" s="65">
        <f>+'COMUNAS - HOME DELIVERY 2026'!H222*1.1</f>
        <v>5987.0448000000006</v>
      </c>
      <c r="I222" s="65">
        <f>+'COMUNAS - HOME DELIVERY 2026'!I222*1.1</f>
        <v>6825.9576000000006</v>
      </c>
      <c r="J222" s="65">
        <f>+'COMUNAS - HOME DELIVERY 2026'!J222*1.1</f>
        <v>8308.5288000000019</v>
      </c>
      <c r="K222" s="65">
        <f>+'COMUNAS - HOME DELIVERY 2026'!K222*1.1</f>
        <v>9814.9392000000007</v>
      </c>
      <c r="L222" s="65">
        <f>+'COMUNAS - HOME DELIVERY 2026'!L222*1.1</f>
        <v>11178.314400000003</v>
      </c>
      <c r="M222" s="66">
        <f>+'COMUNAS - HOME DELIVERY 2026'!M222*1.1</f>
        <v>624.36000000000013</v>
      </c>
      <c r="N222" s="67">
        <f>+'COMUNAS - HOME DELIVERY 2026'!N222*1.1</f>
        <v>508.56960000000004</v>
      </c>
      <c r="O222" s="60"/>
      <c r="P222" s="2"/>
      <c r="Q222" s="2"/>
      <c r="R222" s="2"/>
      <c r="S222" s="2"/>
      <c r="T222" s="2"/>
      <c r="U222" s="2"/>
      <c r="V222" s="2"/>
      <c r="W222" s="2"/>
      <c r="X222" s="2"/>
      <c r="Y222" s="38"/>
    </row>
    <row r="223" spans="2:25" ht="15.75" customHeight="1" x14ac:dyDescent="0.3">
      <c r="B223" s="2"/>
      <c r="C223" s="61" t="s">
        <v>466</v>
      </c>
      <c r="D223" s="62" t="s">
        <v>503</v>
      </c>
      <c r="E223" s="63" t="s">
        <v>504</v>
      </c>
      <c r="F223" s="64">
        <f>+'COMUNAS - HOME DELIVERY 2026'!F223*1.1</f>
        <v>5040.2880000000005</v>
      </c>
      <c r="G223" s="65">
        <f>+'COMUNAS - HOME DELIVERY 2026'!G223*1.1</f>
        <v>5384.2536</v>
      </c>
      <c r="H223" s="65">
        <f>+'COMUNAS - HOME DELIVERY 2026'!H223*1.1</f>
        <v>5987.0448000000006</v>
      </c>
      <c r="I223" s="65">
        <f>+'COMUNAS - HOME DELIVERY 2026'!I223*1.1</f>
        <v>6825.9576000000006</v>
      </c>
      <c r="J223" s="65">
        <f>+'COMUNAS - HOME DELIVERY 2026'!J223*1.1</f>
        <v>8308.5288000000019</v>
      </c>
      <c r="K223" s="65">
        <f>+'COMUNAS - HOME DELIVERY 2026'!K223*1.1</f>
        <v>9814.9392000000007</v>
      </c>
      <c r="L223" s="65">
        <f>+'COMUNAS - HOME DELIVERY 2026'!L223*1.1</f>
        <v>11178.314400000003</v>
      </c>
      <c r="M223" s="66">
        <f>+'COMUNAS - HOME DELIVERY 2026'!M223*1.1</f>
        <v>624.36000000000013</v>
      </c>
      <c r="N223" s="67">
        <f>+'COMUNAS - HOME DELIVERY 2026'!N223*1.1</f>
        <v>508.56960000000004</v>
      </c>
      <c r="O223" s="60"/>
      <c r="P223" s="2"/>
      <c r="Q223" s="2"/>
      <c r="R223" s="2"/>
      <c r="S223" s="2"/>
      <c r="T223" s="2"/>
      <c r="U223" s="2"/>
      <c r="V223" s="2"/>
      <c r="W223" s="2"/>
      <c r="X223" s="2"/>
      <c r="Y223" s="38"/>
    </row>
    <row r="224" spans="2:25" ht="15.75" customHeight="1" x14ac:dyDescent="0.3">
      <c r="B224" s="2"/>
      <c r="C224" s="61" t="s">
        <v>466</v>
      </c>
      <c r="D224" s="62" t="s">
        <v>505</v>
      </c>
      <c r="E224" s="63" t="s">
        <v>506</v>
      </c>
      <c r="F224" s="64">
        <f>+'COMUNAS - HOME DELIVERY 2026'!F224*1.1</f>
        <v>5040.2880000000005</v>
      </c>
      <c r="G224" s="65">
        <f>+'COMUNAS - HOME DELIVERY 2026'!G224*1.1</f>
        <v>5384.2536</v>
      </c>
      <c r="H224" s="65">
        <f>+'COMUNAS - HOME DELIVERY 2026'!H224*1.1</f>
        <v>5987.0448000000006</v>
      </c>
      <c r="I224" s="65">
        <f>+'COMUNAS - HOME DELIVERY 2026'!I224*1.1</f>
        <v>6825.9576000000006</v>
      </c>
      <c r="J224" s="65">
        <f>+'COMUNAS - HOME DELIVERY 2026'!J224*1.1</f>
        <v>8308.5288000000019</v>
      </c>
      <c r="K224" s="65">
        <f>+'COMUNAS - HOME DELIVERY 2026'!K224*1.1</f>
        <v>9814.9392000000007</v>
      </c>
      <c r="L224" s="65">
        <f>+'COMUNAS - HOME DELIVERY 2026'!L224*1.1</f>
        <v>11178.314400000003</v>
      </c>
      <c r="M224" s="66">
        <f>+'COMUNAS - HOME DELIVERY 2026'!M224*1.1</f>
        <v>624.36000000000013</v>
      </c>
      <c r="N224" s="67">
        <f>+'COMUNAS - HOME DELIVERY 2026'!N224*1.1</f>
        <v>508.56960000000004</v>
      </c>
      <c r="O224" s="60"/>
      <c r="P224" s="2"/>
      <c r="Q224" s="2"/>
      <c r="R224" s="2"/>
      <c r="S224" s="2"/>
      <c r="T224" s="2"/>
      <c r="U224" s="2"/>
      <c r="V224" s="2"/>
      <c r="W224" s="2"/>
      <c r="X224" s="2"/>
      <c r="Y224" s="38"/>
    </row>
    <row r="225" spans="2:25" ht="15.75" customHeight="1" x14ac:dyDescent="0.3">
      <c r="B225" s="2"/>
      <c r="C225" s="61" t="s">
        <v>466</v>
      </c>
      <c r="D225" s="62" t="s">
        <v>507</v>
      </c>
      <c r="E225" s="63" t="s">
        <v>508</v>
      </c>
      <c r="F225" s="64">
        <f>+'COMUNAS - HOME DELIVERY 2026'!F225*1.1</f>
        <v>4867.7376000000004</v>
      </c>
      <c r="G225" s="65">
        <f>+'COMUNAS - HOME DELIVERY 2026'!G225*1.1</f>
        <v>5198.0808000000006</v>
      </c>
      <c r="H225" s="65">
        <f>+'COMUNAS - HOME DELIVERY 2026'!H225*1.1</f>
        <v>5780.4384000000009</v>
      </c>
      <c r="I225" s="65">
        <f>+'COMUNAS - HOME DELIVERY 2026'!I225*1.1</f>
        <v>6592.1064000000015</v>
      </c>
      <c r="J225" s="65">
        <f>+'COMUNAS - HOME DELIVERY 2026'!J225*1.1</f>
        <v>8039.4864000000007</v>
      </c>
      <c r="K225" s="65">
        <f>+'COMUNAS - HOME DELIVERY 2026'!K225*1.1</f>
        <v>9518.652</v>
      </c>
      <c r="L225" s="65">
        <f>+'COMUNAS - HOME DELIVERY 2026'!L225*1.1</f>
        <v>10875.216</v>
      </c>
      <c r="M225" s="66">
        <f>+'COMUNAS - HOME DELIVERY 2026'!M225*1.1</f>
        <v>620.95440000000008</v>
      </c>
      <c r="N225" s="67">
        <f>+'COMUNAS - HOME DELIVERY 2026'!N225*1.1</f>
        <v>500.62320000000005</v>
      </c>
      <c r="O225" s="60"/>
      <c r="P225" s="2"/>
      <c r="Q225" s="2"/>
      <c r="R225" s="2"/>
      <c r="S225" s="2"/>
      <c r="T225" s="2"/>
      <c r="U225" s="2"/>
      <c r="V225" s="2"/>
      <c r="W225" s="2"/>
      <c r="X225" s="2"/>
      <c r="Y225" s="38"/>
    </row>
    <row r="226" spans="2:25" ht="15.75" customHeight="1" x14ac:dyDescent="0.3">
      <c r="B226" s="2"/>
      <c r="C226" s="61" t="s">
        <v>466</v>
      </c>
      <c r="D226" s="62" t="s">
        <v>509</v>
      </c>
      <c r="E226" s="63" t="s">
        <v>510</v>
      </c>
      <c r="F226" s="64">
        <f>+'COMUNAS - HOME DELIVERY 2026'!F226*1.1</f>
        <v>5040.2880000000005</v>
      </c>
      <c r="G226" s="65">
        <f>+'COMUNAS - HOME DELIVERY 2026'!G226*1.1</f>
        <v>5384.2536</v>
      </c>
      <c r="H226" s="65">
        <f>+'COMUNAS - HOME DELIVERY 2026'!H226*1.1</f>
        <v>5987.0448000000006</v>
      </c>
      <c r="I226" s="65">
        <f>+'COMUNAS - HOME DELIVERY 2026'!I226*1.1</f>
        <v>6825.9576000000006</v>
      </c>
      <c r="J226" s="65">
        <f>+'COMUNAS - HOME DELIVERY 2026'!J226*1.1</f>
        <v>8308.5288000000019</v>
      </c>
      <c r="K226" s="65">
        <f>+'COMUNAS - HOME DELIVERY 2026'!K226*1.1</f>
        <v>9814.9392000000007</v>
      </c>
      <c r="L226" s="65">
        <f>+'COMUNAS - HOME DELIVERY 2026'!L226*1.1</f>
        <v>11178.314400000003</v>
      </c>
      <c r="M226" s="66">
        <f>+'COMUNAS - HOME DELIVERY 2026'!M226*1.1</f>
        <v>624.36000000000013</v>
      </c>
      <c r="N226" s="67">
        <f>+'COMUNAS - HOME DELIVERY 2026'!N226*1.1</f>
        <v>508.56960000000004</v>
      </c>
      <c r="O226" s="60"/>
      <c r="P226" s="2"/>
      <c r="Q226" s="2"/>
      <c r="R226" s="2"/>
      <c r="S226" s="2"/>
      <c r="T226" s="2"/>
      <c r="U226" s="2"/>
      <c r="V226" s="2"/>
      <c r="W226" s="2"/>
      <c r="X226" s="2"/>
      <c r="Y226" s="38"/>
    </row>
    <row r="227" spans="2:25" ht="15.75" customHeight="1" x14ac:dyDescent="0.3">
      <c r="B227" s="2"/>
      <c r="C227" s="61" t="s">
        <v>466</v>
      </c>
      <c r="D227" s="62" t="s">
        <v>511</v>
      </c>
      <c r="E227" s="63" t="s">
        <v>512</v>
      </c>
      <c r="F227" s="64">
        <f>+'COMUNAS - HOME DELIVERY 2026'!F227*1.1</f>
        <v>5040.2880000000005</v>
      </c>
      <c r="G227" s="65">
        <f>+'COMUNAS - HOME DELIVERY 2026'!G227*1.1</f>
        <v>5384.2536</v>
      </c>
      <c r="H227" s="65">
        <f>+'COMUNAS - HOME DELIVERY 2026'!H227*1.1</f>
        <v>5987.0448000000006</v>
      </c>
      <c r="I227" s="65">
        <f>+'COMUNAS - HOME DELIVERY 2026'!I227*1.1</f>
        <v>6825.9576000000006</v>
      </c>
      <c r="J227" s="65">
        <f>+'COMUNAS - HOME DELIVERY 2026'!J227*1.1</f>
        <v>8308.5288000000019</v>
      </c>
      <c r="K227" s="65">
        <f>+'COMUNAS - HOME DELIVERY 2026'!K227*1.1</f>
        <v>9814.9392000000007</v>
      </c>
      <c r="L227" s="65">
        <f>+'COMUNAS - HOME DELIVERY 2026'!L227*1.1</f>
        <v>11178.314400000003</v>
      </c>
      <c r="M227" s="66">
        <f>+'COMUNAS - HOME DELIVERY 2026'!M227*1.1</f>
        <v>624.36000000000013</v>
      </c>
      <c r="N227" s="67">
        <f>+'COMUNAS - HOME DELIVERY 2026'!N227*1.1</f>
        <v>508.56960000000004</v>
      </c>
      <c r="O227" s="60"/>
      <c r="P227" s="2"/>
      <c r="Q227" s="2"/>
      <c r="R227" s="2"/>
      <c r="S227" s="2"/>
      <c r="T227" s="2"/>
      <c r="U227" s="2"/>
      <c r="V227" s="2"/>
      <c r="W227" s="2"/>
      <c r="X227" s="2"/>
      <c r="Y227" s="38"/>
    </row>
    <row r="228" spans="2:25" ht="15.75" customHeight="1" x14ac:dyDescent="0.3">
      <c r="B228" s="2"/>
      <c r="C228" s="61" t="s">
        <v>466</v>
      </c>
      <c r="D228" s="62" t="s">
        <v>513</v>
      </c>
      <c r="E228" s="63" t="s">
        <v>514</v>
      </c>
      <c r="F228" s="64">
        <f>+'COMUNAS - HOME DELIVERY 2026'!F228*1.1</f>
        <v>4867.7376000000004</v>
      </c>
      <c r="G228" s="65">
        <f>+'COMUNAS - HOME DELIVERY 2026'!G228*1.1</f>
        <v>5198.0808000000006</v>
      </c>
      <c r="H228" s="65">
        <f>+'COMUNAS - HOME DELIVERY 2026'!H228*1.1</f>
        <v>5780.4384000000009</v>
      </c>
      <c r="I228" s="65">
        <f>+'COMUNAS - HOME DELIVERY 2026'!I228*1.1</f>
        <v>6592.1064000000015</v>
      </c>
      <c r="J228" s="65">
        <f>+'COMUNAS - HOME DELIVERY 2026'!J228*1.1</f>
        <v>8039.4864000000007</v>
      </c>
      <c r="K228" s="65">
        <f>+'COMUNAS - HOME DELIVERY 2026'!K228*1.1</f>
        <v>9518.652</v>
      </c>
      <c r="L228" s="65">
        <f>+'COMUNAS - HOME DELIVERY 2026'!L228*1.1</f>
        <v>10875.216</v>
      </c>
      <c r="M228" s="66">
        <f>+'COMUNAS - HOME DELIVERY 2026'!M228*1.1</f>
        <v>620.95440000000008</v>
      </c>
      <c r="N228" s="67">
        <f>+'COMUNAS - HOME DELIVERY 2026'!N228*1.1</f>
        <v>500.62320000000005</v>
      </c>
      <c r="O228" s="60"/>
      <c r="P228" s="2"/>
      <c r="Q228" s="2"/>
      <c r="R228" s="2"/>
      <c r="S228" s="2"/>
      <c r="T228" s="2"/>
      <c r="U228" s="2"/>
      <c r="V228" s="2"/>
      <c r="W228" s="2"/>
      <c r="X228" s="2"/>
      <c r="Y228" s="38"/>
    </row>
    <row r="229" spans="2:25" ht="15.75" customHeight="1" x14ac:dyDescent="0.3">
      <c r="B229" s="2"/>
      <c r="C229" s="61" t="s">
        <v>466</v>
      </c>
      <c r="D229" s="62" t="s">
        <v>515</v>
      </c>
      <c r="E229" s="63" t="s">
        <v>516</v>
      </c>
      <c r="F229" s="64">
        <f>+'COMUNAS - HOME DELIVERY 2026'!F229*1.1</f>
        <v>5040.2880000000005</v>
      </c>
      <c r="G229" s="65">
        <f>+'COMUNAS - HOME DELIVERY 2026'!G229*1.1</f>
        <v>5384.2536</v>
      </c>
      <c r="H229" s="65">
        <f>+'COMUNAS - HOME DELIVERY 2026'!H229*1.1</f>
        <v>5987.0448000000006</v>
      </c>
      <c r="I229" s="65">
        <f>+'COMUNAS - HOME DELIVERY 2026'!I229*1.1</f>
        <v>6825.9576000000006</v>
      </c>
      <c r="J229" s="65">
        <f>+'COMUNAS - HOME DELIVERY 2026'!J229*1.1</f>
        <v>8308.5288000000019</v>
      </c>
      <c r="K229" s="65">
        <f>+'COMUNAS - HOME DELIVERY 2026'!K229*1.1</f>
        <v>9814.9392000000007</v>
      </c>
      <c r="L229" s="65">
        <f>+'COMUNAS - HOME DELIVERY 2026'!L229*1.1</f>
        <v>11178.314400000003</v>
      </c>
      <c r="M229" s="66">
        <f>+'COMUNAS - HOME DELIVERY 2026'!M229*1.1</f>
        <v>624.36000000000013</v>
      </c>
      <c r="N229" s="67">
        <f>+'COMUNAS - HOME DELIVERY 2026'!N229*1.1</f>
        <v>508.56960000000004</v>
      </c>
      <c r="O229" s="60"/>
      <c r="P229" s="2"/>
      <c r="Q229" s="2"/>
      <c r="R229" s="2"/>
      <c r="S229" s="2"/>
      <c r="T229" s="2"/>
      <c r="U229" s="2"/>
      <c r="V229" s="2"/>
      <c r="W229" s="2"/>
      <c r="X229" s="2"/>
      <c r="Y229" s="38"/>
    </row>
    <row r="230" spans="2:25" ht="15.75" customHeight="1" x14ac:dyDescent="0.3">
      <c r="B230" s="2"/>
      <c r="C230" s="61" t="s">
        <v>466</v>
      </c>
      <c r="D230" s="62" t="s">
        <v>517</v>
      </c>
      <c r="E230" s="63" t="s">
        <v>518</v>
      </c>
      <c r="F230" s="64">
        <f>+'COMUNAS - HOME DELIVERY 2026'!F230*1.1</f>
        <v>5040.2880000000005</v>
      </c>
      <c r="G230" s="65">
        <f>+'COMUNAS - HOME DELIVERY 2026'!G230*1.1</f>
        <v>5384.2536</v>
      </c>
      <c r="H230" s="65">
        <f>+'COMUNAS - HOME DELIVERY 2026'!H230*1.1</f>
        <v>5987.0448000000006</v>
      </c>
      <c r="I230" s="65">
        <f>+'COMUNAS - HOME DELIVERY 2026'!I230*1.1</f>
        <v>6825.9576000000006</v>
      </c>
      <c r="J230" s="65">
        <f>+'COMUNAS - HOME DELIVERY 2026'!J230*1.1</f>
        <v>8308.5288000000019</v>
      </c>
      <c r="K230" s="65">
        <f>+'COMUNAS - HOME DELIVERY 2026'!K230*1.1</f>
        <v>9814.9392000000007</v>
      </c>
      <c r="L230" s="65">
        <f>+'COMUNAS - HOME DELIVERY 2026'!L230*1.1</f>
        <v>11178.314400000003</v>
      </c>
      <c r="M230" s="66">
        <f>+'COMUNAS - HOME DELIVERY 2026'!M230*1.1</f>
        <v>624.36000000000013</v>
      </c>
      <c r="N230" s="67">
        <f>+'COMUNAS - HOME DELIVERY 2026'!N230*1.1</f>
        <v>508.56960000000004</v>
      </c>
      <c r="O230" s="60"/>
      <c r="P230" s="2"/>
      <c r="Q230" s="2"/>
      <c r="R230" s="2"/>
      <c r="S230" s="2"/>
      <c r="T230" s="2"/>
      <c r="U230" s="2"/>
      <c r="V230" s="2"/>
      <c r="W230" s="2"/>
      <c r="X230" s="2"/>
      <c r="Y230" s="38"/>
    </row>
    <row r="231" spans="2:25" ht="15.75" customHeight="1" x14ac:dyDescent="0.3">
      <c r="B231" s="2"/>
      <c r="C231" s="61" t="s">
        <v>466</v>
      </c>
      <c r="D231" s="62" t="s">
        <v>519</v>
      </c>
      <c r="E231" s="63" t="s">
        <v>520</v>
      </c>
      <c r="F231" s="64">
        <f>+'COMUNAS - HOME DELIVERY 2026'!F231*1.1</f>
        <v>4867.7376000000004</v>
      </c>
      <c r="G231" s="65">
        <f>+'COMUNAS - HOME DELIVERY 2026'!G231*1.1</f>
        <v>5198.0808000000006</v>
      </c>
      <c r="H231" s="65">
        <f>+'COMUNAS - HOME DELIVERY 2026'!H231*1.1</f>
        <v>5780.4384000000009</v>
      </c>
      <c r="I231" s="65">
        <f>+'COMUNAS - HOME DELIVERY 2026'!I231*1.1</f>
        <v>6592.1064000000015</v>
      </c>
      <c r="J231" s="65">
        <f>+'COMUNAS - HOME DELIVERY 2026'!J231*1.1</f>
        <v>8039.4864000000007</v>
      </c>
      <c r="K231" s="65">
        <f>+'COMUNAS - HOME DELIVERY 2026'!K231*1.1</f>
        <v>9518.652</v>
      </c>
      <c r="L231" s="65">
        <f>+'COMUNAS - HOME DELIVERY 2026'!L231*1.1</f>
        <v>10875.216</v>
      </c>
      <c r="M231" s="66">
        <f>+'COMUNAS - HOME DELIVERY 2026'!M231*1.1</f>
        <v>620.95440000000008</v>
      </c>
      <c r="N231" s="67">
        <f>+'COMUNAS - HOME DELIVERY 2026'!N231*1.1</f>
        <v>500.62320000000005</v>
      </c>
      <c r="O231" s="60"/>
      <c r="P231" s="2"/>
      <c r="Q231" s="2"/>
      <c r="R231" s="2"/>
      <c r="S231" s="2"/>
      <c r="T231" s="2"/>
      <c r="U231" s="2"/>
      <c r="V231" s="2"/>
      <c r="W231" s="2"/>
      <c r="X231" s="2"/>
      <c r="Y231" s="38"/>
    </row>
    <row r="232" spans="2:25" ht="15.75" customHeight="1" x14ac:dyDescent="0.3">
      <c r="B232" s="2"/>
      <c r="C232" s="61" t="s">
        <v>466</v>
      </c>
      <c r="D232" s="62" t="s">
        <v>521</v>
      </c>
      <c r="E232" s="63" t="s">
        <v>522</v>
      </c>
      <c r="F232" s="64">
        <f>+'COMUNAS - HOME DELIVERY 2026'!F232*1.1</f>
        <v>4867.7376000000004</v>
      </c>
      <c r="G232" s="65">
        <f>+'COMUNAS - HOME DELIVERY 2026'!G232*1.1</f>
        <v>5198.0808000000006</v>
      </c>
      <c r="H232" s="65">
        <f>+'COMUNAS - HOME DELIVERY 2026'!H232*1.1</f>
        <v>5780.4384000000009</v>
      </c>
      <c r="I232" s="65">
        <f>+'COMUNAS - HOME DELIVERY 2026'!I232*1.1</f>
        <v>6592.1064000000015</v>
      </c>
      <c r="J232" s="65">
        <f>+'COMUNAS - HOME DELIVERY 2026'!J232*1.1</f>
        <v>8039.4864000000007</v>
      </c>
      <c r="K232" s="65">
        <f>+'COMUNAS - HOME DELIVERY 2026'!K232*1.1</f>
        <v>9518.652</v>
      </c>
      <c r="L232" s="65">
        <f>+'COMUNAS - HOME DELIVERY 2026'!L232*1.1</f>
        <v>10875.216</v>
      </c>
      <c r="M232" s="66">
        <f>+'COMUNAS - HOME DELIVERY 2026'!M232*1.1</f>
        <v>620.95440000000008</v>
      </c>
      <c r="N232" s="67">
        <f>+'COMUNAS - HOME DELIVERY 2026'!N232*1.1</f>
        <v>500.62320000000005</v>
      </c>
      <c r="O232" s="60"/>
      <c r="P232" s="2"/>
      <c r="Q232" s="2"/>
      <c r="R232" s="2"/>
      <c r="S232" s="2"/>
      <c r="T232" s="2"/>
      <c r="U232" s="2"/>
      <c r="V232" s="2"/>
      <c r="W232" s="2"/>
      <c r="X232" s="2"/>
      <c r="Y232" s="38"/>
    </row>
    <row r="233" spans="2:25" ht="15.75" customHeight="1" x14ac:dyDescent="0.3">
      <c r="B233" s="2"/>
      <c r="C233" s="61" t="s">
        <v>466</v>
      </c>
      <c r="D233" s="62" t="s">
        <v>523</v>
      </c>
      <c r="E233" s="63" t="s">
        <v>524</v>
      </c>
      <c r="F233" s="64">
        <f>+'COMUNAS - HOME DELIVERY 2026'!F233*1.1</f>
        <v>7839.6912000000011</v>
      </c>
      <c r="G233" s="65">
        <f>+'COMUNAS - HOME DELIVERY 2026'!G233*1.1</f>
        <v>8239.8492000000006</v>
      </c>
      <c r="H233" s="65">
        <f>+'COMUNAS - HOME DELIVERY 2026'!H233*1.1</f>
        <v>9179.7948000000015</v>
      </c>
      <c r="I233" s="65">
        <f>+'COMUNAS - HOME DELIVERY 2026'!I233*1.1</f>
        <v>10402.405200000001</v>
      </c>
      <c r="J233" s="65">
        <f>+'COMUNAS - HOME DELIVERY 2026'!J233*1.1</f>
        <v>12878.276400000001</v>
      </c>
      <c r="K233" s="65">
        <f>+'COMUNAS - HOME DELIVERY 2026'!K233*1.1</f>
        <v>15183.867600000001</v>
      </c>
      <c r="L233" s="65">
        <f>+'COMUNAS - HOME DELIVERY 2026'!L233*1.1</f>
        <v>17234.038800000002</v>
      </c>
      <c r="M233" s="66">
        <f>+'COMUNAS - HOME DELIVERY 2026'!M233*1.1</f>
        <v>939.94560000000001</v>
      </c>
      <c r="N233" s="67">
        <f>+'COMUNAS - HOME DELIVERY 2026'!N233*1.1</f>
        <v>767.96280000000013</v>
      </c>
      <c r="O233" s="60"/>
      <c r="P233" s="2"/>
      <c r="Q233" s="2"/>
      <c r="R233" s="2"/>
      <c r="S233" s="2"/>
      <c r="T233" s="2"/>
      <c r="U233" s="2"/>
      <c r="V233" s="2"/>
      <c r="W233" s="2"/>
      <c r="X233" s="2"/>
      <c r="Y233" s="38"/>
    </row>
    <row r="234" spans="2:25" ht="15.75" customHeight="1" x14ac:dyDescent="0.3">
      <c r="B234" s="2"/>
      <c r="C234" s="61" t="s">
        <v>466</v>
      </c>
      <c r="D234" s="62" t="s">
        <v>525</v>
      </c>
      <c r="E234" s="63" t="s">
        <v>526</v>
      </c>
      <c r="F234" s="64">
        <f>+'COMUNAS - HOME DELIVERY 2026'!F234*1.1</f>
        <v>4867.7376000000004</v>
      </c>
      <c r="G234" s="65">
        <f>+'COMUNAS - HOME DELIVERY 2026'!G234*1.1</f>
        <v>5198.0808000000006</v>
      </c>
      <c r="H234" s="65">
        <f>+'COMUNAS - HOME DELIVERY 2026'!H234*1.1</f>
        <v>5780.4384000000009</v>
      </c>
      <c r="I234" s="65">
        <f>+'COMUNAS - HOME DELIVERY 2026'!I234*1.1</f>
        <v>6592.1064000000015</v>
      </c>
      <c r="J234" s="65">
        <f>+'COMUNAS - HOME DELIVERY 2026'!J234*1.1</f>
        <v>8039.4864000000007</v>
      </c>
      <c r="K234" s="65">
        <f>+'COMUNAS - HOME DELIVERY 2026'!K234*1.1</f>
        <v>9518.652</v>
      </c>
      <c r="L234" s="65">
        <f>+'COMUNAS - HOME DELIVERY 2026'!L234*1.1</f>
        <v>10875.216</v>
      </c>
      <c r="M234" s="66">
        <f>+'COMUNAS - HOME DELIVERY 2026'!M234*1.1</f>
        <v>620.95440000000008</v>
      </c>
      <c r="N234" s="67">
        <f>+'COMUNAS - HOME DELIVERY 2026'!N234*1.1</f>
        <v>500.62320000000005</v>
      </c>
      <c r="O234" s="60"/>
      <c r="P234" s="2"/>
      <c r="Q234" s="2"/>
      <c r="R234" s="2"/>
      <c r="S234" s="2"/>
      <c r="T234" s="2"/>
      <c r="U234" s="2"/>
      <c r="V234" s="2"/>
      <c r="W234" s="2"/>
      <c r="X234" s="2"/>
      <c r="Y234" s="38"/>
    </row>
    <row r="235" spans="2:25" ht="15.75" customHeight="1" x14ac:dyDescent="0.3">
      <c r="B235" s="2"/>
      <c r="C235" s="61" t="s">
        <v>466</v>
      </c>
      <c r="D235" s="62" t="s">
        <v>527</v>
      </c>
      <c r="E235" s="63" t="s">
        <v>528</v>
      </c>
      <c r="F235" s="64">
        <f>+'COMUNAS - HOME DELIVERY 2026'!F235*1.1</f>
        <v>5040.2880000000005</v>
      </c>
      <c r="G235" s="65">
        <f>+'COMUNAS - HOME DELIVERY 2026'!G235*1.1</f>
        <v>5384.2536</v>
      </c>
      <c r="H235" s="65">
        <f>+'COMUNAS - HOME DELIVERY 2026'!H235*1.1</f>
        <v>5987.0448000000006</v>
      </c>
      <c r="I235" s="65">
        <f>+'COMUNAS - HOME DELIVERY 2026'!I235*1.1</f>
        <v>6825.9576000000006</v>
      </c>
      <c r="J235" s="65">
        <f>+'COMUNAS - HOME DELIVERY 2026'!J235*1.1</f>
        <v>8308.5288000000019</v>
      </c>
      <c r="K235" s="65">
        <f>+'COMUNAS - HOME DELIVERY 2026'!K235*1.1</f>
        <v>9814.9392000000007</v>
      </c>
      <c r="L235" s="65">
        <f>+'COMUNAS - HOME DELIVERY 2026'!L235*1.1</f>
        <v>11178.314400000003</v>
      </c>
      <c r="M235" s="66">
        <f>+'COMUNAS - HOME DELIVERY 2026'!M235*1.1</f>
        <v>624.36000000000013</v>
      </c>
      <c r="N235" s="67">
        <f>+'COMUNAS - HOME DELIVERY 2026'!N235*1.1</f>
        <v>508.56960000000004</v>
      </c>
      <c r="O235" s="60"/>
      <c r="P235" s="2"/>
      <c r="Q235" s="2"/>
      <c r="R235" s="2"/>
      <c r="S235" s="2"/>
      <c r="T235" s="2"/>
      <c r="U235" s="2"/>
      <c r="V235" s="2"/>
      <c r="W235" s="2"/>
      <c r="X235" s="2"/>
      <c r="Y235" s="38"/>
    </row>
    <row r="236" spans="2:25" ht="15.75" customHeight="1" thickBot="1" x14ac:dyDescent="0.35">
      <c r="B236" s="2"/>
      <c r="C236" s="68" t="s">
        <v>466</v>
      </c>
      <c r="D236" s="69" t="s">
        <v>529</v>
      </c>
      <c r="E236" s="70" t="s">
        <v>530</v>
      </c>
      <c r="F236" s="71">
        <f>+'COMUNAS - HOME DELIVERY 2026'!F236*1.1</f>
        <v>5040.2880000000005</v>
      </c>
      <c r="G236" s="72">
        <f>+'COMUNAS - HOME DELIVERY 2026'!G236*1.1</f>
        <v>5384.2536</v>
      </c>
      <c r="H236" s="72">
        <f>+'COMUNAS - HOME DELIVERY 2026'!H236*1.1</f>
        <v>5987.0448000000006</v>
      </c>
      <c r="I236" s="72">
        <f>+'COMUNAS - HOME DELIVERY 2026'!I236*1.1</f>
        <v>6825.9576000000006</v>
      </c>
      <c r="J236" s="72">
        <f>+'COMUNAS - HOME DELIVERY 2026'!J236*1.1</f>
        <v>8308.5288000000019</v>
      </c>
      <c r="K236" s="72">
        <f>+'COMUNAS - HOME DELIVERY 2026'!K236*1.1</f>
        <v>9814.9392000000007</v>
      </c>
      <c r="L236" s="72">
        <f>+'COMUNAS - HOME DELIVERY 2026'!L236*1.1</f>
        <v>11178.314400000003</v>
      </c>
      <c r="M236" s="73">
        <f>+'COMUNAS - HOME DELIVERY 2026'!M236*1.1</f>
        <v>624.36000000000013</v>
      </c>
      <c r="N236" s="74">
        <f>+'COMUNAS - HOME DELIVERY 2026'!N236*1.1</f>
        <v>508.56960000000004</v>
      </c>
      <c r="O236" s="60"/>
      <c r="P236" s="2"/>
      <c r="Q236" s="2"/>
      <c r="R236" s="2"/>
      <c r="S236" s="2"/>
      <c r="T236" s="2"/>
      <c r="U236" s="2"/>
      <c r="V236" s="2"/>
      <c r="W236" s="2"/>
      <c r="X236" s="2"/>
      <c r="Y236" s="38"/>
    </row>
    <row r="237" spans="2:25" ht="15.75" customHeight="1" x14ac:dyDescent="0.3">
      <c r="B237" s="2"/>
      <c r="C237" s="75" t="s">
        <v>531</v>
      </c>
      <c r="D237" s="76" t="s">
        <v>532</v>
      </c>
      <c r="E237" s="77" t="s">
        <v>47</v>
      </c>
      <c r="F237" s="64">
        <f>+'COMUNAS - HOME DELIVERY 2026'!F237*1.1</f>
        <v>5226.4608000000007</v>
      </c>
      <c r="G237" s="65">
        <f>+'COMUNAS - HOME DELIVERY 2026'!G237*1.1</f>
        <v>5493.2328000000007</v>
      </c>
      <c r="H237" s="65">
        <f>+'COMUNAS - HOME DELIVERY 2026'!H237*1.1</f>
        <v>6119.8631999999998</v>
      </c>
      <c r="I237" s="65">
        <f>+'COMUNAS - HOME DELIVERY 2026'!I237*1.1</f>
        <v>6934.9368000000013</v>
      </c>
      <c r="J237" s="65">
        <f>+'COMUNAS - HOME DELIVERY 2026'!J237*1.1</f>
        <v>8585.517600000001</v>
      </c>
      <c r="K237" s="65">
        <f>+'COMUNAS - HOME DELIVERY 2026'!K237*1.1</f>
        <v>10122.578400000002</v>
      </c>
      <c r="L237" s="65">
        <f>+'COMUNAS - HOME DELIVERY 2026'!L237*1.1</f>
        <v>11489.359200000001</v>
      </c>
      <c r="M237" s="66">
        <f>+'COMUNAS - HOME DELIVERY 2026'!M237*1.1</f>
        <v>626.63040000000001</v>
      </c>
      <c r="N237" s="67">
        <f>+'COMUNAS - HOME DELIVERY 2026'!N237*1.1</f>
        <v>511.97520000000009</v>
      </c>
      <c r="O237" s="60"/>
      <c r="P237" s="2"/>
      <c r="Q237" s="2"/>
      <c r="R237" s="2"/>
      <c r="S237" s="2"/>
      <c r="T237" s="2"/>
      <c r="U237" s="2"/>
      <c r="V237" s="2"/>
      <c r="W237" s="2"/>
      <c r="X237" s="2"/>
      <c r="Y237" s="38"/>
    </row>
    <row r="238" spans="2:25" ht="15.75" customHeight="1" x14ac:dyDescent="0.3">
      <c r="B238" s="2"/>
      <c r="C238" s="61" t="s">
        <v>531</v>
      </c>
      <c r="D238" s="62" t="s">
        <v>533</v>
      </c>
      <c r="E238" s="63" t="s">
        <v>534</v>
      </c>
      <c r="F238" s="64">
        <f>+'COMUNAS - HOME DELIVERY 2026'!F238*1.1</f>
        <v>5040.2880000000005</v>
      </c>
      <c r="G238" s="65">
        <f>+'COMUNAS - HOME DELIVERY 2026'!G238*1.1</f>
        <v>5384.2536</v>
      </c>
      <c r="H238" s="65">
        <f>+'COMUNAS - HOME DELIVERY 2026'!H238*1.1</f>
        <v>5987.0448000000006</v>
      </c>
      <c r="I238" s="65">
        <f>+'COMUNAS - HOME DELIVERY 2026'!I238*1.1</f>
        <v>6825.9576000000006</v>
      </c>
      <c r="J238" s="65">
        <f>+'COMUNAS - HOME DELIVERY 2026'!J238*1.1</f>
        <v>8308.5288000000019</v>
      </c>
      <c r="K238" s="65">
        <f>+'COMUNAS - HOME DELIVERY 2026'!K238*1.1</f>
        <v>9814.9392000000007</v>
      </c>
      <c r="L238" s="65">
        <f>+'COMUNAS - HOME DELIVERY 2026'!L238*1.1</f>
        <v>11178.314400000003</v>
      </c>
      <c r="M238" s="66">
        <f>+'COMUNAS - HOME DELIVERY 2026'!M238*1.1</f>
        <v>624.36000000000013</v>
      </c>
      <c r="N238" s="67">
        <f>+'COMUNAS - HOME DELIVERY 2026'!N238*1.1</f>
        <v>508.56960000000004</v>
      </c>
      <c r="O238" s="60"/>
      <c r="P238" s="2"/>
      <c r="Q238" s="2"/>
      <c r="R238" s="2"/>
      <c r="S238" s="2"/>
      <c r="T238" s="2"/>
      <c r="U238" s="2"/>
      <c r="V238" s="2"/>
      <c r="W238" s="2"/>
      <c r="X238" s="2"/>
      <c r="Y238" s="38"/>
    </row>
    <row r="239" spans="2:25" ht="15.75" customHeight="1" x14ac:dyDescent="0.3">
      <c r="B239" s="2"/>
      <c r="C239" s="61" t="s">
        <v>531</v>
      </c>
      <c r="D239" s="62" t="s">
        <v>535</v>
      </c>
      <c r="E239" s="63" t="s">
        <v>536</v>
      </c>
      <c r="F239" s="64">
        <f>+'COMUNAS - HOME DELIVERY 2026'!F239*1.1</f>
        <v>5226.4608000000007</v>
      </c>
      <c r="G239" s="65">
        <f>+'COMUNAS - HOME DELIVERY 2026'!G239*1.1</f>
        <v>5493.2328000000007</v>
      </c>
      <c r="H239" s="65">
        <f>+'COMUNAS - HOME DELIVERY 2026'!H239*1.1</f>
        <v>6119.8631999999998</v>
      </c>
      <c r="I239" s="65">
        <f>+'COMUNAS - HOME DELIVERY 2026'!I239*1.1</f>
        <v>6934.9368000000013</v>
      </c>
      <c r="J239" s="65">
        <f>+'COMUNAS - HOME DELIVERY 2026'!J239*1.1</f>
        <v>8585.517600000001</v>
      </c>
      <c r="K239" s="65">
        <f>+'COMUNAS - HOME DELIVERY 2026'!K239*1.1</f>
        <v>10122.578400000002</v>
      </c>
      <c r="L239" s="65">
        <f>+'COMUNAS - HOME DELIVERY 2026'!L239*1.1</f>
        <v>11489.359200000001</v>
      </c>
      <c r="M239" s="66">
        <f>+'COMUNAS - HOME DELIVERY 2026'!M239*1.1</f>
        <v>626.63040000000001</v>
      </c>
      <c r="N239" s="67">
        <f>+'COMUNAS - HOME DELIVERY 2026'!N239*1.1</f>
        <v>511.97520000000009</v>
      </c>
      <c r="O239" s="60"/>
      <c r="P239" s="136"/>
      <c r="R239" s="2"/>
      <c r="S239" s="2"/>
      <c r="T239" s="2"/>
      <c r="U239" s="2"/>
      <c r="V239" s="2"/>
      <c r="W239" s="2"/>
      <c r="X239" s="2"/>
      <c r="Y239" s="38"/>
    </row>
    <row r="240" spans="2:25" ht="15.75" customHeight="1" x14ac:dyDescent="0.3">
      <c r="B240" s="2"/>
      <c r="C240" s="61" t="s">
        <v>531</v>
      </c>
      <c r="D240" s="62" t="s">
        <v>537</v>
      </c>
      <c r="E240" s="63" t="s">
        <v>538</v>
      </c>
      <c r="F240" s="64">
        <f>+'COMUNAS - HOME DELIVERY 2026'!F240*1.1</f>
        <v>7839.6912000000011</v>
      </c>
      <c r="G240" s="65">
        <f>+'COMUNAS - HOME DELIVERY 2026'!G240*1.1</f>
        <v>8239.8492000000006</v>
      </c>
      <c r="H240" s="65">
        <f>+'COMUNAS - HOME DELIVERY 2026'!H240*1.1</f>
        <v>9179.7948000000015</v>
      </c>
      <c r="I240" s="65">
        <f>+'COMUNAS - HOME DELIVERY 2026'!I240*1.1</f>
        <v>10402.405200000001</v>
      </c>
      <c r="J240" s="65">
        <f>+'COMUNAS - HOME DELIVERY 2026'!J240*1.1</f>
        <v>12878.276400000001</v>
      </c>
      <c r="K240" s="65">
        <f>+'COMUNAS - HOME DELIVERY 2026'!K240*1.1</f>
        <v>15183.867600000001</v>
      </c>
      <c r="L240" s="65">
        <f>+'COMUNAS - HOME DELIVERY 2026'!L240*1.1</f>
        <v>17234.038800000002</v>
      </c>
      <c r="M240" s="66">
        <f>+'COMUNAS - HOME DELIVERY 2026'!M240*1.1</f>
        <v>939.94560000000001</v>
      </c>
      <c r="N240" s="67">
        <f>+'COMUNAS - HOME DELIVERY 2026'!N240*1.1</f>
        <v>767.96280000000013</v>
      </c>
      <c r="O240" s="60"/>
      <c r="S240" s="2"/>
      <c r="T240" s="2"/>
      <c r="U240" s="2"/>
      <c r="V240" s="2"/>
      <c r="W240" s="2"/>
      <c r="X240" s="2"/>
      <c r="Y240" s="38"/>
    </row>
    <row r="241" spans="2:25" ht="15.75" customHeight="1" x14ac:dyDescent="0.3">
      <c r="B241" s="2"/>
      <c r="C241" s="61" t="s">
        <v>531</v>
      </c>
      <c r="D241" s="62" t="s">
        <v>541</v>
      </c>
      <c r="E241" s="63" t="s">
        <v>542</v>
      </c>
      <c r="F241" s="64">
        <f>+'COMUNAS - HOME DELIVERY 2026'!F241*1.1</f>
        <v>5040.2880000000005</v>
      </c>
      <c r="G241" s="65">
        <f>+'COMUNAS - HOME DELIVERY 2026'!G241*1.1</f>
        <v>5384.2536</v>
      </c>
      <c r="H241" s="65">
        <f>+'COMUNAS - HOME DELIVERY 2026'!H241*1.1</f>
        <v>5987.0448000000006</v>
      </c>
      <c r="I241" s="65">
        <f>+'COMUNAS - HOME DELIVERY 2026'!I241*1.1</f>
        <v>6825.9576000000006</v>
      </c>
      <c r="J241" s="65">
        <f>+'COMUNAS - HOME DELIVERY 2026'!J241*1.1</f>
        <v>8308.5288000000019</v>
      </c>
      <c r="K241" s="65">
        <f>+'COMUNAS - HOME DELIVERY 2026'!K241*1.1</f>
        <v>9814.9392000000007</v>
      </c>
      <c r="L241" s="65">
        <f>+'COMUNAS - HOME DELIVERY 2026'!L241*1.1</f>
        <v>11178.314400000003</v>
      </c>
      <c r="M241" s="66">
        <f>+'COMUNAS - HOME DELIVERY 2026'!M241*1.1</f>
        <v>624.36000000000013</v>
      </c>
      <c r="N241" s="67">
        <f>+'COMUNAS - HOME DELIVERY 2026'!N241*1.1</f>
        <v>508.56960000000004</v>
      </c>
      <c r="O241" s="60"/>
      <c r="S241" s="2"/>
      <c r="T241" s="2"/>
      <c r="U241" s="2"/>
      <c r="V241" s="2"/>
      <c r="W241" s="2"/>
      <c r="X241" s="2"/>
      <c r="Y241" s="38"/>
    </row>
    <row r="242" spans="2:25" ht="15.75" customHeight="1" x14ac:dyDescent="0.3">
      <c r="B242" s="2"/>
      <c r="C242" s="61" t="s">
        <v>531</v>
      </c>
      <c r="D242" s="62" t="s">
        <v>543</v>
      </c>
      <c r="E242" s="63" t="s">
        <v>544</v>
      </c>
      <c r="F242" s="64">
        <f>+'COMUNAS - HOME DELIVERY 2026'!F242*1.1</f>
        <v>5226.4608000000007</v>
      </c>
      <c r="G242" s="65">
        <f>+'COMUNAS - HOME DELIVERY 2026'!G242*1.1</f>
        <v>5493.2328000000007</v>
      </c>
      <c r="H242" s="65">
        <f>+'COMUNAS - HOME DELIVERY 2026'!H242*1.1</f>
        <v>6119.8631999999998</v>
      </c>
      <c r="I242" s="65">
        <f>+'COMUNAS - HOME DELIVERY 2026'!I242*1.1</f>
        <v>6934.9368000000013</v>
      </c>
      <c r="J242" s="65">
        <f>+'COMUNAS - HOME DELIVERY 2026'!J242*1.1</f>
        <v>8585.517600000001</v>
      </c>
      <c r="K242" s="65">
        <f>+'COMUNAS - HOME DELIVERY 2026'!K242*1.1</f>
        <v>10122.578400000002</v>
      </c>
      <c r="L242" s="65">
        <f>+'COMUNAS - HOME DELIVERY 2026'!L242*1.1</f>
        <v>11489.359200000001</v>
      </c>
      <c r="M242" s="66">
        <f>+'COMUNAS - HOME DELIVERY 2026'!M242*1.1</f>
        <v>626.63040000000001</v>
      </c>
      <c r="N242" s="67">
        <f>+'COMUNAS - HOME DELIVERY 2026'!N242*1.1</f>
        <v>511.97520000000009</v>
      </c>
      <c r="O242" s="60"/>
      <c r="R242" s="2"/>
      <c r="S242" s="2"/>
      <c r="T242" s="2"/>
      <c r="U242" s="2"/>
      <c r="V242" s="2"/>
      <c r="W242" s="2"/>
      <c r="X242" s="2"/>
      <c r="Y242" s="38"/>
    </row>
    <row r="243" spans="2:25" ht="15.75" customHeight="1" x14ac:dyDescent="0.3">
      <c r="B243" s="2"/>
      <c r="C243" s="61" t="s">
        <v>531</v>
      </c>
      <c r="D243" s="62" t="s">
        <v>545</v>
      </c>
      <c r="E243" s="63" t="s">
        <v>546</v>
      </c>
      <c r="F243" s="64">
        <f>+'COMUNAS - HOME DELIVERY 2026'!F243*1.1</f>
        <v>7839.6912000000011</v>
      </c>
      <c r="G243" s="65">
        <f>+'COMUNAS - HOME DELIVERY 2026'!G243*1.1</f>
        <v>8239.8492000000006</v>
      </c>
      <c r="H243" s="65">
        <f>+'COMUNAS - HOME DELIVERY 2026'!H243*1.1</f>
        <v>9179.7948000000015</v>
      </c>
      <c r="I243" s="65">
        <f>+'COMUNAS - HOME DELIVERY 2026'!I243*1.1</f>
        <v>10402.405200000001</v>
      </c>
      <c r="J243" s="65">
        <f>+'COMUNAS - HOME DELIVERY 2026'!J243*1.1</f>
        <v>12878.276400000001</v>
      </c>
      <c r="K243" s="65">
        <f>+'COMUNAS - HOME DELIVERY 2026'!K243*1.1</f>
        <v>15183.867600000001</v>
      </c>
      <c r="L243" s="65">
        <f>+'COMUNAS - HOME DELIVERY 2026'!L243*1.1</f>
        <v>17234.038800000002</v>
      </c>
      <c r="M243" s="66">
        <f>+'COMUNAS - HOME DELIVERY 2026'!M243*1.1</f>
        <v>939.94560000000001</v>
      </c>
      <c r="N243" s="67">
        <f>+'COMUNAS - HOME DELIVERY 2026'!N243*1.1</f>
        <v>767.96280000000013</v>
      </c>
      <c r="O243" s="60"/>
      <c r="R243" s="2"/>
      <c r="S243" s="2"/>
      <c r="T243" s="2"/>
      <c r="U243" s="2"/>
      <c r="V243" s="2"/>
      <c r="W243" s="2"/>
      <c r="X243" s="2"/>
      <c r="Y243" s="38"/>
    </row>
    <row r="244" spans="2:25" ht="15.75" customHeight="1" x14ac:dyDescent="0.3">
      <c r="B244" s="2"/>
      <c r="C244" s="61" t="s">
        <v>531</v>
      </c>
      <c r="D244" s="62" t="s">
        <v>547</v>
      </c>
      <c r="E244" s="63" t="s">
        <v>548</v>
      </c>
      <c r="F244" s="64">
        <f>+'COMUNAS - HOME DELIVERY 2026'!F244*1.1</f>
        <v>7839.6912000000011</v>
      </c>
      <c r="G244" s="65">
        <f>+'COMUNAS - HOME DELIVERY 2026'!G244*1.1</f>
        <v>8239.8492000000006</v>
      </c>
      <c r="H244" s="65">
        <f>+'COMUNAS - HOME DELIVERY 2026'!H244*1.1</f>
        <v>9179.7948000000015</v>
      </c>
      <c r="I244" s="65">
        <f>+'COMUNAS - HOME DELIVERY 2026'!I244*1.1</f>
        <v>10402.405200000001</v>
      </c>
      <c r="J244" s="65">
        <f>+'COMUNAS - HOME DELIVERY 2026'!J244*1.1</f>
        <v>12878.276400000001</v>
      </c>
      <c r="K244" s="65">
        <f>+'COMUNAS - HOME DELIVERY 2026'!K244*1.1</f>
        <v>15183.867600000001</v>
      </c>
      <c r="L244" s="65">
        <f>+'COMUNAS - HOME DELIVERY 2026'!L244*1.1</f>
        <v>17234.038800000002</v>
      </c>
      <c r="M244" s="66">
        <f>+'COMUNAS - HOME DELIVERY 2026'!M244*1.1</f>
        <v>939.94560000000001</v>
      </c>
      <c r="N244" s="67">
        <f>+'COMUNAS - HOME DELIVERY 2026'!N244*1.1</f>
        <v>767.96280000000013</v>
      </c>
      <c r="O244" s="60"/>
      <c r="R244" s="2"/>
      <c r="S244" s="2"/>
      <c r="T244" s="2"/>
      <c r="U244" s="2"/>
      <c r="V244" s="2"/>
      <c r="W244" s="2"/>
      <c r="X244" s="2"/>
      <c r="Y244" s="38"/>
    </row>
    <row r="245" spans="2:25" ht="15.75" customHeight="1" x14ac:dyDescent="0.3">
      <c r="B245" s="2"/>
      <c r="C245" s="61" t="s">
        <v>531</v>
      </c>
      <c r="D245" s="62" t="s">
        <v>549</v>
      </c>
      <c r="E245" s="63" t="s">
        <v>550</v>
      </c>
      <c r="F245" s="64">
        <f>+'COMUNAS - HOME DELIVERY 2026'!F245*1.1</f>
        <v>5226.4608000000007</v>
      </c>
      <c r="G245" s="65">
        <f>+'COMUNAS - HOME DELIVERY 2026'!G245*1.1</f>
        <v>5493.2328000000007</v>
      </c>
      <c r="H245" s="65">
        <f>+'COMUNAS - HOME DELIVERY 2026'!H245*1.1</f>
        <v>6119.8631999999998</v>
      </c>
      <c r="I245" s="65">
        <f>+'COMUNAS - HOME DELIVERY 2026'!I245*1.1</f>
        <v>6934.9368000000013</v>
      </c>
      <c r="J245" s="65">
        <f>+'COMUNAS - HOME DELIVERY 2026'!J245*1.1</f>
        <v>8585.517600000001</v>
      </c>
      <c r="K245" s="65">
        <f>+'COMUNAS - HOME DELIVERY 2026'!K245*1.1</f>
        <v>10122.578400000002</v>
      </c>
      <c r="L245" s="65">
        <f>+'COMUNAS - HOME DELIVERY 2026'!L245*1.1</f>
        <v>11489.359200000001</v>
      </c>
      <c r="M245" s="66">
        <f>+'COMUNAS - HOME DELIVERY 2026'!M245*1.1</f>
        <v>626.63040000000001</v>
      </c>
      <c r="N245" s="67">
        <f>+'COMUNAS - HOME DELIVERY 2026'!N245*1.1</f>
        <v>511.97520000000009</v>
      </c>
      <c r="O245" s="60"/>
      <c r="R245" s="2"/>
      <c r="S245" s="2"/>
      <c r="T245" s="2"/>
      <c r="U245" s="2"/>
      <c r="V245" s="2"/>
      <c r="W245" s="2"/>
      <c r="X245" s="2"/>
      <c r="Y245" s="38"/>
    </row>
    <row r="246" spans="2:25" ht="15.75" customHeight="1" x14ac:dyDescent="0.3">
      <c r="B246" s="2"/>
      <c r="C246" s="61" t="s">
        <v>531</v>
      </c>
      <c r="D246" s="62" t="s">
        <v>551</v>
      </c>
      <c r="E246" s="63" t="s">
        <v>552</v>
      </c>
      <c r="F246" s="64">
        <f>+'COMUNAS - HOME DELIVERY 2026'!F246*1.1</f>
        <v>5226.4608000000007</v>
      </c>
      <c r="G246" s="65">
        <f>+'COMUNAS - HOME DELIVERY 2026'!G246*1.1</f>
        <v>5493.2328000000007</v>
      </c>
      <c r="H246" s="65">
        <f>+'COMUNAS - HOME DELIVERY 2026'!H246*1.1</f>
        <v>6119.8631999999998</v>
      </c>
      <c r="I246" s="65">
        <f>+'COMUNAS - HOME DELIVERY 2026'!I246*1.1</f>
        <v>6934.9368000000013</v>
      </c>
      <c r="J246" s="65">
        <f>+'COMUNAS - HOME DELIVERY 2026'!J246*1.1</f>
        <v>8585.517600000001</v>
      </c>
      <c r="K246" s="65">
        <f>+'COMUNAS - HOME DELIVERY 2026'!K246*1.1</f>
        <v>10122.578400000002</v>
      </c>
      <c r="L246" s="65">
        <f>+'COMUNAS - HOME DELIVERY 2026'!L246*1.1</f>
        <v>11489.359200000001</v>
      </c>
      <c r="M246" s="66">
        <f>+'COMUNAS - HOME DELIVERY 2026'!M246*1.1</f>
        <v>626.63040000000001</v>
      </c>
      <c r="N246" s="67">
        <f>+'COMUNAS - HOME DELIVERY 2026'!N246*1.1</f>
        <v>511.97520000000009</v>
      </c>
      <c r="O246" s="60"/>
      <c r="R246" s="2"/>
      <c r="S246" s="2"/>
      <c r="T246" s="2"/>
      <c r="U246" s="2"/>
      <c r="V246" s="2"/>
      <c r="W246" s="2"/>
      <c r="X246" s="2"/>
      <c r="Y246" s="38"/>
    </row>
    <row r="247" spans="2:25" ht="15.75" customHeight="1" x14ac:dyDescent="0.3">
      <c r="B247" s="2"/>
      <c r="C247" s="61" t="s">
        <v>531</v>
      </c>
      <c r="D247" s="62" t="s">
        <v>553</v>
      </c>
      <c r="E247" s="63" t="s">
        <v>554</v>
      </c>
      <c r="F247" s="64">
        <f>+'COMUNAS - HOME DELIVERY 2026'!F247*1.1</f>
        <v>5226.4608000000007</v>
      </c>
      <c r="G247" s="65">
        <f>+'COMUNAS - HOME DELIVERY 2026'!G247*1.1</f>
        <v>5493.2328000000007</v>
      </c>
      <c r="H247" s="65">
        <f>+'COMUNAS - HOME DELIVERY 2026'!H247*1.1</f>
        <v>6119.8631999999998</v>
      </c>
      <c r="I247" s="65">
        <f>+'COMUNAS - HOME DELIVERY 2026'!I247*1.1</f>
        <v>6934.9368000000013</v>
      </c>
      <c r="J247" s="65">
        <f>+'COMUNAS - HOME DELIVERY 2026'!J247*1.1</f>
        <v>8585.517600000001</v>
      </c>
      <c r="K247" s="65">
        <f>+'COMUNAS - HOME DELIVERY 2026'!K247*1.1</f>
        <v>10122.578400000002</v>
      </c>
      <c r="L247" s="65">
        <f>+'COMUNAS - HOME DELIVERY 2026'!L247*1.1</f>
        <v>11489.359200000001</v>
      </c>
      <c r="M247" s="66">
        <f>+'COMUNAS - HOME DELIVERY 2026'!M247*1.1</f>
        <v>626.63040000000001</v>
      </c>
      <c r="N247" s="67">
        <f>+'COMUNAS - HOME DELIVERY 2026'!N247*1.1</f>
        <v>511.97520000000009</v>
      </c>
      <c r="O247" s="60"/>
      <c r="R247" s="2"/>
      <c r="S247" s="2"/>
      <c r="T247" s="2"/>
      <c r="U247" s="2"/>
      <c r="V247" s="2"/>
      <c r="W247" s="2"/>
      <c r="X247" s="2"/>
      <c r="Y247" s="38"/>
    </row>
    <row r="248" spans="2:25" ht="15.75" customHeight="1" x14ac:dyDescent="0.3">
      <c r="B248" s="2"/>
      <c r="C248" s="61" t="s">
        <v>531</v>
      </c>
      <c r="D248" s="62" t="s">
        <v>555</v>
      </c>
      <c r="E248" s="63" t="s">
        <v>556</v>
      </c>
      <c r="F248" s="64">
        <f>+'COMUNAS - HOME DELIVERY 2026'!F248*1.1</f>
        <v>5226.4608000000007</v>
      </c>
      <c r="G248" s="65">
        <f>+'COMUNAS - HOME DELIVERY 2026'!G248*1.1</f>
        <v>5493.2328000000007</v>
      </c>
      <c r="H248" s="65">
        <f>+'COMUNAS - HOME DELIVERY 2026'!H248*1.1</f>
        <v>6119.8631999999998</v>
      </c>
      <c r="I248" s="65">
        <f>+'COMUNAS - HOME DELIVERY 2026'!I248*1.1</f>
        <v>6934.9368000000013</v>
      </c>
      <c r="J248" s="65">
        <f>+'COMUNAS - HOME DELIVERY 2026'!J248*1.1</f>
        <v>8585.517600000001</v>
      </c>
      <c r="K248" s="65">
        <f>+'COMUNAS - HOME DELIVERY 2026'!K248*1.1</f>
        <v>10122.578400000002</v>
      </c>
      <c r="L248" s="65">
        <f>+'COMUNAS - HOME DELIVERY 2026'!L248*1.1</f>
        <v>11489.359200000001</v>
      </c>
      <c r="M248" s="66">
        <f>+'COMUNAS - HOME DELIVERY 2026'!M248*1.1</f>
        <v>626.63040000000001</v>
      </c>
      <c r="N248" s="67">
        <f>+'COMUNAS - HOME DELIVERY 2026'!N248*1.1</f>
        <v>511.97520000000009</v>
      </c>
      <c r="O248" s="60"/>
      <c r="R248" s="2"/>
      <c r="S248" s="2"/>
      <c r="T248" s="2"/>
      <c r="U248" s="2"/>
      <c r="V248" s="2"/>
      <c r="W248" s="2"/>
      <c r="X248" s="2"/>
      <c r="Y248" s="38"/>
    </row>
    <row r="249" spans="2:25" ht="15.75" customHeight="1" x14ac:dyDescent="0.3">
      <c r="B249" s="2"/>
      <c r="C249" s="61" t="s">
        <v>531</v>
      </c>
      <c r="D249" s="62" t="s">
        <v>557</v>
      </c>
      <c r="E249" s="63" t="s">
        <v>558</v>
      </c>
      <c r="F249" s="64">
        <f>+'COMUNAS - HOME DELIVERY 2026'!F249*1.1</f>
        <v>5226.4608000000007</v>
      </c>
      <c r="G249" s="65">
        <f>+'COMUNAS - HOME DELIVERY 2026'!G249*1.1</f>
        <v>5493.2328000000007</v>
      </c>
      <c r="H249" s="65">
        <f>+'COMUNAS - HOME DELIVERY 2026'!H249*1.1</f>
        <v>6119.8631999999998</v>
      </c>
      <c r="I249" s="65">
        <f>+'COMUNAS - HOME DELIVERY 2026'!I249*1.1</f>
        <v>6934.9368000000013</v>
      </c>
      <c r="J249" s="65">
        <f>+'COMUNAS - HOME DELIVERY 2026'!J249*1.1</f>
        <v>8585.517600000001</v>
      </c>
      <c r="K249" s="65">
        <f>+'COMUNAS - HOME DELIVERY 2026'!K249*1.1</f>
        <v>10122.578400000002</v>
      </c>
      <c r="L249" s="65">
        <f>+'COMUNAS - HOME DELIVERY 2026'!L249*1.1</f>
        <v>11489.359200000001</v>
      </c>
      <c r="M249" s="66">
        <f>+'COMUNAS - HOME DELIVERY 2026'!M249*1.1</f>
        <v>626.63040000000001</v>
      </c>
      <c r="N249" s="67">
        <f>+'COMUNAS - HOME DELIVERY 2026'!N249*1.1</f>
        <v>511.97520000000009</v>
      </c>
      <c r="R249" s="2"/>
      <c r="S249" s="2"/>
      <c r="T249" s="2"/>
      <c r="U249" s="2"/>
      <c r="V249" s="2"/>
      <c r="W249" s="2"/>
      <c r="X249" s="2"/>
      <c r="Y249" s="38"/>
    </row>
    <row r="250" spans="2:25" ht="15.75" customHeight="1" x14ac:dyDescent="0.3">
      <c r="B250" s="2"/>
      <c r="C250" s="61" t="s">
        <v>531</v>
      </c>
      <c r="D250" s="62" t="s">
        <v>559</v>
      </c>
      <c r="E250" s="63" t="s">
        <v>560</v>
      </c>
      <c r="F250" s="64">
        <f>+'COMUNAS - HOME DELIVERY 2026'!F250*1.1</f>
        <v>5226.4608000000007</v>
      </c>
      <c r="G250" s="65">
        <f>+'COMUNAS - HOME DELIVERY 2026'!G250*1.1</f>
        <v>5493.2328000000007</v>
      </c>
      <c r="H250" s="65">
        <f>+'COMUNAS - HOME DELIVERY 2026'!H250*1.1</f>
        <v>6119.8631999999998</v>
      </c>
      <c r="I250" s="65">
        <f>+'COMUNAS - HOME DELIVERY 2026'!I250*1.1</f>
        <v>6934.9368000000013</v>
      </c>
      <c r="J250" s="65">
        <f>+'COMUNAS - HOME DELIVERY 2026'!J250*1.1</f>
        <v>8585.517600000001</v>
      </c>
      <c r="K250" s="65">
        <f>+'COMUNAS - HOME DELIVERY 2026'!K250*1.1</f>
        <v>10122.578400000002</v>
      </c>
      <c r="L250" s="65">
        <f>+'COMUNAS - HOME DELIVERY 2026'!L250*1.1</f>
        <v>11489.359200000001</v>
      </c>
      <c r="M250" s="66">
        <f>+'COMUNAS - HOME DELIVERY 2026'!M250*1.1</f>
        <v>626.63040000000001</v>
      </c>
      <c r="N250" s="67">
        <f>+'COMUNAS - HOME DELIVERY 2026'!N250*1.1</f>
        <v>511.97520000000009</v>
      </c>
      <c r="O250" s="60"/>
      <c r="R250" s="2"/>
      <c r="S250" s="2"/>
      <c r="T250" s="2"/>
      <c r="U250" s="2"/>
      <c r="V250" s="2"/>
      <c r="W250" s="2"/>
      <c r="X250" s="2"/>
      <c r="Y250" s="38"/>
    </row>
    <row r="251" spans="2:25" ht="15.75" customHeight="1" x14ac:dyDescent="0.3">
      <c r="B251" s="2"/>
      <c r="C251" s="61" t="s">
        <v>531</v>
      </c>
      <c r="D251" s="62" t="s">
        <v>561</v>
      </c>
      <c r="E251" s="63" t="s">
        <v>562</v>
      </c>
      <c r="F251" s="64">
        <f>+'COMUNAS - HOME DELIVERY 2026'!F251*1.1</f>
        <v>7839.6912000000011</v>
      </c>
      <c r="G251" s="65">
        <f>+'COMUNAS - HOME DELIVERY 2026'!G251*1.1</f>
        <v>8239.8492000000006</v>
      </c>
      <c r="H251" s="65">
        <f>+'COMUNAS - HOME DELIVERY 2026'!H251*1.1</f>
        <v>9179.7948000000015</v>
      </c>
      <c r="I251" s="65">
        <f>+'COMUNAS - HOME DELIVERY 2026'!I251*1.1</f>
        <v>10402.405200000001</v>
      </c>
      <c r="J251" s="65">
        <f>+'COMUNAS - HOME DELIVERY 2026'!J251*1.1</f>
        <v>12878.276400000001</v>
      </c>
      <c r="K251" s="65">
        <f>+'COMUNAS - HOME DELIVERY 2026'!K251*1.1</f>
        <v>15183.867600000001</v>
      </c>
      <c r="L251" s="65">
        <f>+'COMUNAS - HOME DELIVERY 2026'!L251*1.1</f>
        <v>17234.038800000002</v>
      </c>
      <c r="M251" s="66">
        <f>+'COMUNAS - HOME DELIVERY 2026'!M251*1.1</f>
        <v>939.94560000000001</v>
      </c>
      <c r="N251" s="67">
        <f>+'COMUNAS - HOME DELIVERY 2026'!N251*1.1</f>
        <v>767.96280000000013</v>
      </c>
      <c r="O251" s="60"/>
      <c r="R251" s="2"/>
      <c r="S251" s="2"/>
      <c r="T251" s="2"/>
      <c r="U251" s="2"/>
      <c r="V251" s="2"/>
      <c r="W251" s="2"/>
      <c r="X251" s="2"/>
      <c r="Y251" s="38"/>
    </row>
    <row r="252" spans="2:25" ht="15.75" customHeight="1" x14ac:dyDescent="0.3">
      <c r="B252" s="2"/>
      <c r="C252" s="61" t="s">
        <v>531</v>
      </c>
      <c r="D252" s="62" t="s">
        <v>563</v>
      </c>
      <c r="E252" s="63" t="s">
        <v>564</v>
      </c>
      <c r="F252" s="64">
        <f>+'COMUNAS - HOME DELIVERY 2026'!F252*1.1</f>
        <v>7839.6912000000011</v>
      </c>
      <c r="G252" s="65">
        <f>+'COMUNAS - HOME DELIVERY 2026'!G252*1.1</f>
        <v>8239.8492000000006</v>
      </c>
      <c r="H252" s="65">
        <f>+'COMUNAS - HOME DELIVERY 2026'!H252*1.1</f>
        <v>9179.7948000000015</v>
      </c>
      <c r="I252" s="65">
        <f>+'COMUNAS - HOME DELIVERY 2026'!I252*1.1</f>
        <v>10402.405200000001</v>
      </c>
      <c r="J252" s="65">
        <f>+'COMUNAS - HOME DELIVERY 2026'!J252*1.1</f>
        <v>12878.276400000001</v>
      </c>
      <c r="K252" s="65">
        <f>+'COMUNAS - HOME DELIVERY 2026'!K252*1.1</f>
        <v>15183.867600000001</v>
      </c>
      <c r="L252" s="65">
        <f>+'COMUNAS - HOME DELIVERY 2026'!L252*1.1</f>
        <v>17234.038800000002</v>
      </c>
      <c r="M252" s="66">
        <f>+'COMUNAS - HOME DELIVERY 2026'!M252*1.1</f>
        <v>939.94560000000001</v>
      </c>
      <c r="N252" s="67">
        <f>+'COMUNAS - HOME DELIVERY 2026'!N252*1.1</f>
        <v>767.96280000000013</v>
      </c>
      <c r="O252" s="60"/>
      <c r="R252" s="2"/>
      <c r="S252" s="2"/>
      <c r="T252" s="2"/>
      <c r="U252" s="2"/>
      <c r="V252" s="2"/>
      <c r="W252" s="2"/>
      <c r="X252" s="2"/>
      <c r="Y252" s="38"/>
    </row>
    <row r="253" spans="2:25" ht="15.75" customHeight="1" x14ac:dyDescent="0.3">
      <c r="B253" s="2"/>
      <c r="C253" s="61" t="s">
        <v>531</v>
      </c>
      <c r="D253" s="62" t="s">
        <v>565</v>
      </c>
      <c r="E253" s="63" t="s">
        <v>566</v>
      </c>
      <c r="F253" s="64">
        <f>+'COMUNAS - HOME DELIVERY 2026'!F253*1.1</f>
        <v>7839.6912000000011</v>
      </c>
      <c r="G253" s="65">
        <f>+'COMUNAS - HOME DELIVERY 2026'!G253*1.1</f>
        <v>8239.8492000000006</v>
      </c>
      <c r="H253" s="65">
        <f>+'COMUNAS - HOME DELIVERY 2026'!H253*1.1</f>
        <v>9179.7948000000015</v>
      </c>
      <c r="I253" s="65">
        <f>+'COMUNAS - HOME DELIVERY 2026'!I253*1.1</f>
        <v>10402.405200000001</v>
      </c>
      <c r="J253" s="65">
        <f>+'COMUNAS - HOME DELIVERY 2026'!J253*1.1</f>
        <v>12878.276400000001</v>
      </c>
      <c r="K253" s="65">
        <f>+'COMUNAS - HOME DELIVERY 2026'!K253*1.1</f>
        <v>15183.867600000001</v>
      </c>
      <c r="L253" s="65">
        <f>+'COMUNAS - HOME DELIVERY 2026'!L253*1.1</f>
        <v>17234.038800000002</v>
      </c>
      <c r="M253" s="66">
        <f>+'COMUNAS - HOME DELIVERY 2026'!M253*1.1</f>
        <v>939.94560000000001</v>
      </c>
      <c r="N253" s="67">
        <f>+'COMUNAS - HOME DELIVERY 2026'!N253*1.1</f>
        <v>767.96280000000013</v>
      </c>
      <c r="O253" s="60"/>
      <c r="P253" s="2"/>
      <c r="Q253" s="2"/>
      <c r="R253" s="2"/>
      <c r="S253" s="2"/>
      <c r="T253" s="2"/>
      <c r="U253" s="2"/>
      <c r="V253" s="2"/>
      <c r="W253" s="2"/>
      <c r="X253" s="2"/>
      <c r="Y253" s="38"/>
    </row>
    <row r="254" spans="2:25" ht="15.75" customHeight="1" x14ac:dyDescent="0.3">
      <c r="B254" s="2"/>
      <c r="C254" s="61" t="s">
        <v>531</v>
      </c>
      <c r="D254" s="62" t="s">
        <v>567</v>
      </c>
      <c r="E254" s="63" t="s">
        <v>568</v>
      </c>
      <c r="F254" s="64">
        <f>+'COMUNAS - HOME DELIVERY 2026'!F254*1.1</f>
        <v>5226.4608000000007</v>
      </c>
      <c r="G254" s="65">
        <f>+'COMUNAS - HOME DELIVERY 2026'!G254*1.1</f>
        <v>5493.2328000000007</v>
      </c>
      <c r="H254" s="65">
        <f>+'COMUNAS - HOME DELIVERY 2026'!H254*1.1</f>
        <v>6119.8631999999998</v>
      </c>
      <c r="I254" s="65">
        <f>+'COMUNAS - HOME DELIVERY 2026'!I254*1.1</f>
        <v>6934.9368000000013</v>
      </c>
      <c r="J254" s="65">
        <f>+'COMUNAS - HOME DELIVERY 2026'!J254*1.1</f>
        <v>8585.517600000001</v>
      </c>
      <c r="K254" s="65">
        <f>+'COMUNAS - HOME DELIVERY 2026'!K254*1.1</f>
        <v>10122.578400000002</v>
      </c>
      <c r="L254" s="65">
        <f>+'COMUNAS - HOME DELIVERY 2026'!L254*1.1</f>
        <v>11489.359200000001</v>
      </c>
      <c r="M254" s="66">
        <f>+'COMUNAS - HOME DELIVERY 2026'!M254*1.1</f>
        <v>626.63040000000001</v>
      </c>
      <c r="N254" s="67">
        <f>+'COMUNAS - HOME DELIVERY 2026'!N254*1.1</f>
        <v>511.97520000000009</v>
      </c>
      <c r="O254" s="60"/>
      <c r="P254" s="2"/>
      <c r="Q254" s="2"/>
      <c r="R254" s="2"/>
      <c r="S254" s="2"/>
      <c r="T254" s="2"/>
      <c r="U254" s="2"/>
      <c r="V254" s="2"/>
      <c r="W254" s="2"/>
      <c r="X254" s="2"/>
      <c r="Y254" s="38"/>
    </row>
    <row r="255" spans="2:25" ht="15.75" customHeight="1" x14ac:dyDescent="0.3">
      <c r="B255" s="2"/>
      <c r="C255" s="61" t="s">
        <v>531</v>
      </c>
      <c r="D255" s="62" t="s">
        <v>569</v>
      </c>
      <c r="E255" s="63" t="s">
        <v>570</v>
      </c>
      <c r="F255" s="64">
        <f>+'COMUNAS - HOME DELIVERY 2026'!F255*1.1</f>
        <v>5226.4608000000007</v>
      </c>
      <c r="G255" s="65">
        <f>+'COMUNAS - HOME DELIVERY 2026'!G255*1.1</f>
        <v>5493.2328000000007</v>
      </c>
      <c r="H255" s="65">
        <f>+'COMUNAS - HOME DELIVERY 2026'!H255*1.1</f>
        <v>6119.8631999999998</v>
      </c>
      <c r="I255" s="65">
        <f>+'COMUNAS - HOME DELIVERY 2026'!I255*1.1</f>
        <v>6934.9368000000013</v>
      </c>
      <c r="J255" s="65">
        <f>+'COMUNAS - HOME DELIVERY 2026'!J255*1.1</f>
        <v>8585.517600000001</v>
      </c>
      <c r="K255" s="65">
        <f>+'COMUNAS - HOME DELIVERY 2026'!K255*1.1</f>
        <v>10122.578400000002</v>
      </c>
      <c r="L255" s="65">
        <f>+'COMUNAS - HOME DELIVERY 2026'!L255*1.1</f>
        <v>11489.359200000001</v>
      </c>
      <c r="M255" s="66">
        <f>+'COMUNAS - HOME DELIVERY 2026'!M255*1.1</f>
        <v>626.63040000000001</v>
      </c>
      <c r="N255" s="67">
        <f>+'COMUNAS - HOME DELIVERY 2026'!N255*1.1</f>
        <v>511.97520000000009</v>
      </c>
      <c r="O255" s="60"/>
      <c r="P255" s="2"/>
      <c r="Q255" s="2"/>
      <c r="R255" s="2"/>
      <c r="S255" s="2"/>
      <c r="T255" s="2"/>
      <c r="U255" s="2"/>
      <c r="V255" s="2"/>
      <c r="W255" s="2"/>
      <c r="X255" s="2"/>
      <c r="Y255" s="38"/>
    </row>
    <row r="256" spans="2:25" ht="15.75" customHeight="1" x14ac:dyDescent="0.3">
      <c r="B256" s="2"/>
      <c r="C256" s="61" t="s">
        <v>531</v>
      </c>
      <c r="D256" s="62" t="s">
        <v>571</v>
      </c>
      <c r="E256" s="63" t="s">
        <v>572</v>
      </c>
      <c r="F256" s="64">
        <f>+'COMUNAS - HOME DELIVERY 2026'!F256*1.1</f>
        <v>5226.4608000000007</v>
      </c>
      <c r="G256" s="65">
        <f>+'COMUNAS - HOME DELIVERY 2026'!G256*1.1</f>
        <v>5493.2328000000007</v>
      </c>
      <c r="H256" s="65">
        <f>+'COMUNAS - HOME DELIVERY 2026'!H256*1.1</f>
        <v>6119.8631999999998</v>
      </c>
      <c r="I256" s="65">
        <f>+'COMUNAS - HOME DELIVERY 2026'!I256*1.1</f>
        <v>6934.9368000000013</v>
      </c>
      <c r="J256" s="65">
        <f>+'COMUNAS - HOME DELIVERY 2026'!J256*1.1</f>
        <v>8585.517600000001</v>
      </c>
      <c r="K256" s="65">
        <f>+'COMUNAS - HOME DELIVERY 2026'!K256*1.1</f>
        <v>10122.578400000002</v>
      </c>
      <c r="L256" s="65">
        <f>+'COMUNAS - HOME DELIVERY 2026'!L256*1.1</f>
        <v>11489.359200000001</v>
      </c>
      <c r="M256" s="66">
        <f>+'COMUNAS - HOME DELIVERY 2026'!M256*1.1</f>
        <v>626.63040000000001</v>
      </c>
      <c r="N256" s="67">
        <f>+'COMUNAS - HOME DELIVERY 2026'!N256*1.1</f>
        <v>511.97520000000009</v>
      </c>
      <c r="O256" s="60"/>
      <c r="P256" s="2"/>
      <c r="Q256" s="2"/>
      <c r="R256" s="2"/>
      <c r="S256" s="2"/>
      <c r="T256" s="2"/>
      <c r="U256" s="2"/>
      <c r="V256" s="2"/>
      <c r="W256" s="2"/>
      <c r="X256" s="2"/>
      <c r="Y256" s="38"/>
    </row>
    <row r="257" spans="2:25" ht="15.75" customHeight="1" x14ac:dyDescent="0.3">
      <c r="B257" s="2"/>
      <c r="C257" s="61" t="s">
        <v>531</v>
      </c>
      <c r="D257" s="62" t="s">
        <v>573</v>
      </c>
      <c r="E257" s="63" t="s">
        <v>574</v>
      </c>
      <c r="F257" s="64">
        <f>+'COMUNAS - HOME DELIVERY 2026'!F257*1.1</f>
        <v>5226.4608000000007</v>
      </c>
      <c r="G257" s="65">
        <f>+'COMUNAS - HOME DELIVERY 2026'!G257*1.1</f>
        <v>5493.2328000000007</v>
      </c>
      <c r="H257" s="65">
        <f>+'COMUNAS - HOME DELIVERY 2026'!H257*1.1</f>
        <v>6119.8631999999998</v>
      </c>
      <c r="I257" s="65">
        <f>+'COMUNAS - HOME DELIVERY 2026'!I257*1.1</f>
        <v>6934.9368000000013</v>
      </c>
      <c r="J257" s="65">
        <f>+'COMUNAS - HOME DELIVERY 2026'!J257*1.1</f>
        <v>8585.517600000001</v>
      </c>
      <c r="K257" s="65">
        <f>+'COMUNAS - HOME DELIVERY 2026'!K257*1.1</f>
        <v>10122.578400000002</v>
      </c>
      <c r="L257" s="65">
        <f>+'COMUNAS - HOME DELIVERY 2026'!L257*1.1</f>
        <v>11489.359200000001</v>
      </c>
      <c r="M257" s="66">
        <f>+'COMUNAS - HOME DELIVERY 2026'!M257*1.1</f>
        <v>626.63040000000001</v>
      </c>
      <c r="N257" s="67">
        <f>+'COMUNAS - HOME DELIVERY 2026'!N257*1.1</f>
        <v>511.97520000000009</v>
      </c>
      <c r="O257" s="60"/>
      <c r="P257" s="2"/>
      <c r="Q257" s="2"/>
      <c r="R257" s="2"/>
      <c r="S257" s="2"/>
      <c r="T257" s="2"/>
      <c r="U257" s="2"/>
      <c r="V257" s="2"/>
      <c r="W257" s="2"/>
      <c r="X257" s="2"/>
      <c r="Y257" s="38"/>
    </row>
    <row r="258" spans="2:25" ht="15.75" customHeight="1" x14ac:dyDescent="0.3">
      <c r="B258" s="2"/>
      <c r="C258" s="61" t="s">
        <v>531</v>
      </c>
      <c r="D258" s="62" t="s">
        <v>575</v>
      </c>
      <c r="E258" s="63" t="s">
        <v>576</v>
      </c>
      <c r="F258" s="64">
        <f>+'COMUNAS - HOME DELIVERY 2026'!F258*1.1</f>
        <v>5226.4608000000007</v>
      </c>
      <c r="G258" s="65">
        <f>+'COMUNAS - HOME DELIVERY 2026'!G258*1.1</f>
        <v>5493.2328000000007</v>
      </c>
      <c r="H258" s="65">
        <f>+'COMUNAS - HOME DELIVERY 2026'!H258*1.1</f>
        <v>6119.8631999999998</v>
      </c>
      <c r="I258" s="65">
        <f>+'COMUNAS - HOME DELIVERY 2026'!I258*1.1</f>
        <v>6934.9368000000013</v>
      </c>
      <c r="J258" s="65">
        <f>+'COMUNAS - HOME DELIVERY 2026'!J258*1.1</f>
        <v>8585.517600000001</v>
      </c>
      <c r="K258" s="65">
        <f>+'COMUNAS - HOME DELIVERY 2026'!K258*1.1</f>
        <v>10122.578400000002</v>
      </c>
      <c r="L258" s="65">
        <f>+'COMUNAS - HOME DELIVERY 2026'!L258*1.1</f>
        <v>11489.359200000001</v>
      </c>
      <c r="M258" s="66">
        <f>+'COMUNAS - HOME DELIVERY 2026'!M258*1.1</f>
        <v>626.63040000000001</v>
      </c>
      <c r="N258" s="67">
        <f>+'COMUNAS - HOME DELIVERY 2026'!N258*1.1</f>
        <v>511.97520000000009</v>
      </c>
      <c r="O258" s="60"/>
      <c r="P258" s="3"/>
      <c r="Q258" s="3"/>
      <c r="R258" s="2"/>
      <c r="S258" s="2"/>
      <c r="T258" s="2"/>
      <c r="U258" s="2"/>
      <c r="V258" s="2"/>
      <c r="W258" s="2"/>
      <c r="X258" s="2"/>
      <c r="Y258" s="38"/>
    </row>
    <row r="259" spans="2:25" ht="15.75" customHeight="1" x14ac:dyDescent="0.3">
      <c r="B259" s="2"/>
      <c r="C259" s="61" t="s">
        <v>531</v>
      </c>
      <c r="D259" s="62" t="s">
        <v>577</v>
      </c>
      <c r="E259" s="63" t="s">
        <v>578</v>
      </c>
      <c r="F259" s="64">
        <f>+'COMUNAS - HOME DELIVERY 2026'!F259*1.1</f>
        <v>5226.4608000000007</v>
      </c>
      <c r="G259" s="65">
        <f>+'COMUNAS - HOME DELIVERY 2026'!G259*1.1</f>
        <v>5493.2328000000007</v>
      </c>
      <c r="H259" s="65">
        <f>+'COMUNAS - HOME DELIVERY 2026'!H259*1.1</f>
        <v>6119.8631999999998</v>
      </c>
      <c r="I259" s="65">
        <f>+'COMUNAS - HOME DELIVERY 2026'!I259*1.1</f>
        <v>6934.9368000000013</v>
      </c>
      <c r="J259" s="65">
        <f>+'COMUNAS - HOME DELIVERY 2026'!J259*1.1</f>
        <v>8585.517600000001</v>
      </c>
      <c r="K259" s="65">
        <f>+'COMUNAS - HOME DELIVERY 2026'!K259*1.1</f>
        <v>10122.578400000002</v>
      </c>
      <c r="L259" s="65">
        <f>+'COMUNAS - HOME DELIVERY 2026'!L259*1.1</f>
        <v>11489.359200000001</v>
      </c>
      <c r="M259" s="66">
        <f>+'COMUNAS - HOME DELIVERY 2026'!M259*1.1</f>
        <v>626.63040000000001</v>
      </c>
      <c r="N259" s="67">
        <f>+'COMUNAS - HOME DELIVERY 2026'!N259*1.1</f>
        <v>511.97520000000009</v>
      </c>
      <c r="O259" s="60"/>
      <c r="P259" s="2"/>
      <c r="Q259" s="2"/>
      <c r="R259" s="2"/>
      <c r="S259" s="2"/>
      <c r="T259" s="2"/>
      <c r="U259" s="2"/>
      <c r="V259" s="2"/>
      <c r="W259" s="2"/>
      <c r="X259" s="2"/>
      <c r="Y259" s="38"/>
    </row>
    <row r="260" spans="2:25" ht="15.75" customHeight="1" x14ac:dyDescent="0.3">
      <c r="B260" s="2"/>
      <c r="C260" s="61" t="s">
        <v>531</v>
      </c>
      <c r="D260" s="62" t="s">
        <v>579</v>
      </c>
      <c r="E260" s="63" t="s">
        <v>580</v>
      </c>
      <c r="F260" s="64">
        <f>+'COMUNAS - HOME DELIVERY 2026'!F260*1.1</f>
        <v>7839.6912000000011</v>
      </c>
      <c r="G260" s="65">
        <f>+'COMUNAS - HOME DELIVERY 2026'!G260*1.1</f>
        <v>8239.8492000000006</v>
      </c>
      <c r="H260" s="65">
        <f>+'COMUNAS - HOME DELIVERY 2026'!H260*1.1</f>
        <v>9179.7948000000015</v>
      </c>
      <c r="I260" s="65">
        <f>+'COMUNAS - HOME DELIVERY 2026'!I260*1.1</f>
        <v>10402.405200000001</v>
      </c>
      <c r="J260" s="65">
        <f>+'COMUNAS - HOME DELIVERY 2026'!J260*1.1</f>
        <v>12878.276400000001</v>
      </c>
      <c r="K260" s="65">
        <f>+'COMUNAS - HOME DELIVERY 2026'!K260*1.1</f>
        <v>15183.867600000001</v>
      </c>
      <c r="L260" s="65">
        <f>+'COMUNAS - HOME DELIVERY 2026'!L260*1.1</f>
        <v>17234.038800000002</v>
      </c>
      <c r="M260" s="66">
        <f>+'COMUNAS - HOME DELIVERY 2026'!M260*1.1</f>
        <v>939.94560000000001</v>
      </c>
      <c r="N260" s="67">
        <f>+'COMUNAS - HOME DELIVERY 2026'!N260*1.1</f>
        <v>767.96280000000013</v>
      </c>
      <c r="O260" s="60"/>
      <c r="P260" s="2"/>
      <c r="Q260" s="2"/>
      <c r="R260" s="2"/>
      <c r="S260" s="2"/>
      <c r="T260" s="2"/>
      <c r="U260" s="2"/>
      <c r="V260" s="2"/>
      <c r="W260" s="2"/>
      <c r="X260" s="2"/>
      <c r="Y260" s="38"/>
    </row>
    <row r="261" spans="2:25" ht="15.75" customHeight="1" x14ac:dyDescent="0.3">
      <c r="B261" s="2"/>
      <c r="C261" s="61" t="s">
        <v>531</v>
      </c>
      <c r="D261" s="62" t="s">
        <v>581</v>
      </c>
      <c r="E261" s="63" t="s">
        <v>582</v>
      </c>
      <c r="F261" s="64">
        <f>+'COMUNAS - HOME DELIVERY 2026'!F261*1.1</f>
        <v>5040.2880000000005</v>
      </c>
      <c r="G261" s="65">
        <f>+'COMUNAS - HOME DELIVERY 2026'!G261*1.1</f>
        <v>5384.2536</v>
      </c>
      <c r="H261" s="65">
        <f>+'COMUNAS - HOME DELIVERY 2026'!H261*1.1</f>
        <v>5987.0448000000006</v>
      </c>
      <c r="I261" s="65">
        <f>+'COMUNAS - HOME DELIVERY 2026'!I261*1.1</f>
        <v>6825.9576000000006</v>
      </c>
      <c r="J261" s="65">
        <f>+'COMUNAS - HOME DELIVERY 2026'!J261*1.1</f>
        <v>8308.5288000000019</v>
      </c>
      <c r="K261" s="65">
        <f>+'COMUNAS - HOME DELIVERY 2026'!K261*1.1</f>
        <v>9814.9392000000007</v>
      </c>
      <c r="L261" s="65">
        <f>+'COMUNAS - HOME DELIVERY 2026'!L261*1.1</f>
        <v>11178.314400000003</v>
      </c>
      <c r="M261" s="66">
        <f>+'COMUNAS - HOME DELIVERY 2026'!M261*1.1</f>
        <v>624.36000000000013</v>
      </c>
      <c r="N261" s="67">
        <f>+'COMUNAS - HOME DELIVERY 2026'!N261*1.1</f>
        <v>508.56960000000004</v>
      </c>
      <c r="O261" s="60"/>
      <c r="P261" s="2"/>
      <c r="Q261" s="2"/>
      <c r="R261" s="2"/>
      <c r="S261" s="2"/>
      <c r="T261" s="2"/>
      <c r="U261" s="2"/>
      <c r="V261" s="2"/>
      <c r="W261" s="2"/>
      <c r="X261" s="2"/>
      <c r="Y261" s="38"/>
    </row>
    <row r="262" spans="2:25" ht="15.75" customHeight="1" x14ac:dyDescent="0.3">
      <c r="B262" s="2"/>
      <c r="C262" s="61" t="s">
        <v>531</v>
      </c>
      <c r="D262" s="62" t="s">
        <v>583</v>
      </c>
      <c r="E262" s="63" t="s">
        <v>584</v>
      </c>
      <c r="F262" s="64">
        <f>+'COMUNAS - HOME DELIVERY 2026'!F262*1.1</f>
        <v>5226.4608000000007</v>
      </c>
      <c r="G262" s="65">
        <f>+'COMUNAS - HOME DELIVERY 2026'!G262*1.1</f>
        <v>5493.2328000000007</v>
      </c>
      <c r="H262" s="65">
        <f>+'COMUNAS - HOME DELIVERY 2026'!H262*1.1</f>
        <v>6119.8631999999998</v>
      </c>
      <c r="I262" s="65">
        <f>+'COMUNAS - HOME DELIVERY 2026'!I262*1.1</f>
        <v>6934.9368000000013</v>
      </c>
      <c r="J262" s="65">
        <f>+'COMUNAS - HOME DELIVERY 2026'!J262*1.1</f>
        <v>8585.517600000001</v>
      </c>
      <c r="K262" s="65">
        <f>+'COMUNAS - HOME DELIVERY 2026'!K262*1.1</f>
        <v>10122.578400000002</v>
      </c>
      <c r="L262" s="65">
        <f>+'COMUNAS - HOME DELIVERY 2026'!L262*1.1</f>
        <v>11489.359200000001</v>
      </c>
      <c r="M262" s="66">
        <f>+'COMUNAS - HOME DELIVERY 2026'!M262*1.1</f>
        <v>626.63040000000001</v>
      </c>
      <c r="N262" s="67">
        <f>+'COMUNAS - HOME DELIVERY 2026'!N262*1.1</f>
        <v>511.97520000000009</v>
      </c>
      <c r="O262" s="60"/>
      <c r="P262" s="2"/>
      <c r="Q262" s="2"/>
      <c r="R262" s="2"/>
      <c r="S262" s="2"/>
      <c r="T262" s="2"/>
      <c r="U262" s="2"/>
      <c r="V262" s="2"/>
      <c r="W262" s="2"/>
      <c r="X262" s="2"/>
      <c r="Y262" s="38"/>
    </row>
    <row r="263" spans="2:25" ht="15.75" customHeight="1" x14ac:dyDescent="0.3">
      <c r="B263" s="2"/>
      <c r="C263" s="61" t="s">
        <v>531</v>
      </c>
      <c r="D263" s="62" t="s">
        <v>585</v>
      </c>
      <c r="E263" s="63" t="s">
        <v>586</v>
      </c>
      <c r="F263" s="64">
        <f>+'COMUNAS - HOME DELIVERY 2026'!F263*1.1</f>
        <v>5226.4608000000007</v>
      </c>
      <c r="G263" s="65">
        <f>+'COMUNAS - HOME DELIVERY 2026'!G263*1.1</f>
        <v>5493.2328000000007</v>
      </c>
      <c r="H263" s="65">
        <f>+'COMUNAS - HOME DELIVERY 2026'!H263*1.1</f>
        <v>6119.8631999999998</v>
      </c>
      <c r="I263" s="65">
        <f>+'COMUNAS - HOME DELIVERY 2026'!I263*1.1</f>
        <v>6934.9368000000013</v>
      </c>
      <c r="J263" s="65">
        <f>+'COMUNAS - HOME DELIVERY 2026'!J263*1.1</f>
        <v>8585.517600000001</v>
      </c>
      <c r="K263" s="65">
        <f>+'COMUNAS - HOME DELIVERY 2026'!K263*1.1</f>
        <v>10122.578400000002</v>
      </c>
      <c r="L263" s="65">
        <f>+'COMUNAS - HOME DELIVERY 2026'!L263*1.1</f>
        <v>11489.359200000001</v>
      </c>
      <c r="M263" s="66">
        <f>+'COMUNAS - HOME DELIVERY 2026'!M263*1.1</f>
        <v>626.63040000000001</v>
      </c>
      <c r="N263" s="67">
        <f>+'COMUNAS - HOME DELIVERY 2026'!N263*1.1</f>
        <v>511.97520000000009</v>
      </c>
      <c r="O263" s="60"/>
      <c r="P263" s="2"/>
      <c r="Q263" s="2"/>
      <c r="R263" s="2"/>
      <c r="S263" s="2"/>
      <c r="T263" s="2"/>
      <c r="U263" s="2"/>
      <c r="V263" s="2"/>
      <c r="W263" s="2"/>
      <c r="X263" s="2"/>
      <c r="Y263" s="38"/>
    </row>
    <row r="264" spans="2:25" ht="15.75" customHeight="1" x14ac:dyDescent="0.3">
      <c r="B264" s="2"/>
      <c r="C264" s="61" t="s">
        <v>531</v>
      </c>
      <c r="D264" s="62" t="s">
        <v>587</v>
      </c>
      <c r="E264" s="63" t="s">
        <v>588</v>
      </c>
      <c r="F264" s="64">
        <f>+'COMUNAS - HOME DELIVERY 2026'!F264*1.1</f>
        <v>5226.4608000000007</v>
      </c>
      <c r="G264" s="65">
        <f>+'COMUNAS - HOME DELIVERY 2026'!G264*1.1</f>
        <v>5493.2328000000007</v>
      </c>
      <c r="H264" s="65">
        <f>+'COMUNAS - HOME DELIVERY 2026'!H264*1.1</f>
        <v>6119.8631999999998</v>
      </c>
      <c r="I264" s="65">
        <f>+'COMUNAS - HOME DELIVERY 2026'!I264*1.1</f>
        <v>6934.9368000000013</v>
      </c>
      <c r="J264" s="65">
        <f>+'COMUNAS - HOME DELIVERY 2026'!J264*1.1</f>
        <v>8585.517600000001</v>
      </c>
      <c r="K264" s="65">
        <f>+'COMUNAS - HOME DELIVERY 2026'!K264*1.1</f>
        <v>10122.578400000002</v>
      </c>
      <c r="L264" s="65">
        <f>+'COMUNAS - HOME DELIVERY 2026'!L264*1.1</f>
        <v>11489.359200000001</v>
      </c>
      <c r="M264" s="66">
        <f>+'COMUNAS - HOME DELIVERY 2026'!M264*1.1</f>
        <v>626.63040000000001</v>
      </c>
      <c r="N264" s="67">
        <f>+'COMUNAS - HOME DELIVERY 2026'!N264*1.1</f>
        <v>511.97520000000009</v>
      </c>
      <c r="O264" s="60"/>
      <c r="P264" s="2"/>
      <c r="Q264" s="2"/>
      <c r="R264" s="2"/>
      <c r="S264" s="2"/>
      <c r="T264" s="2"/>
      <c r="U264" s="2"/>
      <c r="V264" s="2"/>
      <c r="W264" s="2"/>
      <c r="X264" s="2"/>
      <c r="Y264" s="38"/>
    </row>
    <row r="265" spans="2:25" ht="15.75" customHeight="1" x14ac:dyDescent="0.3">
      <c r="B265" s="2"/>
      <c r="C265" s="61" t="s">
        <v>531</v>
      </c>
      <c r="D265" s="62" t="s">
        <v>589</v>
      </c>
      <c r="E265" s="63" t="s">
        <v>590</v>
      </c>
      <c r="F265" s="64">
        <f>+'COMUNAS - HOME DELIVERY 2026'!F265*1.1</f>
        <v>7839.6912000000011</v>
      </c>
      <c r="G265" s="65">
        <f>+'COMUNAS - HOME DELIVERY 2026'!G265*1.1</f>
        <v>8239.8492000000006</v>
      </c>
      <c r="H265" s="65">
        <f>+'COMUNAS - HOME DELIVERY 2026'!H265*1.1</f>
        <v>9179.7948000000015</v>
      </c>
      <c r="I265" s="65">
        <f>+'COMUNAS - HOME DELIVERY 2026'!I265*1.1</f>
        <v>10402.405200000001</v>
      </c>
      <c r="J265" s="65">
        <f>+'COMUNAS - HOME DELIVERY 2026'!J265*1.1</f>
        <v>12878.276400000001</v>
      </c>
      <c r="K265" s="65">
        <f>+'COMUNAS - HOME DELIVERY 2026'!K265*1.1</f>
        <v>15183.867600000001</v>
      </c>
      <c r="L265" s="65">
        <f>+'COMUNAS - HOME DELIVERY 2026'!L265*1.1</f>
        <v>17234.038800000002</v>
      </c>
      <c r="M265" s="66">
        <f>+'COMUNAS - HOME DELIVERY 2026'!M265*1.1</f>
        <v>939.94560000000001</v>
      </c>
      <c r="N265" s="67">
        <f>+'COMUNAS - HOME DELIVERY 2026'!N265*1.1</f>
        <v>767.96280000000013</v>
      </c>
      <c r="O265" s="60"/>
      <c r="P265" s="2"/>
      <c r="Q265" s="2"/>
      <c r="R265" s="2"/>
      <c r="S265" s="2"/>
      <c r="T265" s="2"/>
      <c r="U265" s="2"/>
      <c r="V265" s="2"/>
      <c r="W265" s="2"/>
      <c r="X265" s="2"/>
      <c r="Y265" s="38"/>
    </row>
    <row r="266" spans="2:25" ht="15.75" customHeight="1" x14ac:dyDescent="0.3">
      <c r="B266" s="2"/>
      <c r="C266" s="61" t="s">
        <v>531</v>
      </c>
      <c r="D266" s="62" t="s">
        <v>591</v>
      </c>
      <c r="E266" s="63" t="s">
        <v>592</v>
      </c>
      <c r="F266" s="64">
        <f>+'COMUNAS - HOME DELIVERY 2026'!F266*1.1</f>
        <v>5226.4608000000007</v>
      </c>
      <c r="G266" s="65">
        <f>+'COMUNAS - HOME DELIVERY 2026'!G266*1.1</f>
        <v>5493.2328000000007</v>
      </c>
      <c r="H266" s="65">
        <f>+'COMUNAS - HOME DELIVERY 2026'!H266*1.1</f>
        <v>6119.8631999999998</v>
      </c>
      <c r="I266" s="65">
        <f>+'COMUNAS - HOME DELIVERY 2026'!I266*1.1</f>
        <v>6934.9368000000013</v>
      </c>
      <c r="J266" s="65">
        <f>+'COMUNAS - HOME DELIVERY 2026'!J266*1.1</f>
        <v>8585.517600000001</v>
      </c>
      <c r="K266" s="65">
        <f>+'COMUNAS - HOME DELIVERY 2026'!K266*1.1</f>
        <v>10122.578400000002</v>
      </c>
      <c r="L266" s="65">
        <f>+'COMUNAS - HOME DELIVERY 2026'!L266*1.1</f>
        <v>11489.359200000001</v>
      </c>
      <c r="M266" s="66">
        <f>+'COMUNAS - HOME DELIVERY 2026'!M266*1.1</f>
        <v>626.63040000000001</v>
      </c>
      <c r="N266" s="67">
        <f>+'COMUNAS - HOME DELIVERY 2026'!N266*1.1</f>
        <v>511.97520000000009</v>
      </c>
      <c r="O266" s="60"/>
      <c r="P266" s="2"/>
      <c r="Q266" s="2"/>
      <c r="R266" s="2"/>
      <c r="S266" s="2"/>
      <c r="T266" s="2"/>
      <c r="U266" s="2"/>
      <c r="V266" s="2"/>
      <c r="W266" s="2"/>
      <c r="X266" s="2"/>
      <c r="Y266" s="38"/>
    </row>
    <row r="267" spans="2:25" ht="15.75" customHeight="1" x14ac:dyDescent="0.3">
      <c r="B267" s="2"/>
      <c r="C267" s="61" t="s">
        <v>531</v>
      </c>
      <c r="D267" s="62" t="s">
        <v>593</v>
      </c>
      <c r="E267" s="63" t="s">
        <v>594</v>
      </c>
      <c r="F267" s="64">
        <f>+'COMUNAS - HOME DELIVERY 2026'!F267*1.1</f>
        <v>5226.4608000000007</v>
      </c>
      <c r="G267" s="65">
        <f>+'COMUNAS - HOME DELIVERY 2026'!G267*1.1</f>
        <v>5493.2328000000007</v>
      </c>
      <c r="H267" s="65">
        <f>+'COMUNAS - HOME DELIVERY 2026'!H267*1.1</f>
        <v>6119.8631999999998</v>
      </c>
      <c r="I267" s="65">
        <f>+'COMUNAS - HOME DELIVERY 2026'!I267*1.1</f>
        <v>6934.9368000000013</v>
      </c>
      <c r="J267" s="65">
        <f>+'COMUNAS - HOME DELIVERY 2026'!J267*1.1</f>
        <v>8585.517600000001</v>
      </c>
      <c r="K267" s="65">
        <f>+'COMUNAS - HOME DELIVERY 2026'!K267*1.1</f>
        <v>10122.578400000002</v>
      </c>
      <c r="L267" s="65">
        <f>+'COMUNAS - HOME DELIVERY 2026'!L267*1.1</f>
        <v>11489.359200000001</v>
      </c>
      <c r="M267" s="66">
        <f>+'COMUNAS - HOME DELIVERY 2026'!M267*1.1</f>
        <v>626.63040000000001</v>
      </c>
      <c r="N267" s="67">
        <f>+'COMUNAS - HOME DELIVERY 2026'!N267*1.1</f>
        <v>511.97520000000009</v>
      </c>
      <c r="O267" s="60"/>
      <c r="P267" s="2"/>
      <c r="Q267" s="2"/>
      <c r="R267" s="2"/>
      <c r="S267" s="2"/>
      <c r="T267" s="2"/>
      <c r="U267" s="2"/>
      <c r="V267" s="2"/>
      <c r="W267" s="2"/>
      <c r="X267" s="2"/>
      <c r="Y267" s="38"/>
    </row>
    <row r="268" spans="2:25" ht="15.75" customHeight="1" thickBot="1" x14ac:dyDescent="0.35">
      <c r="B268" s="2"/>
      <c r="C268" s="80" t="s">
        <v>531</v>
      </c>
      <c r="D268" s="81" t="s">
        <v>595</v>
      </c>
      <c r="E268" s="82" t="s">
        <v>596</v>
      </c>
      <c r="F268" s="64">
        <f>+'COMUNAS - HOME DELIVERY 2026'!F268*1.1</f>
        <v>5226.4608000000007</v>
      </c>
      <c r="G268" s="65">
        <f>+'COMUNAS - HOME DELIVERY 2026'!G268*1.1</f>
        <v>5493.2328000000007</v>
      </c>
      <c r="H268" s="65">
        <f>+'COMUNAS - HOME DELIVERY 2026'!H268*1.1</f>
        <v>6119.8631999999998</v>
      </c>
      <c r="I268" s="65">
        <f>+'COMUNAS - HOME DELIVERY 2026'!I268*1.1</f>
        <v>6934.9368000000013</v>
      </c>
      <c r="J268" s="65">
        <f>+'COMUNAS - HOME DELIVERY 2026'!J268*1.1</f>
        <v>8585.517600000001</v>
      </c>
      <c r="K268" s="65">
        <f>+'COMUNAS - HOME DELIVERY 2026'!K268*1.1</f>
        <v>10122.578400000002</v>
      </c>
      <c r="L268" s="65">
        <f>+'COMUNAS - HOME DELIVERY 2026'!L268*1.1</f>
        <v>11489.359200000001</v>
      </c>
      <c r="M268" s="66">
        <f>+'COMUNAS - HOME DELIVERY 2026'!M268*1.1</f>
        <v>626.63040000000001</v>
      </c>
      <c r="N268" s="67">
        <f>+'COMUNAS - HOME DELIVERY 2026'!N268*1.1</f>
        <v>511.97520000000009</v>
      </c>
      <c r="O268" s="60"/>
      <c r="P268" s="2"/>
      <c r="Q268" s="2"/>
      <c r="R268" s="2"/>
      <c r="S268" s="2"/>
      <c r="T268" s="2"/>
      <c r="U268" s="2"/>
      <c r="V268" s="2"/>
      <c r="W268" s="2"/>
      <c r="X268" s="2"/>
      <c r="Y268" s="38"/>
    </row>
    <row r="269" spans="2:25" ht="15.75" customHeight="1" x14ac:dyDescent="0.3">
      <c r="B269" s="2"/>
      <c r="C269" s="53" t="s">
        <v>597</v>
      </c>
      <c r="D269" s="54" t="s">
        <v>598</v>
      </c>
      <c r="E269" s="55" t="s">
        <v>48</v>
      </c>
      <c r="F269" s="56">
        <f>+'COMUNAS - HOME DELIVERY 2026'!F269*1.1</f>
        <v>5626.0512000000008</v>
      </c>
      <c r="G269" s="57">
        <f>+'COMUNAS - HOME DELIVERY 2026'!G269*1.1</f>
        <v>6006.3432000000003</v>
      </c>
      <c r="H269" s="57">
        <f>+'COMUNAS - HOME DELIVERY 2026'!H269*1.1</f>
        <v>6655.6776000000009</v>
      </c>
      <c r="I269" s="57">
        <f>+'COMUNAS - HOME DELIVERY 2026'!I269*1.1</f>
        <v>7366.3128000000006</v>
      </c>
      <c r="J269" s="57">
        <f>+'COMUNAS - HOME DELIVERY 2026'!J269*1.1</f>
        <v>9368.8055999999997</v>
      </c>
      <c r="K269" s="57">
        <f>+'COMUNAS - HOME DELIVERY 2026'!K269*1.1</f>
        <v>10691.313600000001</v>
      </c>
      <c r="L269" s="57">
        <f>+'COMUNAS - HOME DELIVERY 2026'!L269*1.1</f>
        <v>12079.663200000001</v>
      </c>
      <c r="M269" s="58">
        <f>+'COMUNAS - HOME DELIVERY 2026'!M269*1.1</f>
        <v>635.7120000000001</v>
      </c>
      <c r="N269" s="59">
        <f>+'COMUNAS - HOME DELIVERY 2026'!N269*1.1</f>
        <v>529.00320000000011</v>
      </c>
      <c r="O269" s="60"/>
      <c r="P269" s="2"/>
      <c r="Q269" s="2"/>
      <c r="R269" s="2"/>
      <c r="S269" s="2"/>
      <c r="T269" s="2"/>
      <c r="U269" s="2"/>
      <c r="V269" s="2"/>
      <c r="W269" s="2"/>
      <c r="X269" s="2"/>
      <c r="Y269" s="38"/>
    </row>
    <row r="270" spans="2:25" ht="15.75" customHeight="1" x14ac:dyDescent="0.3">
      <c r="B270" s="2"/>
      <c r="C270" s="61" t="s">
        <v>597</v>
      </c>
      <c r="D270" s="62" t="s">
        <v>599</v>
      </c>
      <c r="E270" s="63" t="s">
        <v>600</v>
      </c>
      <c r="F270" s="64">
        <f>+'COMUNAS - HOME DELIVERY 2026'!F270*1.1</f>
        <v>8439.0768000000007</v>
      </c>
      <c r="G270" s="65">
        <f>+'COMUNAS - HOME DELIVERY 2026'!G270*1.1</f>
        <v>9009.5148000000008</v>
      </c>
      <c r="H270" s="65">
        <f>+'COMUNAS - HOME DELIVERY 2026'!H270*1.1</f>
        <v>9983.5164000000022</v>
      </c>
      <c r="I270" s="65">
        <f>+'COMUNAS - HOME DELIVERY 2026'!I270*1.1</f>
        <v>11049.469200000001</v>
      </c>
      <c r="J270" s="65">
        <f>+'COMUNAS - HOME DELIVERY 2026'!J270*1.1</f>
        <v>14053.208400000001</v>
      </c>
      <c r="K270" s="65">
        <f>+'COMUNAS - HOME DELIVERY 2026'!K270*1.1</f>
        <v>16036.970400000002</v>
      </c>
      <c r="L270" s="65">
        <f>+'COMUNAS - HOME DELIVERY 2026'!L270*1.1</f>
        <v>18119.4948</v>
      </c>
      <c r="M270" s="66">
        <f>+'COMUNAS - HOME DELIVERY 2026'!M270*1.1</f>
        <v>953.5680000000001</v>
      </c>
      <c r="N270" s="67">
        <f>+'COMUNAS - HOME DELIVERY 2026'!N270*1.1</f>
        <v>793.50480000000016</v>
      </c>
      <c r="O270" s="60"/>
      <c r="P270" s="2"/>
      <c r="Q270" s="2"/>
      <c r="R270" s="2"/>
      <c r="S270" s="2"/>
      <c r="T270" s="2"/>
      <c r="U270" s="2"/>
      <c r="V270" s="2"/>
      <c r="W270" s="2"/>
      <c r="X270" s="2"/>
      <c r="Y270" s="38"/>
    </row>
    <row r="271" spans="2:25" ht="15.75" customHeight="1" x14ac:dyDescent="0.3">
      <c r="B271" s="2"/>
      <c r="C271" s="61" t="s">
        <v>597</v>
      </c>
      <c r="D271" s="62" t="s">
        <v>601</v>
      </c>
      <c r="E271" s="63" t="s">
        <v>602</v>
      </c>
      <c r="F271" s="64">
        <f>+'COMUNAS - HOME DELIVERY 2026'!F271*1.1</f>
        <v>8439.0768000000007</v>
      </c>
      <c r="G271" s="65">
        <f>+'COMUNAS - HOME DELIVERY 2026'!G271*1.1</f>
        <v>9009.5148000000008</v>
      </c>
      <c r="H271" s="65">
        <f>+'COMUNAS - HOME DELIVERY 2026'!H271*1.1</f>
        <v>9983.5164000000022</v>
      </c>
      <c r="I271" s="65">
        <f>+'COMUNAS - HOME DELIVERY 2026'!I271*1.1</f>
        <v>11049.469200000001</v>
      </c>
      <c r="J271" s="65">
        <f>+'COMUNAS - HOME DELIVERY 2026'!J271*1.1</f>
        <v>14053.208400000001</v>
      </c>
      <c r="K271" s="65">
        <f>+'COMUNAS - HOME DELIVERY 2026'!K271*1.1</f>
        <v>16036.970400000002</v>
      </c>
      <c r="L271" s="65">
        <f>+'COMUNAS - HOME DELIVERY 2026'!L271*1.1</f>
        <v>18119.4948</v>
      </c>
      <c r="M271" s="66">
        <f>+'COMUNAS - HOME DELIVERY 2026'!M271*1.1</f>
        <v>953.5680000000001</v>
      </c>
      <c r="N271" s="67">
        <f>+'COMUNAS - HOME DELIVERY 2026'!N271*1.1</f>
        <v>793.50480000000016</v>
      </c>
      <c r="O271" s="60"/>
      <c r="P271" s="2"/>
      <c r="Q271" s="2"/>
      <c r="R271" s="2"/>
      <c r="S271" s="2"/>
      <c r="T271" s="2"/>
      <c r="U271" s="2"/>
      <c r="V271" s="2"/>
      <c r="W271" s="2"/>
      <c r="X271" s="2"/>
      <c r="Y271" s="38"/>
    </row>
    <row r="272" spans="2:25" ht="15.75" customHeight="1" x14ac:dyDescent="0.3">
      <c r="B272" s="2"/>
      <c r="C272" s="61" t="s">
        <v>597</v>
      </c>
      <c r="D272" s="62" t="s">
        <v>603</v>
      </c>
      <c r="E272" s="63" t="s">
        <v>604</v>
      </c>
      <c r="F272" s="64">
        <f>+'COMUNAS - HOME DELIVERY 2026'!F272*1.1</f>
        <v>5626.0512000000008</v>
      </c>
      <c r="G272" s="65">
        <f>+'COMUNAS - HOME DELIVERY 2026'!G272*1.1</f>
        <v>6006.3432000000003</v>
      </c>
      <c r="H272" s="65">
        <f>+'COMUNAS - HOME DELIVERY 2026'!H272*1.1</f>
        <v>6655.6776000000009</v>
      </c>
      <c r="I272" s="65">
        <f>+'COMUNAS - HOME DELIVERY 2026'!I272*1.1</f>
        <v>7366.3128000000006</v>
      </c>
      <c r="J272" s="65">
        <f>+'COMUNAS - HOME DELIVERY 2026'!J272*1.1</f>
        <v>9368.8055999999997</v>
      </c>
      <c r="K272" s="65">
        <f>+'COMUNAS - HOME DELIVERY 2026'!K272*1.1</f>
        <v>10691.313600000001</v>
      </c>
      <c r="L272" s="65">
        <f>+'COMUNAS - HOME DELIVERY 2026'!L272*1.1</f>
        <v>12079.663200000001</v>
      </c>
      <c r="M272" s="66">
        <f>+'COMUNAS - HOME DELIVERY 2026'!M272*1.1</f>
        <v>635.7120000000001</v>
      </c>
      <c r="N272" s="67">
        <f>+'COMUNAS - HOME DELIVERY 2026'!N272*1.1</f>
        <v>529.00320000000011</v>
      </c>
      <c r="O272" s="60"/>
      <c r="P272" s="2"/>
      <c r="Q272" s="2"/>
      <c r="R272" s="2"/>
      <c r="S272" s="2"/>
      <c r="T272" s="2"/>
      <c r="U272" s="2"/>
      <c r="V272" s="2"/>
      <c r="W272" s="2"/>
      <c r="X272" s="2"/>
      <c r="Y272" s="38"/>
    </row>
    <row r="273" spans="2:25" ht="15.75" customHeight="1" x14ac:dyDescent="0.3">
      <c r="B273" s="2"/>
      <c r="C273" s="61" t="s">
        <v>597</v>
      </c>
      <c r="D273" s="62" t="s">
        <v>605</v>
      </c>
      <c r="E273" s="63" t="s">
        <v>606</v>
      </c>
      <c r="F273" s="64">
        <f>+'COMUNAS - HOME DELIVERY 2026'!F273*1.1</f>
        <v>8439.0768000000007</v>
      </c>
      <c r="G273" s="65">
        <f>+'COMUNAS - HOME DELIVERY 2026'!G273*1.1</f>
        <v>9009.5148000000008</v>
      </c>
      <c r="H273" s="65">
        <f>+'COMUNAS - HOME DELIVERY 2026'!H273*1.1</f>
        <v>9983.5164000000022</v>
      </c>
      <c r="I273" s="65">
        <f>+'COMUNAS - HOME DELIVERY 2026'!I273*1.1</f>
        <v>11049.469200000001</v>
      </c>
      <c r="J273" s="65">
        <f>+'COMUNAS - HOME DELIVERY 2026'!J273*1.1</f>
        <v>14053.208400000001</v>
      </c>
      <c r="K273" s="65">
        <f>+'COMUNAS - HOME DELIVERY 2026'!K273*1.1</f>
        <v>16036.970400000002</v>
      </c>
      <c r="L273" s="65">
        <f>+'COMUNAS - HOME DELIVERY 2026'!L273*1.1</f>
        <v>18119.4948</v>
      </c>
      <c r="M273" s="66">
        <f>+'COMUNAS - HOME DELIVERY 2026'!M273*1.1</f>
        <v>953.5680000000001</v>
      </c>
      <c r="N273" s="67">
        <f>+'COMUNAS - HOME DELIVERY 2026'!N273*1.1</f>
        <v>793.50480000000016</v>
      </c>
      <c r="O273" s="60"/>
      <c r="P273" s="2"/>
      <c r="Q273" s="2"/>
      <c r="R273" s="2"/>
      <c r="S273" s="2"/>
      <c r="T273" s="2"/>
      <c r="U273" s="2"/>
      <c r="V273" s="2"/>
      <c r="W273" s="2"/>
      <c r="X273" s="2"/>
      <c r="Y273" s="38"/>
    </row>
    <row r="274" spans="2:25" ht="15.75" customHeight="1" x14ac:dyDescent="0.3">
      <c r="B274" s="2"/>
      <c r="C274" s="61" t="s">
        <v>597</v>
      </c>
      <c r="D274" s="62" t="s">
        <v>607</v>
      </c>
      <c r="E274" s="63" t="s">
        <v>608</v>
      </c>
      <c r="F274" s="64">
        <f>+'COMUNAS - HOME DELIVERY 2026'!F274*1.1</f>
        <v>5226.4608000000007</v>
      </c>
      <c r="G274" s="65">
        <f>+'COMUNAS - HOME DELIVERY 2026'!G274*1.1</f>
        <v>5493.2328000000007</v>
      </c>
      <c r="H274" s="65">
        <f>+'COMUNAS - HOME DELIVERY 2026'!H274*1.1</f>
        <v>6119.8631999999998</v>
      </c>
      <c r="I274" s="65">
        <f>+'COMUNAS - HOME DELIVERY 2026'!I274*1.1</f>
        <v>6934.9368000000013</v>
      </c>
      <c r="J274" s="65">
        <f>+'COMUNAS - HOME DELIVERY 2026'!J274*1.1</f>
        <v>8585.517600000001</v>
      </c>
      <c r="K274" s="65">
        <f>+'COMUNAS - HOME DELIVERY 2026'!K274*1.1</f>
        <v>10122.578400000002</v>
      </c>
      <c r="L274" s="65">
        <f>+'COMUNAS - HOME DELIVERY 2026'!L274*1.1</f>
        <v>11489.359200000001</v>
      </c>
      <c r="M274" s="66">
        <f>+'COMUNAS - HOME DELIVERY 2026'!M274*1.1</f>
        <v>626.63040000000001</v>
      </c>
      <c r="N274" s="67">
        <f>+'COMUNAS - HOME DELIVERY 2026'!N274*1.1</f>
        <v>511.97520000000009</v>
      </c>
      <c r="O274" s="60"/>
      <c r="P274" s="2"/>
      <c r="Q274" s="2"/>
      <c r="R274" s="2"/>
      <c r="S274" s="2"/>
      <c r="T274" s="2"/>
      <c r="U274" s="2"/>
      <c r="V274" s="2"/>
      <c r="W274" s="2"/>
      <c r="X274" s="2"/>
      <c r="Y274" s="38"/>
    </row>
    <row r="275" spans="2:25" ht="15.75" customHeight="1" x14ac:dyDescent="0.3">
      <c r="B275" s="2"/>
      <c r="C275" s="61" t="s">
        <v>597</v>
      </c>
      <c r="D275" s="62" t="s">
        <v>609</v>
      </c>
      <c r="E275" s="63" t="s">
        <v>610</v>
      </c>
      <c r="F275" s="64">
        <f>+'COMUNAS - HOME DELIVERY 2026'!F275*1.1</f>
        <v>5626.0512000000008</v>
      </c>
      <c r="G275" s="65">
        <f>+'COMUNAS - HOME DELIVERY 2026'!G275*1.1</f>
        <v>6006.3432000000003</v>
      </c>
      <c r="H275" s="65">
        <f>+'COMUNAS - HOME DELIVERY 2026'!H275*1.1</f>
        <v>6655.6776000000009</v>
      </c>
      <c r="I275" s="65">
        <f>+'COMUNAS - HOME DELIVERY 2026'!I275*1.1</f>
        <v>7366.3128000000006</v>
      </c>
      <c r="J275" s="65">
        <f>+'COMUNAS - HOME DELIVERY 2026'!J275*1.1</f>
        <v>9368.8055999999997</v>
      </c>
      <c r="K275" s="65">
        <f>+'COMUNAS - HOME DELIVERY 2026'!K275*1.1</f>
        <v>10691.313600000001</v>
      </c>
      <c r="L275" s="65">
        <f>+'COMUNAS - HOME DELIVERY 2026'!L275*1.1</f>
        <v>12079.663200000001</v>
      </c>
      <c r="M275" s="66">
        <f>+'COMUNAS - HOME DELIVERY 2026'!M275*1.1</f>
        <v>635.7120000000001</v>
      </c>
      <c r="N275" s="67">
        <f>+'COMUNAS - HOME DELIVERY 2026'!N275*1.1</f>
        <v>529.00320000000011</v>
      </c>
      <c r="O275" s="60"/>
      <c r="P275" s="2"/>
      <c r="Q275" s="2"/>
      <c r="R275" s="2"/>
      <c r="S275" s="2"/>
      <c r="T275" s="2"/>
      <c r="U275" s="2"/>
      <c r="V275" s="2"/>
      <c r="W275" s="2"/>
      <c r="X275" s="2"/>
      <c r="Y275" s="38"/>
    </row>
    <row r="276" spans="2:25" ht="15.75" customHeight="1" x14ac:dyDescent="0.3">
      <c r="B276" s="2"/>
      <c r="C276" s="61" t="s">
        <v>597</v>
      </c>
      <c r="D276" s="62" t="s">
        <v>611</v>
      </c>
      <c r="E276" s="63" t="s">
        <v>612</v>
      </c>
      <c r="F276" s="64">
        <f>+'COMUNAS - HOME DELIVERY 2026'!F276*1.1</f>
        <v>5626.0512000000008</v>
      </c>
      <c r="G276" s="65">
        <f>+'COMUNAS - HOME DELIVERY 2026'!G276*1.1</f>
        <v>6006.3432000000003</v>
      </c>
      <c r="H276" s="65">
        <f>+'COMUNAS - HOME DELIVERY 2026'!H276*1.1</f>
        <v>6655.6776000000009</v>
      </c>
      <c r="I276" s="65">
        <f>+'COMUNAS - HOME DELIVERY 2026'!I276*1.1</f>
        <v>7366.3128000000006</v>
      </c>
      <c r="J276" s="65">
        <f>+'COMUNAS - HOME DELIVERY 2026'!J276*1.1</f>
        <v>9368.8055999999997</v>
      </c>
      <c r="K276" s="65">
        <f>+'COMUNAS - HOME DELIVERY 2026'!K276*1.1</f>
        <v>10691.313600000001</v>
      </c>
      <c r="L276" s="65">
        <f>+'COMUNAS - HOME DELIVERY 2026'!L276*1.1</f>
        <v>12079.663200000001</v>
      </c>
      <c r="M276" s="66">
        <f>+'COMUNAS - HOME DELIVERY 2026'!M276*1.1</f>
        <v>635.7120000000001</v>
      </c>
      <c r="N276" s="67">
        <f>+'COMUNAS - HOME DELIVERY 2026'!N276*1.1</f>
        <v>529.00320000000011</v>
      </c>
      <c r="O276" s="60"/>
      <c r="P276" s="2"/>
      <c r="Q276" s="2"/>
      <c r="R276" s="2"/>
      <c r="S276" s="2"/>
      <c r="T276" s="2"/>
      <c r="U276" s="2"/>
      <c r="V276" s="2"/>
      <c r="W276" s="2"/>
      <c r="X276" s="2"/>
      <c r="Y276" s="38"/>
    </row>
    <row r="277" spans="2:25" ht="15.75" customHeight="1" x14ac:dyDescent="0.3">
      <c r="B277" s="2"/>
      <c r="C277" s="61" t="s">
        <v>597</v>
      </c>
      <c r="D277" s="62" t="s">
        <v>613</v>
      </c>
      <c r="E277" s="63" t="s">
        <v>614</v>
      </c>
      <c r="F277" s="64">
        <f>+'COMUNAS - HOME DELIVERY 2026'!F277*1.1</f>
        <v>5626.0512000000008</v>
      </c>
      <c r="G277" s="65">
        <f>+'COMUNAS - HOME DELIVERY 2026'!G277*1.1</f>
        <v>6006.3432000000003</v>
      </c>
      <c r="H277" s="65">
        <f>+'COMUNAS - HOME DELIVERY 2026'!H277*1.1</f>
        <v>6655.6776000000009</v>
      </c>
      <c r="I277" s="65">
        <f>+'COMUNAS - HOME DELIVERY 2026'!I277*1.1</f>
        <v>7366.3128000000006</v>
      </c>
      <c r="J277" s="65">
        <f>+'COMUNAS - HOME DELIVERY 2026'!J277*1.1</f>
        <v>9368.8055999999997</v>
      </c>
      <c r="K277" s="65">
        <f>+'COMUNAS - HOME DELIVERY 2026'!K277*1.1</f>
        <v>10691.313600000001</v>
      </c>
      <c r="L277" s="65">
        <f>+'COMUNAS - HOME DELIVERY 2026'!L277*1.1</f>
        <v>12079.663200000001</v>
      </c>
      <c r="M277" s="66">
        <f>+'COMUNAS - HOME DELIVERY 2026'!M277*1.1</f>
        <v>635.7120000000001</v>
      </c>
      <c r="N277" s="67">
        <f>+'COMUNAS - HOME DELIVERY 2026'!N277*1.1</f>
        <v>529.00320000000011</v>
      </c>
      <c r="O277" s="60"/>
      <c r="P277" s="2"/>
      <c r="Q277" s="2"/>
      <c r="R277" s="2"/>
      <c r="S277" s="2"/>
      <c r="T277" s="2"/>
      <c r="U277" s="2"/>
      <c r="V277" s="2"/>
      <c r="W277" s="2"/>
      <c r="X277" s="2"/>
      <c r="Y277" s="38"/>
    </row>
    <row r="278" spans="2:25" ht="15.75" customHeight="1" x14ac:dyDescent="0.3">
      <c r="B278" s="2"/>
      <c r="C278" s="61" t="s">
        <v>597</v>
      </c>
      <c r="D278" s="62" t="s">
        <v>615</v>
      </c>
      <c r="E278" s="63" t="s">
        <v>616</v>
      </c>
      <c r="F278" s="64">
        <f>+'COMUNAS - HOME DELIVERY 2026'!F278*1.1</f>
        <v>7839.6912000000011</v>
      </c>
      <c r="G278" s="65">
        <f>+'COMUNAS - HOME DELIVERY 2026'!G278*1.1</f>
        <v>8239.8492000000006</v>
      </c>
      <c r="H278" s="65">
        <f>+'COMUNAS - HOME DELIVERY 2026'!H278*1.1</f>
        <v>9179.7948000000015</v>
      </c>
      <c r="I278" s="65">
        <f>+'COMUNAS - HOME DELIVERY 2026'!I278*1.1</f>
        <v>10402.405200000001</v>
      </c>
      <c r="J278" s="65">
        <f>+'COMUNAS - HOME DELIVERY 2026'!J278*1.1</f>
        <v>12878.276400000001</v>
      </c>
      <c r="K278" s="65">
        <f>+'COMUNAS - HOME DELIVERY 2026'!K278*1.1</f>
        <v>15183.867600000001</v>
      </c>
      <c r="L278" s="65">
        <f>+'COMUNAS - HOME DELIVERY 2026'!L278*1.1</f>
        <v>17234.038800000002</v>
      </c>
      <c r="M278" s="66">
        <f>+'COMUNAS - HOME DELIVERY 2026'!M278*1.1</f>
        <v>939.94560000000001</v>
      </c>
      <c r="N278" s="67">
        <f>+'COMUNAS - HOME DELIVERY 2026'!N278*1.1</f>
        <v>767.96280000000013</v>
      </c>
      <c r="O278" s="60"/>
      <c r="P278" s="2"/>
      <c r="Q278" s="2"/>
      <c r="R278" s="2"/>
      <c r="S278" s="2"/>
      <c r="T278" s="2"/>
      <c r="U278" s="2"/>
      <c r="V278" s="2"/>
      <c r="W278" s="2"/>
      <c r="X278" s="2"/>
      <c r="Y278" s="38"/>
    </row>
    <row r="279" spans="2:25" ht="15.75" customHeight="1" x14ac:dyDescent="0.3">
      <c r="B279" s="2"/>
      <c r="C279" s="61" t="s">
        <v>597</v>
      </c>
      <c r="D279" s="62" t="s">
        <v>617</v>
      </c>
      <c r="E279" s="63" t="s">
        <v>618</v>
      </c>
      <c r="F279" s="64">
        <f>+'COMUNAS - HOME DELIVERY 2026'!F279*1.1</f>
        <v>5626.0512000000008</v>
      </c>
      <c r="G279" s="65">
        <f>+'COMUNAS - HOME DELIVERY 2026'!G279*1.1</f>
        <v>6006.3432000000003</v>
      </c>
      <c r="H279" s="65">
        <f>+'COMUNAS - HOME DELIVERY 2026'!H279*1.1</f>
        <v>6655.6776000000009</v>
      </c>
      <c r="I279" s="65">
        <f>+'COMUNAS - HOME DELIVERY 2026'!I279*1.1</f>
        <v>7366.3128000000006</v>
      </c>
      <c r="J279" s="65">
        <f>+'COMUNAS - HOME DELIVERY 2026'!J279*1.1</f>
        <v>9368.8055999999997</v>
      </c>
      <c r="K279" s="65">
        <f>+'COMUNAS - HOME DELIVERY 2026'!K279*1.1</f>
        <v>10691.313600000001</v>
      </c>
      <c r="L279" s="65">
        <f>+'COMUNAS - HOME DELIVERY 2026'!L279*1.1</f>
        <v>12079.663200000001</v>
      </c>
      <c r="M279" s="66">
        <f>+'COMUNAS - HOME DELIVERY 2026'!M279*1.1</f>
        <v>635.7120000000001</v>
      </c>
      <c r="N279" s="67">
        <f>+'COMUNAS - HOME DELIVERY 2026'!N279*1.1</f>
        <v>529.00320000000011</v>
      </c>
      <c r="O279" s="60"/>
      <c r="P279" s="2"/>
      <c r="Q279" s="2"/>
      <c r="R279" s="2"/>
      <c r="S279" s="2"/>
      <c r="T279" s="2"/>
      <c r="U279" s="2"/>
      <c r="V279" s="2"/>
      <c r="W279" s="2"/>
      <c r="X279" s="2"/>
      <c r="Y279" s="38"/>
    </row>
    <row r="280" spans="2:25" ht="15.75" customHeight="1" thickBot="1" x14ac:dyDescent="0.35">
      <c r="B280" s="2"/>
      <c r="C280" s="68" t="s">
        <v>597</v>
      </c>
      <c r="D280" s="69" t="s">
        <v>619</v>
      </c>
      <c r="E280" s="70" t="s">
        <v>620</v>
      </c>
      <c r="F280" s="71">
        <f>+'COMUNAS - HOME DELIVERY 2026'!F280*1.1</f>
        <v>5626.0512000000008</v>
      </c>
      <c r="G280" s="72">
        <f>+'COMUNAS - HOME DELIVERY 2026'!G280*1.1</f>
        <v>6006.3432000000003</v>
      </c>
      <c r="H280" s="72">
        <f>+'COMUNAS - HOME DELIVERY 2026'!H280*1.1</f>
        <v>6655.6776000000009</v>
      </c>
      <c r="I280" s="72">
        <f>+'COMUNAS - HOME DELIVERY 2026'!I280*1.1</f>
        <v>7366.3128000000006</v>
      </c>
      <c r="J280" s="72">
        <f>+'COMUNAS - HOME DELIVERY 2026'!J280*1.1</f>
        <v>9368.8055999999997</v>
      </c>
      <c r="K280" s="72">
        <f>+'COMUNAS - HOME DELIVERY 2026'!K280*1.1</f>
        <v>10691.313600000001</v>
      </c>
      <c r="L280" s="72">
        <f>+'COMUNAS - HOME DELIVERY 2026'!L280*1.1</f>
        <v>12079.663200000001</v>
      </c>
      <c r="M280" s="73">
        <f>+'COMUNAS - HOME DELIVERY 2026'!M280*1.1</f>
        <v>635.7120000000001</v>
      </c>
      <c r="N280" s="74">
        <f>+'COMUNAS - HOME DELIVERY 2026'!N280*1.1</f>
        <v>529.00320000000011</v>
      </c>
      <c r="O280" s="60"/>
      <c r="P280" s="2"/>
      <c r="Q280" s="2"/>
      <c r="R280" s="2"/>
      <c r="S280" s="2"/>
      <c r="T280" s="2"/>
      <c r="U280" s="2"/>
      <c r="V280" s="2"/>
      <c r="W280" s="2"/>
      <c r="X280" s="2"/>
      <c r="Y280" s="38"/>
    </row>
    <row r="281" spans="2:25" ht="15.75" customHeight="1" x14ac:dyDescent="0.3">
      <c r="B281" s="2"/>
      <c r="C281" s="53" t="s">
        <v>621</v>
      </c>
      <c r="D281" s="54" t="s">
        <v>622</v>
      </c>
      <c r="E281" s="55" t="s">
        <v>49</v>
      </c>
      <c r="F281" s="56">
        <f>+'COMUNAS - HOME DELIVERY 2026'!F281*1.1</f>
        <v>5626.0512000000008</v>
      </c>
      <c r="G281" s="57">
        <f>+'COMUNAS - HOME DELIVERY 2026'!G281*1.1</f>
        <v>6006.3432000000003</v>
      </c>
      <c r="H281" s="57">
        <f>+'COMUNAS - HOME DELIVERY 2026'!H281*1.1</f>
        <v>6655.6776000000009</v>
      </c>
      <c r="I281" s="57">
        <f>+'COMUNAS - HOME DELIVERY 2026'!I281*1.1</f>
        <v>7366.3128000000006</v>
      </c>
      <c r="J281" s="57">
        <f>+'COMUNAS - HOME DELIVERY 2026'!J281*1.1</f>
        <v>9368.8055999999997</v>
      </c>
      <c r="K281" s="57">
        <f>+'COMUNAS - HOME DELIVERY 2026'!K281*1.1</f>
        <v>10691.313600000001</v>
      </c>
      <c r="L281" s="57">
        <f>+'COMUNAS - HOME DELIVERY 2026'!L281*1.1</f>
        <v>12079.663200000001</v>
      </c>
      <c r="M281" s="58">
        <f>+'COMUNAS - HOME DELIVERY 2026'!M281*1.1</f>
        <v>635.7120000000001</v>
      </c>
      <c r="N281" s="59">
        <f>+'COMUNAS - HOME DELIVERY 2026'!N281*1.1</f>
        <v>529.00320000000011</v>
      </c>
      <c r="O281" s="60"/>
      <c r="P281" s="2"/>
      <c r="Q281" s="2"/>
      <c r="R281" s="2"/>
      <c r="S281" s="2"/>
      <c r="T281" s="2"/>
      <c r="U281" s="2"/>
      <c r="V281" s="2"/>
      <c r="W281" s="2"/>
      <c r="X281" s="2"/>
      <c r="Y281" s="38"/>
    </row>
    <row r="282" spans="2:25" ht="15.75" customHeight="1" x14ac:dyDescent="0.3">
      <c r="B282" s="2"/>
      <c r="C282" s="61" t="s">
        <v>621</v>
      </c>
      <c r="D282" s="62" t="s">
        <v>623</v>
      </c>
      <c r="E282" s="63" t="s">
        <v>50</v>
      </c>
      <c r="F282" s="64">
        <f>+'COMUNAS - HOME DELIVERY 2026'!F282*1.1</f>
        <v>5498.9088000000002</v>
      </c>
      <c r="G282" s="65">
        <f>+'COMUNAS - HOME DELIVERY 2026'!G282*1.1</f>
        <v>5868.9840000000013</v>
      </c>
      <c r="H282" s="65">
        <f>+'COMUNAS - HOME DELIVERY 2026'!H282*1.1</f>
        <v>6503.5608000000011</v>
      </c>
      <c r="I282" s="65">
        <f>+'COMUNAS - HOME DELIVERY 2026'!I282*1.1</f>
        <v>7272.0912000000008</v>
      </c>
      <c r="J282" s="65">
        <f>+'COMUNAS - HOME DELIVERY 2026'!J282*1.1</f>
        <v>9125.872800000001</v>
      </c>
      <c r="K282" s="65">
        <f>+'COMUNAS - HOME DELIVERY 2026'!K282*1.1</f>
        <v>10473.3552</v>
      </c>
      <c r="L282" s="65">
        <f>+'COMUNAS - HOME DELIVERY 2026'!L282*1.1</f>
        <v>11867.380800000001</v>
      </c>
      <c r="M282" s="66">
        <f>+'COMUNAS - HOME DELIVERY 2026'!M282*1.1</f>
        <v>637.9824000000001</v>
      </c>
      <c r="N282" s="67">
        <f>+'COMUNAS - HOME DELIVERY 2026'!N282*1.1</f>
        <v>518.78640000000007</v>
      </c>
      <c r="O282" s="60"/>
      <c r="P282" s="146"/>
      <c r="Q282" s="162"/>
      <c r="R282" s="2"/>
      <c r="S282" s="2"/>
      <c r="T282" s="2"/>
      <c r="U282" s="2"/>
      <c r="V282" s="2"/>
      <c r="W282" s="2"/>
      <c r="X282" s="2"/>
      <c r="Y282" s="38"/>
    </row>
    <row r="283" spans="2:25" ht="15.75" customHeight="1" x14ac:dyDescent="0.3">
      <c r="B283" s="2"/>
      <c r="C283" s="61" t="s">
        <v>621</v>
      </c>
      <c r="D283" s="62" t="s">
        <v>624</v>
      </c>
      <c r="E283" s="63" t="s">
        <v>625</v>
      </c>
      <c r="F283" s="64">
        <f>+'COMUNAS - HOME DELIVERY 2026'!F283*1.1</f>
        <v>8248.3632000000016</v>
      </c>
      <c r="G283" s="65">
        <f>+'COMUNAS - HOME DELIVERY 2026'!G283*1.1</f>
        <v>8803.4760000000006</v>
      </c>
      <c r="H283" s="65">
        <f>+'COMUNAS - HOME DELIVERY 2026'!H283*1.1</f>
        <v>9755.3412000000008</v>
      </c>
      <c r="I283" s="65">
        <f>+'COMUNAS - HOME DELIVERY 2026'!I283*1.1</f>
        <v>10908.1368</v>
      </c>
      <c r="J283" s="65">
        <f>+'COMUNAS - HOME DELIVERY 2026'!J283*1.1</f>
        <v>13688.809200000003</v>
      </c>
      <c r="K283" s="65">
        <f>+'COMUNAS - HOME DELIVERY 2026'!K283*1.1</f>
        <v>15710.032800000001</v>
      </c>
      <c r="L283" s="65">
        <f>+'COMUNAS - HOME DELIVERY 2026'!L283*1.1</f>
        <v>17801.071200000002</v>
      </c>
      <c r="M283" s="66">
        <f>+'COMUNAS - HOME DELIVERY 2026'!M283*1.1</f>
        <v>956.97360000000003</v>
      </c>
      <c r="N283" s="67">
        <f>+'COMUNAS - HOME DELIVERY 2026'!N283*1.1</f>
        <v>778.17960000000005</v>
      </c>
      <c r="O283" s="60"/>
      <c r="P283" s="2"/>
      <c r="Q283" s="2"/>
      <c r="R283" s="2"/>
      <c r="S283" s="2"/>
      <c r="T283" s="2"/>
      <c r="U283" s="2"/>
      <c r="V283" s="2"/>
      <c r="W283" s="2"/>
      <c r="X283" s="2"/>
      <c r="Y283" s="38"/>
    </row>
    <row r="284" spans="2:25" ht="15.75" customHeight="1" x14ac:dyDescent="0.3">
      <c r="B284" s="2"/>
      <c r="C284" s="61" t="s">
        <v>621</v>
      </c>
      <c r="D284" s="62" t="s">
        <v>626</v>
      </c>
      <c r="E284" s="63" t="s">
        <v>627</v>
      </c>
      <c r="F284" s="64">
        <f>+'COMUNAS - HOME DELIVERY 2026'!F284*1.1</f>
        <v>8248.3632000000016</v>
      </c>
      <c r="G284" s="65">
        <f>+'COMUNAS - HOME DELIVERY 2026'!G284*1.1</f>
        <v>8803.4760000000006</v>
      </c>
      <c r="H284" s="65">
        <f>+'COMUNAS - HOME DELIVERY 2026'!H284*1.1</f>
        <v>9755.3412000000008</v>
      </c>
      <c r="I284" s="65">
        <f>+'COMUNAS - HOME DELIVERY 2026'!I284*1.1</f>
        <v>10908.1368</v>
      </c>
      <c r="J284" s="65">
        <f>+'COMUNAS - HOME DELIVERY 2026'!J284*1.1</f>
        <v>13688.809200000003</v>
      </c>
      <c r="K284" s="65">
        <f>+'COMUNAS - HOME DELIVERY 2026'!K284*1.1</f>
        <v>15710.032800000001</v>
      </c>
      <c r="L284" s="65">
        <f>+'COMUNAS - HOME DELIVERY 2026'!L284*1.1</f>
        <v>17801.071200000002</v>
      </c>
      <c r="M284" s="66">
        <f>+'COMUNAS - HOME DELIVERY 2026'!M284*1.1</f>
        <v>956.97360000000003</v>
      </c>
      <c r="N284" s="67">
        <f>+'COMUNAS - HOME DELIVERY 2026'!N284*1.1</f>
        <v>778.17960000000005</v>
      </c>
      <c r="O284" s="60"/>
      <c r="P284" s="2"/>
      <c r="Q284" s="2"/>
      <c r="R284" s="2"/>
      <c r="S284" s="2"/>
      <c r="T284" s="2"/>
      <c r="U284" s="2"/>
      <c r="V284" s="2"/>
      <c r="W284" s="2"/>
      <c r="X284" s="2"/>
      <c r="Y284" s="38"/>
    </row>
    <row r="285" spans="2:25" ht="15.75" customHeight="1" x14ac:dyDescent="0.3">
      <c r="B285" s="2"/>
      <c r="C285" s="61" t="s">
        <v>621</v>
      </c>
      <c r="D285" s="62" t="s">
        <v>628</v>
      </c>
      <c r="E285" s="63" t="s">
        <v>629</v>
      </c>
      <c r="F285" s="64">
        <f>+'COMUNAS - HOME DELIVERY 2026'!F285*1.1</f>
        <v>8248.3632000000016</v>
      </c>
      <c r="G285" s="65">
        <f>+'COMUNAS - HOME DELIVERY 2026'!G285*1.1</f>
        <v>8803.4760000000006</v>
      </c>
      <c r="H285" s="65">
        <f>+'COMUNAS - HOME DELIVERY 2026'!H285*1.1</f>
        <v>9755.3412000000008</v>
      </c>
      <c r="I285" s="65">
        <f>+'COMUNAS - HOME DELIVERY 2026'!I285*1.1</f>
        <v>10908.1368</v>
      </c>
      <c r="J285" s="65">
        <f>+'COMUNAS - HOME DELIVERY 2026'!J285*1.1</f>
        <v>13688.809200000003</v>
      </c>
      <c r="K285" s="65">
        <f>+'COMUNAS - HOME DELIVERY 2026'!K285*1.1</f>
        <v>15710.032800000001</v>
      </c>
      <c r="L285" s="65">
        <f>+'COMUNAS - HOME DELIVERY 2026'!L285*1.1</f>
        <v>17801.071200000002</v>
      </c>
      <c r="M285" s="66">
        <f>+'COMUNAS - HOME DELIVERY 2026'!M285*1.1</f>
        <v>956.97360000000003</v>
      </c>
      <c r="N285" s="67">
        <f>+'COMUNAS - HOME DELIVERY 2026'!N285*1.1</f>
        <v>778.17960000000005</v>
      </c>
      <c r="O285" s="60"/>
      <c r="P285" s="2"/>
      <c r="Q285" s="2"/>
      <c r="R285" s="2"/>
      <c r="S285" s="2"/>
      <c r="T285" s="2"/>
      <c r="U285" s="2"/>
      <c r="V285" s="2"/>
      <c r="W285" s="2"/>
      <c r="X285" s="2"/>
      <c r="Y285" s="38"/>
    </row>
    <row r="286" spans="2:25" ht="15.75" customHeight="1" x14ac:dyDescent="0.3">
      <c r="B286" s="2"/>
      <c r="C286" s="61" t="s">
        <v>621</v>
      </c>
      <c r="D286" s="62" t="s">
        <v>630</v>
      </c>
      <c r="E286" s="63" t="s">
        <v>631</v>
      </c>
      <c r="F286" s="64">
        <f>+'COMUNAS - HOME DELIVERY 2026'!F286*1.1</f>
        <v>8248.3632000000016</v>
      </c>
      <c r="G286" s="65">
        <f>+'COMUNAS - HOME DELIVERY 2026'!G286*1.1</f>
        <v>8803.4760000000006</v>
      </c>
      <c r="H286" s="65">
        <f>+'COMUNAS - HOME DELIVERY 2026'!H286*1.1</f>
        <v>9755.3412000000008</v>
      </c>
      <c r="I286" s="65">
        <f>+'COMUNAS - HOME DELIVERY 2026'!I286*1.1</f>
        <v>10908.1368</v>
      </c>
      <c r="J286" s="65">
        <f>+'COMUNAS - HOME DELIVERY 2026'!J286*1.1</f>
        <v>13688.809200000003</v>
      </c>
      <c r="K286" s="65">
        <f>+'COMUNAS - HOME DELIVERY 2026'!K286*1.1</f>
        <v>15710.032800000001</v>
      </c>
      <c r="L286" s="65">
        <f>+'COMUNAS - HOME DELIVERY 2026'!L286*1.1</f>
        <v>17801.071200000002</v>
      </c>
      <c r="M286" s="66">
        <f>+'COMUNAS - HOME DELIVERY 2026'!M286*1.1</f>
        <v>956.97360000000003</v>
      </c>
      <c r="N286" s="67">
        <f>+'COMUNAS - HOME DELIVERY 2026'!N286*1.1</f>
        <v>778.17960000000005</v>
      </c>
      <c r="O286" s="60"/>
      <c r="P286" s="2"/>
      <c r="Q286" s="2"/>
      <c r="R286" s="2"/>
      <c r="S286" s="2"/>
      <c r="T286" s="2"/>
      <c r="U286" s="2"/>
      <c r="V286" s="2"/>
      <c r="W286" s="2"/>
      <c r="X286" s="2"/>
      <c r="Y286" s="38"/>
    </row>
    <row r="287" spans="2:25" ht="15.75" customHeight="1" x14ac:dyDescent="0.3">
      <c r="B287" s="2"/>
      <c r="C287" s="61" t="s">
        <v>621</v>
      </c>
      <c r="D287" s="62" t="s">
        <v>632</v>
      </c>
      <c r="E287" s="63" t="s">
        <v>633</v>
      </c>
      <c r="F287" s="64">
        <f>+'COMUNAS - HOME DELIVERY 2026'!F287*1.1</f>
        <v>8248.3632000000016</v>
      </c>
      <c r="G287" s="65">
        <f>+'COMUNAS - HOME DELIVERY 2026'!G287*1.1</f>
        <v>8803.4760000000006</v>
      </c>
      <c r="H287" s="65">
        <f>+'COMUNAS - HOME DELIVERY 2026'!H287*1.1</f>
        <v>9755.3412000000008</v>
      </c>
      <c r="I287" s="65">
        <f>+'COMUNAS - HOME DELIVERY 2026'!I287*1.1</f>
        <v>10908.1368</v>
      </c>
      <c r="J287" s="65">
        <f>+'COMUNAS - HOME DELIVERY 2026'!J287*1.1</f>
        <v>13688.809200000003</v>
      </c>
      <c r="K287" s="65">
        <f>+'COMUNAS - HOME DELIVERY 2026'!K287*1.1</f>
        <v>15710.032800000001</v>
      </c>
      <c r="L287" s="65">
        <f>+'COMUNAS - HOME DELIVERY 2026'!L287*1.1</f>
        <v>17801.071200000002</v>
      </c>
      <c r="M287" s="66">
        <f>+'COMUNAS - HOME DELIVERY 2026'!M287*1.1</f>
        <v>956.97360000000003</v>
      </c>
      <c r="N287" s="67">
        <f>+'COMUNAS - HOME DELIVERY 2026'!N287*1.1</f>
        <v>778.17960000000005</v>
      </c>
      <c r="O287" s="60"/>
      <c r="P287" s="2"/>
      <c r="Q287" s="2"/>
      <c r="R287" s="2"/>
      <c r="S287" s="2"/>
      <c r="T287" s="2"/>
      <c r="U287" s="2"/>
      <c r="V287" s="2"/>
      <c r="W287" s="2"/>
      <c r="X287" s="2"/>
      <c r="Y287" s="38"/>
    </row>
    <row r="288" spans="2:25" ht="15.75" customHeight="1" x14ac:dyDescent="0.3">
      <c r="B288" s="2"/>
      <c r="C288" s="61" t="s">
        <v>621</v>
      </c>
      <c r="D288" s="62" t="s">
        <v>634</v>
      </c>
      <c r="E288" s="63" t="s">
        <v>635</v>
      </c>
      <c r="F288" s="64">
        <f>+'COMUNAS - HOME DELIVERY 2026'!F288*1.1</f>
        <v>5626.0512000000008</v>
      </c>
      <c r="G288" s="65">
        <f>+'COMUNAS - HOME DELIVERY 2026'!G288*1.1</f>
        <v>6006.3432000000003</v>
      </c>
      <c r="H288" s="65">
        <f>+'COMUNAS - HOME DELIVERY 2026'!H288*1.1</f>
        <v>6655.6776000000009</v>
      </c>
      <c r="I288" s="65">
        <f>+'COMUNAS - HOME DELIVERY 2026'!I288*1.1</f>
        <v>7366.3128000000006</v>
      </c>
      <c r="J288" s="65">
        <f>+'COMUNAS - HOME DELIVERY 2026'!J288*1.1</f>
        <v>9368.8055999999997</v>
      </c>
      <c r="K288" s="65">
        <f>+'COMUNAS - HOME DELIVERY 2026'!K288*1.1</f>
        <v>10691.313600000001</v>
      </c>
      <c r="L288" s="65">
        <f>+'COMUNAS - HOME DELIVERY 2026'!L288*1.1</f>
        <v>12079.663200000001</v>
      </c>
      <c r="M288" s="66">
        <f>+'COMUNAS - HOME DELIVERY 2026'!M288*1.1</f>
        <v>635.7120000000001</v>
      </c>
      <c r="N288" s="67">
        <f>+'COMUNAS - HOME DELIVERY 2026'!N288*1.1</f>
        <v>529.00320000000011</v>
      </c>
      <c r="O288" s="60"/>
      <c r="P288" s="2"/>
      <c r="Q288" s="2"/>
      <c r="R288" s="2"/>
      <c r="S288" s="2"/>
      <c r="T288" s="2"/>
      <c r="U288" s="2"/>
      <c r="V288" s="2"/>
      <c r="W288" s="2"/>
      <c r="X288" s="2"/>
      <c r="Y288" s="38"/>
    </row>
    <row r="289" spans="2:25" ht="15.75" customHeight="1" x14ac:dyDescent="0.3">
      <c r="B289" s="2"/>
      <c r="C289" s="61" t="s">
        <v>621</v>
      </c>
      <c r="D289" s="62" t="s">
        <v>636</v>
      </c>
      <c r="E289" s="63" t="s">
        <v>637</v>
      </c>
      <c r="F289" s="64">
        <f>+'COMUNAS - HOME DELIVERY 2026'!F289*1.1</f>
        <v>6144.8376000000007</v>
      </c>
      <c r="G289" s="65">
        <f>+'COMUNAS - HOME DELIVERY 2026'!G289*1.1</f>
        <v>6858.8784000000005</v>
      </c>
      <c r="H289" s="65">
        <f>+'COMUNAS - HOME DELIVERY 2026'!H289*1.1</f>
        <v>7660.3296000000009</v>
      </c>
      <c r="I289" s="65">
        <f>+'COMUNAS - HOME DELIVERY 2026'!I289*1.1</f>
        <v>9130.4136000000017</v>
      </c>
      <c r="J289" s="65">
        <f>+'COMUNAS - HOME DELIVERY 2026'!J289*1.1</f>
        <v>10647.040800000001</v>
      </c>
      <c r="K289" s="65">
        <f>+'COMUNAS - HOME DELIVERY 2026'!K289*1.1</f>
        <v>12718.7808</v>
      </c>
      <c r="L289" s="65">
        <f>+'COMUNAS - HOME DELIVERY 2026'!L289*1.1</f>
        <v>14267.193600000001</v>
      </c>
      <c r="M289" s="66">
        <f>+'COMUNAS - HOME DELIVERY 2026'!M289*1.1</f>
        <v>655.01040000000012</v>
      </c>
      <c r="N289" s="67">
        <f>+'COMUNAS - HOME DELIVERY 2026'!N289*1.1</f>
        <v>534.67920000000004</v>
      </c>
      <c r="O289" s="60"/>
      <c r="P289" s="2"/>
      <c r="Q289" s="2"/>
      <c r="R289" s="2"/>
      <c r="S289" s="2"/>
      <c r="T289" s="2"/>
      <c r="U289" s="2"/>
      <c r="V289" s="2"/>
      <c r="W289" s="2"/>
      <c r="X289" s="2"/>
      <c r="Y289" s="38"/>
    </row>
    <row r="290" spans="2:25" ht="15.75" customHeight="1" x14ac:dyDescent="0.3">
      <c r="B290" s="2"/>
      <c r="C290" s="61" t="s">
        <v>621</v>
      </c>
      <c r="D290" s="62" t="s">
        <v>638</v>
      </c>
      <c r="E290" s="63" t="s">
        <v>639</v>
      </c>
      <c r="F290" s="64">
        <f>+'COMUNAS - HOME DELIVERY 2026'!F290*1.1</f>
        <v>5498.9088000000002</v>
      </c>
      <c r="G290" s="65">
        <f>+'COMUNAS - HOME DELIVERY 2026'!G290*1.1</f>
        <v>5868.9840000000013</v>
      </c>
      <c r="H290" s="65">
        <f>+'COMUNAS - HOME DELIVERY 2026'!H290*1.1</f>
        <v>6503.5608000000011</v>
      </c>
      <c r="I290" s="65">
        <f>+'COMUNAS - HOME DELIVERY 2026'!I290*1.1</f>
        <v>7272.0912000000008</v>
      </c>
      <c r="J290" s="65">
        <f>+'COMUNAS - HOME DELIVERY 2026'!J290*1.1</f>
        <v>9125.872800000001</v>
      </c>
      <c r="K290" s="65">
        <f>+'COMUNAS - HOME DELIVERY 2026'!K290*1.1</f>
        <v>10473.3552</v>
      </c>
      <c r="L290" s="65">
        <f>+'COMUNAS - HOME DELIVERY 2026'!L290*1.1</f>
        <v>11867.380800000001</v>
      </c>
      <c r="M290" s="66">
        <f>+'COMUNAS - HOME DELIVERY 2026'!M290*1.1</f>
        <v>637.9824000000001</v>
      </c>
      <c r="N290" s="67">
        <f>+'COMUNAS - HOME DELIVERY 2026'!N290*1.1</f>
        <v>518.78640000000007</v>
      </c>
      <c r="O290" s="60"/>
      <c r="P290" s="2"/>
      <c r="Q290" s="2"/>
      <c r="R290" s="2"/>
      <c r="S290" s="2"/>
      <c r="T290" s="2"/>
      <c r="U290" s="2"/>
      <c r="V290" s="2"/>
      <c r="W290" s="2"/>
      <c r="X290" s="2"/>
      <c r="Y290" s="38"/>
    </row>
    <row r="291" spans="2:25" ht="15.75" customHeight="1" x14ac:dyDescent="0.3">
      <c r="B291" s="2"/>
      <c r="C291" s="61" t="s">
        <v>621</v>
      </c>
      <c r="D291" s="62" t="s">
        <v>640</v>
      </c>
      <c r="E291" s="63" t="s">
        <v>53</v>
      </c>
      <c r="F291" s="64">
        <f>+'COMUNAS - HOME DELIVERY 2026'!F291*1.1</f>
        <v>6144.8376000000007</v>
      </c>
      <c r="G291" s="65">
        <f>+'COMUNAS - HOME DELIVERY 2026'!G291*1.1</f>
        <v>6858.8784000000005</v>
      </c>
      <c r="H291" s="65">
        <f>+'COMUNAS - HOME DELIVERY 2026'!H291*1.1</f>
        <v>7660.3296000000009</v>
      </c>
      <c r="I291" s="65">
        <f>+'COMUNAS - HOME DELIVERY 2026'!I291*1.1</f>
        <v>9130.4136000000017</v>
      </c>
      <c r="J291" s="65">
        <f>+'COMUNAS - HOME DELIVERY 2026'!J291*1.1</f>
        <v>10647.040800000001</v>
      </c>
      <c r="K291" s="65">
        <f>+'COMUNAS - HOME DELIVERY 2026'!K291*1.1</f>
        <v>12718.7808</v>
      </c>
      <c r="L291" s="65">
        <f>+'COMUNAS - HOME DELIVERY 2026'!L291*1.1</f>
        <v>14267.193600000001</v>
      </c>
      <c r="M291" s="66">
        <f>+'COMUNAS - HOME DELIVERY 2026'!M291*1.1</f>
        <v>655.01040000000012</v>
      </c>
      <c r="N291" s="67">
        <f>+'COMUNAS - HOME DELIVERY 2026'!N291*1.1</f>
        <v>534.67920000000004</v>
      </c>
      <c r="O291" s="60"/>
      <c r="P291" s="2"/>
      <c r="Q291" s="2"/>
      <c r="R291" s="2"/>
      <c r="S291" s="2"/>
      <c r="T291" s="2"/>
      <c r="U291" s="2"/>
      <c r="V291" s="2"/>
      <c r="W291" s="2"/>
      <c r="X291" s="2"/>
      <c r="Y291" s="38"/>
    </row>
    <row r="292" spans="2:25" ht="15.75" customHeight="1" x14ac:dyDescent="0.3">
      <c r="B292" s="2"/>
      <c r="C292" s="61" t="s">
        <v>621</v>
      </c>
      <c r="D292" s="62" t="s">
        <v>641</v>
      </c>
      <c r="E292" s="63" t="s">
        <v>642</v>
      </c>
      <c r="F292" s="64">
        <f>+'COMUNAS - HOME DELIVERY 2026'!F292*1.1</f>
        <v>9217.256400000002</v>
      </c>
      <c r="G292" s="65">
        <f>+'COMUNAS - HOME DELIVERY 2026'!G292*1.1</f>
        <v>10288.3176</v>
      </c>
      <c r="H292" s="65">
        <f>+'COMUNAS - HOME DELIVERY 2026'!H292*1.1</f>
        <v>11490.494400000001</v>
      </c>
      <c r="I292" s="65">
        <f>+'COMUNAS - HOME DELIVERY 2026'!I292*1.1</f>
        <v>13695.620400000002</v>
      </c>
      <c r="J292" s="65">
        <f>+'COMUNAS - HOME DELIVERY 2026'!J292*1.1</f>
        <v>15970.561200000002</v>
      </c>
      <c r="K292" s="65">
        <f>+'COMUNAS - HOME DELIVERY 2026'!K292*1.1</f>
        <v>19078.171200000004</v>
      </c>
      <c r="L292" s="65">
        <f>+'COMUNAS - HOME DELIVERY 2026'!L292*1.1</f>
        <v>21400.790400000002</v>
      </c>
      <c r="M292" s="66">
        <f>+'COMUNAS - HOME DELIVERY 2026'!M292*1.1</f>
        <v>982.51560000000006</v>
      </c>
      <c r="N292" s="67">
        <f>+'COMUNAS - HOME DELIVERY 2026'!N292*1.1</f>
        <v>802.01880000000017</v>
      </c>
      <c r="O292" s="60"/>
      <c r="P292" s="2"/>
      <c r="Q292" s="2"/>
      <c r="R292" s="2"/>
      <c r="S292" s="2"/>
      <c r="T292" s="2"/>
      <c r="U292" s="2"/>
      <c r="V292" s="2"/>
      <c r="W292" s="2"/>
      <c r="X292" s="2"/>
      <c r="Y292" s="38"/>
    </row>
    <row r="293" spans="2:25" ht="15.75" customHeight="1" x14ac:dyDescent="0.3">
      <c r="B293" s="2"/>
      <c r="C293" s="61" t="s">
        <v>621</v>
      </c>
      <c r="D293" s="62" t="s">
        <v>643</v>
      </c>
      <c r="E293" s="63" t="s">
        <v>644</v>
      </c>
      <c r="F293" s="64">
        <f>+'COMUNAS - HOME DELIVERY 2026'!F293*1.1</f>
        <v>9217.256400000002</v>
      </c>
      <c r="G293" s="65">
        <f>+'COMUNAS - HOME DELIVERY 2026'!G293*1.1</f>
        <v>10288.3176</v>
      </c>
      <c r="H293" s="65">
        <f>+'COMUNAS - HOME DELIVERY 2026'!H293*1.1</f>
        <v>11490.494400000001</v>
      </c>
      <c r="I293" s="65">
        <f>+'COMUNAS - HOME DELIVERY 2026'!I293*1.1</f>
        <v>13695.620400000002</v>
      </c>
      <c r="J293" s="65">
        <f>+'COMUNAS - HOME DELIVERY 2026'!J293*1.1</f>
        <v>15970.561200000002</v>
      </c>
      <c r="K293" s="65">
        <f>+'COMUNAS - HOME DELIVERY 2026'!K293*1.1</f>
        <v>19078.171200000004</v>
      </c>
      <c r="L293" s="65">
        <f>+'COMUNAS - HOME DELIVERY 2026'!L293*1.1</f>
        <v>21400.790400000002</v>
      </c>
      <c r="M293" s="66">
        <f>+'COMUNAS - HOME DELIVERY 2026'!M293*1.1</f>
        <v>982.51560000000006</v>
      </c>
      <c r="N293" s="67">
        <f>+'COMUNAS - HOME DELIVERY 2026'!N293*1.1</f>
        <v>802.01880000000017</v>
      </c>
      <c r="O293" s="60"/>
      <c r="P293" s="2"/>
      <c r="Q293" s="2"/>
      <c r="R293" s="2"/>
      <c r="S293" s="2"/>
      <c r="T293" s="2"/>
      <c r="U293" s="2"/>
      <c r="V293" s="2"/>
      <c r="W293" s="2"/>
      <c r="X293" s="2"/>
      <c r="Y293" s="38"/>
    </row>
    <row r="294" spans="2:25" ht="15.75" customHeight="1" x14ac:dyDescent="0.3">
      <c r="B294" s="2"/>
      <c r="C294" s="61" t="s">
        <v>621</v>
      </c>
      <c r="D294" s="62" t="s">
        <v>645</v>
      </c>
      <c r="E294" s="63" t="s">
        <v>646</v>
      </c>
      <c r="F294" s="64">
        <f>+'COMUNAS - HOME DELIVERY 2026'!F294*1.1</f>
        <v>9217.256400000002</v>
      </c>
      <c r="G294" s="65">
        <f>+'COMUNAS - HOME DELIVERY 2026'!G294*1.1</f>
        <v>10288.3176</v>
      </c>
      <c r="H294" s="65">
        <f>+'COMUNAS - HOME DELIVERY 2026'!H294*1.1</f>
        <v>11490.494400000001</v>
      </c>
      <c r="I294" s="65">
        <f>+'COMUNAS - HOME DELIVERY 2026'!I294*1.1</f>
        <v>13695.620400000002</v>
      </c>
      <c r="J294" s="65">
        <f>+'COMUNAS - HOME DELIVERY 2026'!J294*1.1</f>
        <v>15970.561200000002</v>
      </c>
      <c r="K294" s="65">
        <f>+'COMUNAS - HOME DELIVERY 2026'!K294*1.1</f>
        <v>19078.171200000004</v>
      </c>
      <c r="L294" s="65">
        <f>+'COMUNAS - HOME DELIVERY 2026'!L294*1.1</f>
        <v>21400.790400000002</v>
      </c>
      <c r="M294" s="66">
        <f>+'COMUNAS - HOME DELIVERY 2026'!M294*1.1</f>
        <v>982.51560000000006</v>
      </c>
      <c r="N294" s="67">
        <f>+'COMUNAS - HOME DELIVERY 2026'!N294*1.1</f>
        <v>802.01880000000017</v>
      </c>
      <c r="O294" s="60"/>
      <c r="P294" s="2"/>
      <c r="Q294" s="2"/>
      <c r="R294" s="2"/>
      <c r="S294" s="2"/>
      <c r="T294" s="2"/>
      <c r="U294" s="2"/>
      <c r="V294" s="2"/>
      <c r="W294" s="2"/>
      <c r="X294" s="2"/>
      <c r="Y294" s="38"/>
    </row>
    <row r="295" spans="2:25" ht="15.75" customHeight="1" x14ac:dyDescent="0.3">
      <c r="B295" s="2"/>
      <c r="C295" s="61" t="s">
        <v>621</v>
      </c>
      <c r="D295" s="62" t="s">
        <v>647</v>
      </c>
      <c r="E295" s="63" t="s">
        <v>648</v>
      </c>
      <c r="F295" s="64">
        <f>+'COMUNAS - HOME DELIVERY 2026'!F295*1.1</f>
        <v>6144.8376000000007</v>
      </c>
      <c r="G295" s="65">
        <f>+'COMUNAS - HOME DELIVERY 2026'!G295*1.1</f>
        <v>6858.8784000000005</v>
      </c>
      <c r="H295" s="65">
        <f>+'COMUNAS - HOME DELIVERY 2026'!H295*1.1</f>
        <v>7660.3296000000009</v>
      </c>
      <c r="I295" s="65">
        <f>+'COMUNAS - HOME DELIVERY 2026'!I295*1.1</f>
        <v>9130.4136000000017</v>
      </c>
      <c r="J295" s="65">
        <f>+'COMUNAS - HOME DELIVERY 2026'!J295*1.1</f>
        <v>10647.040800000001</v>
      </c>
      <c r="K295" s="65">
        <f>+'COMUNAS - HOME DELIVERY 2026'!K295*1.1</f>
        <v>12718.7808</v>
      </c>
      <c r="L295" s="65">
        <f>+'COMUNAS - HOME DELIVERY 2026'!L295*1.1</f>
        <v>14267.193600000001</v>
      </c>
      <c r="M295" s="66">
        <f>+'COMUNAS - HOME DELIVERY 2026'!M295*1.1</f>
        <v>655.01040000000012</v>
      </c>
      <c r="N295" s="67">
        <f>+'COMUNAS - HOME DELIVERY 2026'!N295*1.1</f>
        <v>534.67920000000004</v>
      </c>
      <c r="O295" s="60"/>
      <c r="P295" s="2"/>
      <c r="Q295" s="2"/>
      <c r="R295" s="2"/>
      <c r="S295" s="2"/>
      <c r="T295" s="2"/>
      <c r="U295" s="2"/>
      <c r="V295" s="2"/>
      <c r="W295" s="2"/>
      <c r="X295" s="2"/>
      <c r="Y295" s="38"/>
    </row>
    <row r="296" spans="2:25" ht="15.75" customHeight="1" x14ac:dyDescent="0.3">
      <c r="B296" s="2"/>
      <c r="C296" s="61" t="s">
        <v>621</v>
      </c>
      <c r="D296" s="62" t="s">
        <v>649</v>
      </c>
      <c r="E296" s="63" t="s">
        <v>650</v>
      </c>
      <c r="F296" s="64">
        <f>+'COMUNAS - HOME DELIVERY 2026'!F296*1.1</f>
        <v>9217.256400000002</v>
      </c>
      <c r="G296" s="65">
        <f>+'COMUNAS - HOME DELIVERY 2026'!G296*1.1</f>
        <v>10288.3176</v>
      </c>
      <c r="H296" s="65">
        <f>+'COMUNAS - HOME DELIVERY 2026'!H296*1.1</f>
        <v>11490.494400000001</v>
      </c>
      <c r="I296" s="65">
        <f>+'COMUNAS - HOME DELIVERY 2026'!I296*1.1</f>
        <v>13695.620400000002</v>
      </c>
      <c r="J296" s="65">
        <f>+'COMUNAS - HOME DELIVERY 2026'!J296*1.1</f>
        <v>15970.561200000002</v>
      </c>
      <c r="K296" s="65">
        <f>+'COMUNAS - HOME DELIVERY 2026'!K296*1.1</f>
        <v>19078.171200000004</v>
      </c>
      <c r="L296" s="65">
        <f>+'COMUNAS - HOME DELIVERY 2026'!L296*1.1</f>
        <v>21400.790400000002</v>
      </c>
      <c r="M296" s="66">
        <f>+'COMUNAS - HOME DELIVERY 2026'!M296*1.1</f>
        <v>982.51560000000006</v>
      </c>
      <c r="N296" s="67">
        <f>+'COMUNAS - HOME DELIVERY 2026'!N296*1.1</f>
        <v>802.01880000000017</v>
      </c>
      <c r="O296" s="60"/>
      <c r="P296" s="2"/>
      <c r="Q296" s="2"/>
      <c r="R296" s="2"/>
      <c r="S296" s="2"/>
      <c r="T296" s="2"/>
      <c r="U296" s="2"/>
      <c r="V296" s="2"/>
      <c r="W296" s="2"/>
      <c r="X296" s="2"/>
      <c r="Y296" s="38"/>
    </row>
    <row r="297" spans="2:25" ht="15.75" customHeight="1" x14ac:dyDescent="0.3">
      <c r="B297" s="2"/>
      <c r="C297" s="61" t="s">
        <v>621</v>
      </c>
      <c r="D297" s="62" t="s">
        <v>651</v>
      </c>
      <c r="E297" s="63" t="s">
        <v>652</v>
      </c>
      <c r="F297" s="64">
        <f>+'COMUNAS - HOME DELIVERY 2026'!F297*1.1</f>
        <v>6144.8376000000007</v>
      </c>
      <c r="G297" s="65">
        <f>+'COMUNAS - HOME DELIVERY 2026'!G297*1.1</f>
        <v>6858.8784000000005</v>
      </c>
      <c r="H297" s="65">
        <f>+'COMUNAS - HOME DELIVERY 2026'!H297*1.1</f>
        <v>7660.3296000000009</v>
      </c>
      <c r="I297" s="65">
        <f>+'COMUNAS - HOME DELIVERY 2026'!I297*1.1</f>
        <v>9130.4136000000017</v>
      </c>
      <c r="J297" s="65">
        <f>+'COMUNAS - HOME DELIVERY 2026'!J297*1.1</f>
        <v>10647.040800000001</v>
      </c>
      <c r="K297" s="65">
        <f>+'COMUNAS - HOME DELIVERY 2026'!K297*1.1</f>
        <v>12718.7808</v>
      </c>
      <c r="L297" s="65">
        <f>+'COMUNAS - HOME DELIVERY 2026'!L297*1.1</f>
        <v>14267.193600000001</v>
      </c>
      <c r="M297" s="66">
        <f>+'COMUNAS - HOME DELIVERY 2026'!M297*1.1</f>
        <v>655.01040000000012</v>
      </c>
      <c r="N297" s="67">
        <f>+'COMUNAS - HOME DELIVERY 2026'!N297*1.1</f>
        <v>534.67920000000004</v>
      </c>
      <c r="O297" s="60"/>
      <c r="P297" s="2"/>
      <c r="Q297" s="2"/>
      <c r="R297" s="2"/>
      <c r="S297" s="2"/>
      <c r="T297" s="2"/>
      <c r="U297" s="2"/>
      <c r="V297" s="2"/>
      <c r="W297" s="2"/>
      <c r="X297" s="2"/>
      <c r="Y297" s="38"/>
    </row>
    <row r="298" spans="2:25" ht="15.75" customHeight="1" x14ac:dyDescent="0.3">
      <c r="B298" s="2"/>
      <c r="C298" s="61" t="s">
        <v>621</v>
      </c>
      <c r="D298" s="62" t="s">
        <v>653</v>
      </c>
      <c r="E298" s="63" t="s">
        <v>654</v>
      </c>
      <c r="F298" s="64">
        <f>+'COMUNAS - HOME DELIVERY 2026'!F298*1.1</f>
        <v>6144.8376000000007</v>
      </c>
      <c r="G298" s="65">
        <f>+'COMUNAS - HOME DELIVERY 2026'!G298*1.1</f>
        <v>6858.8784000000005</v>
      </c>
      <c r="H298" s="65">
        <f>+'COMUNAS - HOME DELIVERY 2026'!H298*1.1</f>
        <v>7660.3296000000009</v>
      </c>
      <c r="I298" s="65">
        <f>+'COMUNAS - HOME DELIVERY 2026'!I298*1.1</f>
        <v>9130.4136000000017</v>
      </c>
      <c r="J298" s="65">
        <f>+'COMUNAS - HOME DELIVERY 2026'!J298*1.1</f>
        <v>10647.040800000001</v>
      </c>
      <c r="K298" s="65">
        <f>+'COMUNAS - HOME DELIVERY 2026'!K298*1.1</f>
        <v>12718.7808</v>
      </c>
      <c r="L298" s="65">
        <f>+'COMUNAS - HOME DELIVERY 2026'!L298*1.1</f>
        <v>14267.193600000001</v>
      </c>
      <c r="M298" s="66">
        <f>+'COMUNAS - HOME DELIVERY 2026'!M298*1.1</f>
        <v>655.01040000000012</v>
      </c>
      <c r="N298" s="67">
        <f>+'COMUNAS - HOME DELIVERY 2026'!N298*1.1</f>
        <v>534.67920000000004</v>
      </c>
      <c r="O298" s="60"/>
      <c r="P298" s="2"/>
      <c r="Q298" s="2"/>
      <c r="R298" s="2"/>
      <c r="S298" s="2"/>
      <c r="T298" s="2"/>
      <c r="U298" s="2"/>
      <c r="V298" s="2"/>
      <c r="W298" s="2"/>
      <c r="X298" s="2"/>
      <c r="Y298" s="38"/>
    </row>
    <row r="299" spans="2:25" ht="15.75" customHeight="1" x14ac:dyDescent="0.3">
      <c r="B299" s="2"/>
      <c r="C299" s="61" t="s">
        <v>621</v>
      </c>
      <c r="D299" s="62" t="s">
        <v>655</v>
      </c>
      <c r="E299" s="63" t="s">
        <v>656</v>
      </c>
      <c r="F299" s="64">
        <f>+'COMUNAS - HOME DELIVERY 2026'!F299*1.1</f>
        <v>5498.9088000000002</v>
      </c>
      <c r="G299" s="65">
        <f>+'COMUNAS - HOME DELIVERY 2026'!G299*1.1</f>
        <v>5868.9840000000013</v>
      </c>
      <c r="H299" s="65">
        <f>+'COMUNAS - HOME DELIVERY 2026'!H299*1.1</f>
        <v>6503.5608000000011</v>
      </c>
      <c r="I299" s="65">
        <f>+'COMUNAS - HOME DELIVERY 2026'!I299*1.1</f>
        <v>7272.0912000000008</v>
      </c>
      <c r="J299" s="65">
        <f>+'COMUNAS - HOME DELIVERY 2026'!J299*1.1</f>
        <v>9125.872800000001</v>
      </c>
      <c r="K299" s="65">
        <f>+'COMUNAS - HOME DELIVERY 2026'!K299*1.1</f>
        <v>10473.3552</v>
      </c>
      <c r="L299" s="65">
        <f>+'COMUNAS - HOME DELIVERY 2026'!L299*1.1</f>
        <v>11867.380800000001</v>
      </c>
      <c r="M299" s="66">
        <f>+'COMUNAS - HOME DELIVERY 2026'!M299*1.1</f>
        <v>637.9824000000001</v>
      </c>
      <c r="N299" s="67">
        <f>+'COMUNAS - HOME DELIVERY 2026'!N299*1.1</f>
        <v>518.78640000000007</v>
      </c>
      <c r="O299" s="60"/>
      <c r="P299" s="2"/>
      <c r="Q299" s="2"/>
      <c r="R299" s="2"/>
      <c r="S299" s="2"/>
      <c r="T299" s="2"/>
      <c r="U299" s="2"/>
      <c r="V299" s="2"/>
      <c r="W299" s="2"/>
      <c r="X299" s="2"/>
      <c r="Y299" s="38"/>
    </row>
    <row r="300" spans="2:25" ht="15.75" customHeight="1" x14ac:dyDescent="0.3">
      <c r="B300" s="2"/>
      <c r="C300" s="61" t="s">
        <v>621</v>
      </c>
      <c r="D300" s="62" t="s">
        <v>657</v>
      </c>
      <c r="E300" s="63" t="s">
        <v>658</v>
      </c>
      <c r="F300" s="64">
        <f>+'COMUNAS - HOME DELIVERY 2026'!F300*1.1</f>
        <v>5626.0512000000008</v>
      </c>
      <c r="G300" s="65">
        <f>+'COMUNAS - HOME DELIVERY 2026'!G300*1.1</f>
        <v>6006.3432000000003</v>
      </c>
      <c r="H300" s="65">
        <f>+'COMUNAS - HOME DELIVERY 2026'!H300*1.1</f>
        <v>6655.6776000000009</v>
      </c>
      <c r="I300" s="65">
        <f>+'COMUNAS - HOME DELIVERY 2026'!I300*1.1</f>
        <v>7366.3128000000006</v>
      </c>
      <c r="J300" s="65">
        <f>+'COMUNAS - HOME DELIVERY 2026'!J300*1.1</f>
        <v>9368.8055999999997</v>
      </c>
      <c r="K300" s="65">
        <f>+'COMUNAS - HOME DELIVERY 2026'!K300*1.1</f>
        <v>10691.313600000001</v>
      </c>
      <c r="L300" s="65">
        <f>+'COMUNAS - HOME DELIVERY 2026'!L300*1.1</f>
        <v>12079.663200000001</v>
      </c>
      <c r="M300" s="66">
        <f>+'COMUNAS - HOME DELIVERY 2026'!M300*1.1</f>
        <v>635.7120000000001</v>
      </c>
      <c r="N300" s="67">
        <f>+'COMUNAS - HOME DELIVERY 2026'!N300*1.1</f>
        <v>529.00320000000011</v>
      </c>
      <c r="O300" s="60"/>
      <c r="P300" s="2"/>
      <c r="Q300" s="2"/>
      <c r="R300" s="2"/>
      <c r="S300" s="2"/>
      <c r="T300" s="2"/>
      <c r="U300" s="2"/>
      <c r="V300" s="2"/>
      <c r="W300" s="2"/>
      <c r="X300" s="2"/>
      <c r="Y300" s="38"/>
    </row>
    <row r="301" spans="2:25" ht="15.75" customHeight="1" x14ac:dyDescent="0.3">
      <c r="B301" s="2"/>
      <c r="C301" s="61" t="s">
        <v>621</v>
      </c>
      <c r="D301" s="62" t="s">
        <v>659</v>
      </c>
      <c r="E301" s="63" t="s">
        <v>660</v>
      </c>
      <c r="F301" s="64">
        <f>+'COMUNAS - HOME DELIVERY 2026'!F301*1.1</f>
        <v>5498.9088000000002</v>
      </c>
      <c r="G301" s="65">
        <f>+'COMUNAS - HOME DELIVERY 2026'!G301*1.1</f>
        <v>5868.9840000000013</v>
      </c>
      <c r="H301" s="65">
        <f>+'COMUNAS - HOME DELIVERY 2026'!H301*1.1</f>
        <v>6503.5608000000011</v>
      </c>
      <c r="I301" s="65">
        <f>+'COMUNAS - HOME DELIVERY 2026'!I301*1.1</f>
        <v>7272.0912000000008</v>
      </c>
      <c r="J301" s="65">
        <f>+'COMUNAS - HOME DELIVERY 2026'!J301*1.1</f>
        <v>9125.872800000001</v>
      </c>
      <c r="K301" s="65">
        <f>+'COMUNAS - HOME DELIVERY 2026'!K301*1.1</f>
        <v>10473.3552</v>
      </c>
      <c r="L301" s="65">
        <f>+'COMUNAS - HOME DELIVERY 2026'!L301*1.1</f>
        <v>11867.380800000001</v>
      </c>
      <c r="M301" s="66">
        <f>+'COMUNAS - HOME DELIVERY 2026'!M301*1.1</f>
        <v>637.9824000000001</v>
      </c>
      <c r="N301" s="67">
        <f>+'COMUNAS - HOME DELIVERY 2026'!N301*1.1</f>
        <v>518.78640000000007</v>
      </c>
      <c r="O301" s="60"/>
      <c r="P301" s="2"/>
      <c r="Q301" s="2"/>
      <c r="R301" s="2"/>
      <c r="S301" s="2"/>
      <c r="T301" s="2"/>
      <c r="U301" s="2"/>
      <c r="V301" s="2"/>
      <c r="W301" s="2"/>
      <c r="X301" s="2"/>
      <c r="Y301" s="38"/>
    </row>
    <row r="302" spans="2:25" ht="15.75" customHeight="1" x14ac:dyDescent="0.3">
      <c r="B302" s="2"/>
      <c r="C302" s="61" t="s">
        <v>621</v>
      </c>
      <c r="D302" s="62" t="s">
        <v>661</v>
      </c>
      <c r="E302" s="63" t="s">
        <v>662</v>
      </c>
      <c r="F302" s="64">
        <f>+'COMUNAS - HOME DELIVERY 2026'!F302*1.1</f>
        <v>5498.9088000000002</v>
      </c>
      <c r="G302" s="65">
        <f>+'COMUNAS - HOME DELIVERY 2026'!G302*1.1</f>
        <v>5868.9840000000013</v>
      </c>
      <c r="H302" s="65">
        <f>+'COMUNAS - HOME DELIVERY 2026'!H302*1.1</f>
        <v>6503.5608000000011</v>
      </c>
      <c r="I302" s="65">
        <f>+'COMUNAS - HOME DELIVERY 2026'!I302*1.1</f>
        <v>7272.0912000000008</v>
      </c>
      <c r="J302" s="65">
        <f>+'COMUNAS - HOME DELIVERY 2026'!J302*1.1</f>
        <v>9125.872800000001</v>
      </c>
      <c r="K302" s="65">
        <f>+'COMUNAS - HOME DELIVERY 2026'!K302*1.1</f>
        <v>10473.3552</v>
      </c>
      <c r="L302" s="65">
        <f>+'COMUNAS - HOME DELIVERY 2026'!L302*1.1</f>
        <v>11867.380800000001</v>
      </c>
      <c r="M302" s="66">
        <f>+'COMUNAS - HOME DELIVERY 2026'!M302*1.1</f>
        <v>637.9824000000001</v>
      </c>
      <c r="N302" s="67">
        <f>+'COMUNAS - HOME DELIVERY 2026'!N302*1.1</f>
        <v>518.78640000000007</v>
      </c>
      <c r="O302" s="60"/>
      <c r="P302" s="2"/>
      <c r="Q302" s="2"/>
      <c r="R302" s="2"/>
      <c r="S302" s="2"/>
      <c r="T302" s="2"/>
      <c r="U302" s="2"/>
      <c r="V302" s="2"/>
      <c r="W302" s="2"/>
      <c r="X302" s="2"/>
      <c r="Y302" s="38"/>
    </row>
    <row r="303" spans="2:25" ht="15.75" customHeight="1" x14ac:dyDescent="0.3">
      <c r="B303" s="2"/>
      <c r="C303" s="61" t="s">
        <v>621</v>
      </c>
      <c r="D303" s="62" t="s">
        <v>663</v>
      </c>
      <c r="E303" s="63" t="s">
        <v>664</v>
      </c>
      <c r="F303" s="64">
        <f>+'COMUNAS - HOME DELIVERY 2026'!F303*1.1</f>
        <v>5498.9088000000002</v>
      </c>
      <c r="G303" s="65">
        <f>+'COMUNAS - HOME DELIVERY 2026'!G303*1.1</f>
        <v>5868.9840000000013</v>
      </c>
      <c r="H303" s="65">
        <f>+'COMUNAS - HOME DELIVERY 2026'!H303*1.1</f>
        <v>6503.5608000000011</v>
      </c>
      <c r="I303" s="65">
        <f>+'COMUNAS - HOME DELIVERY 2026'!I303*1.1</f>
        <v>7272.0912000000008</v>
      </c>
      <c r="J303" s="65">
        <f>+'COMUNAS - HOME DELIVERY 2026'!J303*1.1</f>
        <v>9125.872800000001</v>
      </c>
      <c r="K303" s="65">
        <f>+'COMUNAS - HOME DELIVERY 2026'!K303*1.1</f>
        <v>10473.3552</v>
      </c>
      <c r="L303" s="65">
        <f>+'COMUNAS - HOME DELIVERY 2026'!L303*1.1</f>
        <v>11867.380800000001</v>
      </c>
      <c r="M303" s="66">
        <f>+'COMUNAS - HOME DELIVERY 2026'!M303*1.1</f>
        <v>637.9824000000001</v>
      </c>
      <c r="N303" s="67">
        <f>+'COMUNAS - HOME DELIVERY 2026'!N303*1.1</f>
        <v>518.78640000000007</v>
      </c>
      <c r="O303" s="60"/>
      <c r="P303" s="2"/>
      <c r="Q303" s="2"/>
      <c r="R303" s="2"/>
      <c r="S303" s="2"/>
      <c r="T303" s="2"/>
      <c r="U303" s="2"/>
      <c r="V303" s="2"/>
      <c r="W303" s="2"/>
      <c r="X303" s="2"/>
      <c r="Y303" s="38"/>
    </row>
    <row r="304" spans="2:25" ht="15.75" customHeight="1" x14ac:dyDescent="0.3">
      <c r="B304" s="2"/>
      <c r="C304" s="61" t="s">
        <v>621</v>
      </c>
      <c r="D304" s="62" t="s">
        <v>665</v>
      </c>
      <c r="E304" s="63" t="s">
        <v>666</v>
      </c>
      <c r="F304" s="64">
        <f>+'COMUNAS - HOME DELIVERY 2026'!F304*1.1</f>
        <v>8439.0768000000007</v>
      </c>
      <c r="G304" s="65">
        <f>+'COMUNAS - HOME DELIVERY 2026'!G304*1.1</f>
        <v>9009.5148000000008</v>
      </c>
      <c r="H304" s="65">
        <f>+'COMUNAS - HOME DELIVERY 2026'!H304*1.1</f>
        <v>9983.5164000000022</v>
      </c>
      <c r="I304" s="65">
        <f>+'COMUNAS - HOME DELIVERY 2026'!I304*1.1</f>
        <v>11049.469200000001</v>
      </c>
      <c r="J304" s="65">
        <f>+'COMUNAS - HOME DELIVERY 2026'!J304*1.1</f>
        <v>14053.208400000001</v>
      </c>
      <c r="K304" s="65">
        <f>+'COMUNAS - HOME DELIVERY 2026'!K304*1.1</f>
        <v>16036.970400000002</v>
      </c>
      <c r="L304" s="65">
        <f>+'COMUNAS - HOME DELIVERY 2026'!L304*1.1</f>
        <v>18119.4948</v>
      </c>
      <c r="M304" s="66">
        <f>+'COMUNAS - HOME DELIVERY 2026'!M304*1.1</f>
        <v>953.5680000000001</v>
      </c>
      <c r="N304" s="67">
        <f>+'COMUNAS - HOME DELIVERY 2026'!N304*1.1</f>
        <v>793.50480000000016</v>
      </c>
      <c r="O304" s="60"/>
      <c r="P304" s="2"/>
      <c r="Q304" s="2"/>
      <c r="R304" s="2"/>
      <c r="S304" s="2"/>
      <c r="T304" s="2"/>
      <c r="U304" s="2"/>
      <c r="V304" s="2"/>
      <c r="W304" s="2"/>
      <c r="X304" s="2"/>
      <c r="Y304" s="38"/>
    </row>
    <row r="305" spans="2:25" ht="15.75" customHeight="1" x14ac:dyDescent="0.3">
      <c r="B305" s="2"/>
      <c r="C305" s="61" t="s">
        <v>621</v>
      </c>
      <c r="D305" s="62" t="s">
        <v>667</v>
      </c>
      <c r="E305" s="63" t="s">
        <v>668</v>
      </c>
      <c r="F305" s="64">
        <f>+'COMUNAS - HOME DELIVERY 2026'!F305*1.1</f>
        <v>5626.0512000000008</v>
      </c>
      <c r="G305" s="65">
        <f>+'COMUNAS - HOME DELIVERY 2026'!G305*1.1</f>
        <v>6006.3432000000003</v>
      </c>
      <c r="H305" s="65">
        <f>+'COMUNAS - HOME DELIVERY 2026'!H305*1.1</f>
        <v>6655.6776000000009</v>
      </c>
      <c r="I305" s="65">
        <f>+'COMUNAS - HOME DELIVERY 2026'!I305*1.1</f>
        <v>7366.3128000000006</v>
      </c>
      <c r="J305" s="65">
        <f>+'COMUNAS - HOME DELIVERY 2026'!J305*1.1</f>
        <v>9368.8055999999997</v>
      </c>
      <c r="K305" s="65">
        <f>+'COMUNAS - HOME DELIVERY 2026'!K305*1.1</f>
        <v>10691.313600000001</v>
      </c>
      <c r="L305" s="65">
        <f>+'COMUNAS - HOME DELIVERY 2026'!L305*1.1</f>
        <v>12079.663200000001</v>
      </c>
      <c r="M305" s="66">
        <f>+'COMUNAS - HOME DELIVERY 2026'!M305*1.1</f>
        <v>635.7120000000001</v>
      </c>
      <c r="N305" s="67">
        <f>+'COMUNAS - HOME DELIVERY 2026'!N305*1.1</f>
        <v>529.00320000000011</v>
      </c>
      <c r="O305" s="60"/>
      <c r="P305" s="2"/>
      <c r="Q305" s="2"/>
      <c r="R305" s="2"/>
      <c r="S305" s="2"/>
      <c r="T305" s="2"/>
      <c r="U305" s="2"/>
      <c r="V305" s="2"/>
      <c r="W305" s="2"/>
      <c r="X305" s="2"/>
      <c r="Y305" s="38"/>
    </row>
    <row r="306" spans="2:25" ht="15.75" customHeight="1" x14ac:dyDescent="0.3">
      <c r="B306" s="2"/>
      <c r="C306" s="61" t="s">
        <v>621</v>
      </c>
      <c r="D306" s="62" t="s">
        <v>669</v>
      </c>
      <c r="E306" s="63" t="s">
        <v>670</v>
      </c>
      <c r="F306" s="64">
        <f>+'COMUNAS - HOME DELIVERY 2026'!F306*1.1</f>
        <v>5498.9088000000002</v>
      </c>
      <c r="G306" s="65">
        <f>+'COMUNAS - HOME DELIVERY 2026'!G306*1.1</f>
        <v>5868.9840000000013</v>
      </c>
      <c r="H306" s="65">
        <f>+'COMUNAS - HOME DELIVERY 2026'!H306*1.1</f>
        <v>6503.5608000000011</v>
      </c>
      <c r="I306" s="65">
        <f>+'COMUNAS - HOME DELIVERY 2026'!I306*1.1</f>
        <v>7272.0912000000008</v>
      </c>
      <c r="J306" s="65">
        <f>+'COMUNAS - HOME DELIVERY 2026'!J306*1.1</f>
        <v>9125.872800000001</v>
      </c>
      <c r="K306" s="65">
        <f>+'COMUNAS - HOME DELIVERY 2026'!K306*1.1</f>
        <v>10473.3552</v>
      </c>
      <c r="L306" s="65">
        <f>+'COMUNAS - HOME DELIVERY 2026'!L306*1.1</f>
        <v>11867.380800000001</v>
      </c>
      <c r="M306" s="66">
        <f>+'COMUNAS - HOME DELIVERY 2026'!M306*1.1</f>
        <v>637.9824000000001</v>
      </c>
      <c r="N306" s="67">
        <f>+'COMUNAS - HOME DELIVERY 2026'!N306*1.1</f>
        <v>518.78640000000007</v>
      </c>
      <c r="O306" s="60"/>
      <c r="P306" s="2"/>
      <c r="Q306" s="2"/>
      <c r="R306" s="2"/>
      <c r="S306" s="2"/>
      <c r="T306" s="2"/>
      <c r="U306" s="2"/>
      <c r="V306" s="2"/>
      <c r="W306" s="2"/>
      <c r="X306" s="2"/>
      <c r="Y306" s="38"/>
    </row>
    <row r="307" spans="2:25" ht="15.75" customHeight="1" x14ac:dyDescent="0.3">
      <c r="B307" s="2"/>
      <c r="C307" s="61" t="s">
        <v>621</v>
      </c>
      <c r="D307" s="62" t="s">
        <v>671</v>
      </c>
      <c r="E307" s="63" t="s">
        <v>672</v>
      </c>
      <c r="F307" s="64">
        <f>+'COMUNAS - HOME DELIVERY 2026'!F307*1.1</f>
        <v>5626.0512000000008</v>
      </c>
      <c r="G307" s="65">
        <f>+'COMUNAS - HOME DELIVERY 2026'!G307*1.1</f>
        <v>6006.3432000000003</v>
      </c>
      <c r="H307" s="65">
        <f>+'COMUNAS - HOME DELIVERY 2026'!H307*1.1</f>
        <v>6655.6776000000009</v>
      </c>
      <c r="I307" s="65">
        <f>+'COMUNAS - HOME DELIVERY 2026'!I307*1.1</f>
        <v>7366.3128000000006</v>
      </c>
      <c r="J307" s="65">
        <f>+'COMUNAS - HOME DELIVERY 2026'!J307*1.1</f>
        <v>9368.8055999999997</v>
      </c>
      <c r="K307" s="65">
        <f>+'COMUNAS - HOME DELIVERY 2026'!K307*1.1</f>
        <v>10691.313600000001</v>
      </c>
      <c r="L307" s="65">
        <f>+'COMUNAS - HOME DELIVERY 2026'!L307*1.1</f>
        <v>12079.663200000001</v>
      </c>
      <c r="M307" s="66">
        <f>+'COMUNAS - HOME DELIVERY 2026'!M307*1.1</f>
        <v>635.7120000000001</v>
      </c>
      <c r="N307" s="67">
        <f>+'COMUNAS - HOME DELIVERY 2026'!N307*1.1</f>
        <v>529.00320000000011</v>
      </c>
      <c r="O307" s="60"/>
      <c r="P307" s="2"/>
      <c r="Q307" s="2"/>
      <c r="R307" s="2"/>
      <c r="S307" s="2"/>
      <c r="T307" s="2"/>
      <c r="U307" s="2"/>
      <c r="V307" s="2"/>
      <c r="W307" s="2"/>
      <c r="X307" s="2"/>
      <c r="Y307" s="38"/>
    </row>
    <row r="308" spans="2:25" ht="15.75" customHeight="1" x14ac:dyDescent="0.3">
      <c r="B308" s="2"/>
      <c r="C308" s="61" t="s">
        <v>621</v>
      </c>
      <c r="D308" s="62" t="s">
        <v>673</v>
      </c>
      <c r="E308" s="63" t="s">
        <v>674</v>
      </c>
      <c r="F308" s="64">
        <f>+'COMUNAS - HOME DELIVERY 2026'!F308*1.1</f>
        <v>9217.256400000002</v>
      </c>
      <c r="G308" s="65">
        <f>+'COMUNAS - HOME DELIVERY 2026'!G308*1.1</f>
        <v>10288.3176</v>
      </c>
      <c r="H308" s="65">
        <f>+'COMUNAS - HOME DELIVERY 2026'!H308*1.1</f>
        <v>11490.494400000001</v>
      </c>
      <c r="I308" s="65">
        <f>+'COMUNAS - HOME DELIVERY 2026'!I308*1.1</f>
        <v>13695.620400000002</v>
      </c>
      <c r="J308" s="65">
        <f>+'COMUNAS - HOME DELIVERY 2026'!J308*1.1</f>
        <v>15970.561200000002</v>
      </c>
      <c r="K308" s="65">
        <f>+'COMUNAS - HOME DELIVERY 2026'!K308*1.1</f>
        <v>19078.171200000004</v>
      </c>
      <c r="L308" s="65">
        <f>+'COMUNAS - HOME DELIVERY 2026'!L308*1.1</f>
        <v>21400.790400000002</v>
      </c>
      <c r="M308" s="66">
        <f>+'COMUNAS - HOME DELIVERY 2026'!M308*1.1</f>
        <v>982.51560000000006</v>
      </c>
      <c r="N308" s="67">
        <f>+'COMUNAS - HOME DELIVERY 2026'!N308*1.1</f>
        <v>802.01880000000017</v>
      </c>
      <c r="O308" s="60"/>
      <c r="P308" s="2"/>
      <c r="Q308" s="2"/>
      <c r="R308" s="2"/>
      <c r="S308" s="2"/>
      <c r="T308" s="2"/>
      <c r="U308" s="2"/>
      <c r="V308" s="2"/>
      <c r="W308" s="2"/>
      <c r="X308" s="2"/>
      <c r="Y308" s="38"/>
    </row>
    <row r="309" spans="2:25" ht="15.75" customHeight="1" x14ac:dyDescent="0.3">
      <c r="B309" s="2"/>
      <c r="C309" s="61" t="s">
        <v>621</v>
      </c>
      <c r="D309" s="62" t="s">
        <v>675</v>
      </c>
      <c r="E309" s="63" t="s">
        <v>676</v>
      </c>
      <c r="F309" s="64">
        <f>+'COMUNAS - HOME DELIVERY 2026'!F309*1.1</f>
        <v>5626.0512000000008</v>
      </c>
      <c r="G309" s="65">
        <f>+'COMUNAS - HOME DELIVERY 2026'!G309*1.1</f>
        <v>6006.3432000000003</v>
      </c>
      <c r="H309" s="65">
        <f>+'COMUNAS - HOME DELIVERY 2026'!H309*1.1</f>
        <v>6655.6776000000009</v>
      </c>
      <c r="I309" s="65">
        <f>+'COMUNAS - HOME DELIVERY 2026'!I309*1.1</f>
        <v>7366.3128000000006</v>
      </c>
      <c r="J309" s="65">
        <f>+'COMUNAS - HOME DELIVERY 2026'!J309*1.1</f>
        <v>9368.8055999999997</v>
      </c>
      <c r="K309" s="65">
        <f>+'COMUNAS - HOME DELIVERY 2026'!K309*1.1</f>
        <v>10691.313600000001</v>
      </c>
      <c r="L309" s="65">
        <f>+'COMUNAS - HOME DELIVERY 2026'!L309*1.1</f>
        <v>12079.663200000001</v>
      </c>
      <c r="M309" s="66">
        <f>+'COMUNAS - HOME DELIVERY 2026'!M309*1.1</f>
        <v>635.7120000000001</v>
      </c>
      <c r="N309" s="67">
        <f>+'COMUNAS - HOME DELIVERY 2026'!N309*1.1</f>
        <v>529.00320000000011</v>
      </c>
      <c r="O309" s="60"/>
      <c r="P309" s="2"/>
      <c r="Q309" s="2"/>
      <c r="R309" s="2"/>
      <c r="S309" s="2"/>
      <c r="T309" s="2"/>
      <c r="U309" s="2"/>
      <c r="V309" s="2"/>
      <c r="W309" s="2"/>
      <c r="X309" s="2"/>
      <c r="Y309" s="38"/>
    </row>
    <row r="310" spans="2:25" ht="15.75" customHeight="1" thickBot="1" x14ac:dyDescent="0.35">
      <c r="B310" s="2"/>
      <c r="C310" s="68" t="s">
        <v>621</v>
      </c>
      <c r="D310" s="69" t="s">
        <v>677</v>
      </c>
      <c r="E310" s="70" t="s">
        <v>678</v>
      </c>
      <c r="F310" s="71">
        <f>+'COMUNAS - HOME DELIVERY 2026'!F310*1.1</f>
        <v>5626.0512000000008</v>
      </c>
      <c r="G310" s="72">
        <f>+'COMUNAS - HOME DELIVERY 2026'!G310*1.1</f>
        <v>6006.3432000000003</v>
      </c>
      <c r="H310" s="72">
        <f>+'COMUNAS - HOME DELIVERY 2026'!H310*1.1</f>
        <v>6655.6776000000009</v>
      </c>
      <c r="I310" s="72">
        <f>+'COMUNAS - HOME DELIVERY 2026'!I310*1.1</f>
        <v>7366.3128000000006</v>
      </c>
      <c r="J310" s="72">
        <f>+'COMUNAS - HOME DELIVERY 2026'!J310*1.1</f>
        <v>9368.8055999999997</v>
      </c>
      <c r="K310" s="72">
        <f>+'COMUNAS - HOME DELIVERY 2026'!K310*1.1</f>
        <v>10691.313600000001</v>
      </c>
      <c r="L310" s="72">
        <f>+'COMUNAS - HOME DELIVERY 2026'!L310*1.1</f>
        <v>12079.663200000001</v>
      </c>
      <c r="M310" s="73">
        <f>+'COMUNAS - HOME DELIVERY 2026'!M310*1.1</f>
        <v>635.7120000000001</v>
      </c>
      <c r="N310" s="74">
        <f>+'COMUNAS - HOME DELIVERY 2026'!N310*1.1</f>
        <v>529.00320000000011</v>
      </c>
      <c r="O310" s="60"/>
      <c r="P310" s="2"/>
      <c r="Q310" s="2"/>
      <c r="R310" s="2"/>
      <c r="S310" s="2"/>
      <c r="T310" s="2"/>
      <c r="U310" s="2"/>
      <c r="V310" s="2"/>
      <c r="W310" s="2"/>
      <c r="X310" s="2"/>
      <c r="Y310" s="38"/>
    </row>
    <row r="311" spans="2:25" ht="18" thickBot="1" x14ac:dyDescent="0.35">
      <c r="B311" s="2"/>
      <c r="C311" s="210" t="s">
        <v>65</v>
      </c>
      <c r="D311" s="211"/>
      <c r="E311" s="128"/>
      <c r="F311" s="128"/>
      <c r="G311" s="128"/>
      <c r="H311" s="128"/>
      <c r="I311" s="128"/>
      <c r="J311" s="128"/>
      <c r="K311" s="128"/>
      <c r="L311" s="128"/>
      <c r="M311" s="156"/>
      <c r="N311" s="15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38"/>
    </row>
    <row r="312" spans="2:25" ht="15.75" customHeight="1" thickBot="1" x14ac:dyDescent="0.35">
      <c r="B312" s="2"/>
      <c r="C312" s="84" t="s">
        <v>70</v>
      </c>
      <c r="D312" s="85" t="s">
        <v>71</v>
      </c>
      <c r="E312" s="48" t="s">
        <v>72</v>
      </c>
      <c r="F312" s="48" t="s">
        <v>10</v>
      </c>
      <c r="G312" s="48" t="s">
        <v>11</v>
      </c>
      <c r="H312" s="48" t="s">
        <v>12</v>
      </c>
      <c r="I312" s="49" t="s">
        <v>13</v>
      </c>
      <c r="J312" s="49" t="s">
        <v>14</v>
      </c>
      <c r="K312" s="50" t="s">
        <v>15</v>
      </c>
      <c r="L312" s="50" t="s">
        <v>16</v>
      </c>
      <c r="M312" s="48" t="s">
        <v>17</v>
      </c>
      <c r="N312" s="51" t="s">
        <v>18</v>
      </c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38"/>
    </row>
    <row r="313" spans="2:25" ht="15.75" customHeight="1" x14ac:dyDescent="0.3">
      <c r="B313" s="2"/>
      <c r="C313" s="53" t="s">
        <v>679</v>
      </c>
      <c r="D313" s="54" t="s">
        <v>680</v>
      </c>
      <c r="E313" s="55" t="s">
        <v>57</v>
      </c>
      <c r="F313" s="56">
        <f>+'COMUNAS - HOME DELIVERY 2026'!F313*1.1</f>
        <v>6923.5848000000015</v>
      </c>
      <c r="G313" s="57">
        <f>+'COMUNAS - HOME DELIVERY 2026'!G313*1.1</f>
        <v>8160.9528</v>
      </c>
      <c r="H313" s="57">
        <f>+'COMUNAS - HOME DELIVERY 2026'!H313*1.1</f>
        <v>9879.6456000000017</v>
      </c>
      <c r="I313" s="57">
        <f>+'COMUNAS - HOME DELIVERY 2026'!I313*1.1</f>
        <v>11685.748800000001</v>
      </c>
      <c r="J313" s="57">
        <f>+'COMUNAS - HOME DELIVERY 2026'!J313*1.1</f>
        <v>19485.707999999999</v>
      </c>
      <c r="K313" s="57">
        <f>+'COMUNAS - HOME DELIVERY 2026'!K313*1.1</f>
        <v>30574.341600000003</v>
      </c>
      <c r="L313" s="57">
        <f>+'COMUNAS - HOME DELIVERY 2026'!L313*1.1</f>
        <v>35847.345600000001</v>
      </c>
      <c r="M313" s="58">
        <f>+'COMUNAS - HOME DELIVERY 2026'!M313*1.1</f>
        <v>1769.7768000000003</v>
      </c>
      <c r="N313" s="59">
        <f>+'COMUNAS - HOME DELIVERY 2026'!N313*1.1</f>
        <v>1708.4760000000003</v>
      </c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38"/>
    </row>
    <row r="314" spans="2:25" ht="15.75" customHeight="1" x14ac:dyDescent="0.3">
      <c r="B314" s="2"/>
      <c r="C314" s="61" t="s">
        <v>679</v>
      </c>
      <c r="D314" s="62" t="s">
        <v>681</v>
      </c>
      <c r="E314" s="63" t="s">
        <v>682</v>
      </c>
      <c r="F314" s="64">
        <f>+'COMUNAS - HOME DELIVERY 2026'!F314*1.1</f>
        <v>27413.377200000003</v>
      </c>
      <c r="G314" s="65">
        <f>+'COMUNAS - HOME DELIVERY 2026'!G314*1.1</f>
        <v>29269.429200000002</v>
      </c>
      <c r="H314" s="65">
        <f>+'COMUNAS - HOME DELIVERY 2026'!H314*1.1</f>
        <v>31847.468400000005</v>
      </c>
      <c r="I314" s="65">
        <f>+'COMUNAS - HOME DELIVERY 2026'!I314*1.1</f>
        <v>34556.623200000002</v>
      </c>
      <c r="J314" s="65">
        <f>+'COMUNAS - HOME DELIVERY 2026'!J314*1.1</f>
        <v>46256.562000000005</v>
      </c>
      <c r="K314" s="65">
        <f>+'COMUNAS - HOME DELIVERY 2026'!K314*1.1</f>
        <v>62889.512400000007</v>
      </c>
      <c r="L314" s="65">
        <f>+'COMUNAS - HOME DELIVERY 2026'!L314*1.1</f>
        <v>70799.018400000001</v>
      </c>
      <c r="M314" s="66">
        <f>+'COMUNAS - HOME DELIVERY 2026'!M314*1.1</f>
        <v>2654.6651999999999</v>
      </c>
      <c r="N314" s="67">
        <f>+'COMUNAS - HOME DELIVERY 2026'!N314*1.1</f>
        <v>2562.7140000000004</v>
      </c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38"/>
    </row>
    <row r="315" spans="2:25" ht="15.75" customHeight="1" x14ac:dyDescent="0.3">
      <c r="B315" s="2"/>
      <c r="C315" s="61" t="s">
        <v>679</v>
      </c>
      <c r="D315" s="62" t="s">
        <v>683</v>
      </c>
      <c r="E315" s="63" t="s">
        <v>684</v>
      </c>
      <c r="F315" s="64">
        <f>+'COMUNAS - HOME DELIVERY 2026'!F315*1.1</f>
        <v>27413.377200000003</v>
      </c>
      <c r="G315" s="65">
        <f>+'COMUNAS - HOME DELIVERY 2026'!G315*1.1</f>
        <v>29269.429200000002</v>
      </c>
      <c r="H315" s="65">
        <f>+'COMUNAS - HOME DELIVERY 2026'!H315*1.1</f>
        <v>31847.468400000005</v>
      </c>
      <c r="I315" s="65">
        <f>+'COMUNAS - HOME DELIVERY 2026'!I315*1.1</f>
        <v>34556.623200000002</v>
      </c>
      <c r="J315" s="65">
        <f>+'COMUNAS - HOME DELIVERY 2026'!J315*1.1</f>
        <v>46256.562000000005</v>
      </c>
      <c r="K315" s="65">
        <f>+'COMUNAS - HOME DELIVERY 2026'!K315*1.1</f>
        <v>62889.512400000007</v>
      </c>
      <c r="L315" s="65">
        <f>+'COMUNAS - HOME DELIVERY 2026'!L315*1.1</f>
        <v>70799.018400000001</v>
      </c>
      <c r="M315" s="66">
        <f>+'COMUNAS - HOME DELIVERY 2026'!M315*1.1</f>
        <v>2654.6651999999999</v>
      </c>
      <c r="N315" s="67">
        <f>+'COMUNAS - HOME DELIVERY 2026'!N315*1.1</f>
        <v>2562.7140000000004</v>
      </c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38"/>
    </row>
    <row r="316" spans="2:25" ht="15.75" customHeight="1" thickBot="1" x14ac:dyDescent="0.35">
      <c r="B316" s="2"/>
      <c r="C316" s="68" t="s">
        <v>679</v>
      </c>
      <c r="D316" s="69" t="s">
        <v>685</v>
      </c>
      <c r="E316" s="70" t="s">
        <v>686</v>
      </c>
      <c r="F316" s="71">
        <f>+'COMUNAS - HOME DELIVERY 2026'!F316*1.1</f>
        <v>27413.377200000003</v>
      </c>
      <c r="G316" s="72">
        <f>+'COMUNAS - HOME DELIVERY 2026'!G316*1.1</f>
        <v>29269.429200000002</v>
      </c>
      <c r="H316" s="72">
        <f>+'COMUNAS - HOME DELIVERY 2026'!H316*1.1</f>
        <v>31847.468400000005</v>
      </c>
      <c r="I316" s="72">
        <f>+'COMUNAS - HOME DELIVERY 2026'!I316*1.1</f>
        <v>34556.623200000002</v>
      </c>
      <c r="J316" s="72">
        <f>+'COMUNAS - HOME DELIVERY 2026'!J316*1.1</f>
        <v>46256.562000000005</v>
      </c>
      <c r="K316" s="72">
        <f>+'COMUNAS - HOME DELIVERY 2026'!K316*1.1</f>
        <v>62889.512400000007</v>
      </c>
      <c r="L316" s="72">
        <f>+'COMUNAS - HOME DELIVERY 2026'!L316*1.1</f>
        <v>70799.018400000001</v>
      </c>
      <c r="M316" s="73">
        <f>+'COMUNAS - HOME DELIVERY 2026'!M316*1.1</f>
        <v>2654.6651999999999</v>
      </c>
      <c r="N316" s="74">
        <f>+'COMUNAS - HOME DELIVERY 2026'!N316*1.1</f>
        <v>2562.7140000000004</v>
      </c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38"/>
    </row>
    <row r="317" spans="2:25" ht="15.75" customHeight="1" x14ac:dyDescent="0.3">
      <c r="B317" s="2"/>
      <c r="C317" s="53" t="s">
        <v>687</v>
      </c>
      <c r="D317" s="54" t="s">
        <v>688</v>
      </c>
      <c r="E317" s="55" t="s">
        <v>58</v>
      </c>
      <c r="F317" s="56">
        <f>+'COMUNAS - HOME DELIVERY 2026'!F317*1.1</f>
        <v>6471.7752</v>
      </c>
      <c r="G317" s="57">
        <f>+'COMUNAS - HOME DELIVERY 2026'!G317*1.1</f>
        <v>7627.4088000000002</v>
      </c>
      <c r="H317" s="57">
        <f>+'COMUNAS - HOME DELIVERY 2026'!H317*1.1</f>
        <v>9234.8520000000008</v>
      </c>
      <c r="I317" s="57">
        <f>+'COMUNAS - HOME DELIVERY 2026'!I317*1.1</f>
        <v>10920.624000000002</v>
      </c>
      <c r="J317" s="57">
        <f>+'COMUNAS - HOME DELIVERY 2026'!J317*1.1</f>
        <v>18209.743200000004</v>
      </c>
      <c r="K317" s="57">
        <f>+'COMUNAS - HOME DELIVERY 2026'!K317*1.1</f>
        <v>28577.524800000003</v>
      </c>
      <c r="L317" s="57">
        <f>+'COMUNAS - HOME DELIVERY 2026'!L317*1.1</f>
        <v>33729.062400000003</v>
      </c>
      <c r="M317" s="58">
        <f>+'COMUNAS - HOME DELIVERY 2026'!M317*1.1</f>
        <v>1716.4224000000002</v>
      </c>
      <c r="N317" s="59">
        <f>+'COMUNAS - HOME DELIVERY 2026'!N317*1.1</f>
        <v>1614.2544000000003</v>
      </c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38"/>
    </row>
    <row r="318" spans="2:25" ht="15.75" customHeight="1" x14ac:dyDescent="0.3">
      <c r="B318" s="2"/>
      <c r="C318" s="61" t="s">
        <v>687</v>
      </c>
      <c r="D318" s="62" t="s">
        <v>689</v>
      </c>
      <c r="E318" s="63" t="s">
        <v>690</v>
      </c>
      <c r="F318" s="64">
        <f>+'COMUNAS - HOME DELIVERY 2026'!F318*1.1</f>
        <v>6471.7752</v>
      </c>
      <c r="G318" s="65">
        <f>+'COMUNAS - HOME DELIVERY 2026'!G318*1.1</f>
        <v>7627.4088000000002</v>
      </c>
      <c r="H318" s="65">
        <f>+'COMUNAS - HOME DELIVERY 2026'!H318*1.1</f>
        <v>9234.8520000000008</v>
      </c>
      <c r="I318" s="65">
        <f>+'COMUNAS - HOME DELIVERY 2026'!I318*1.1</f>
        <v>10920.624000000002</v>
      </c>
      <c r="J318" s="65">
        <f>+'COMUNAS - HOME DELIVERY 2026'!J318*1.1</f>
        <v>18209.743200000004</v>
      </c>
      <c r="K318" s="65">
        <f>+'COMUNAS - HOME DELIVERY 2026'!K318*1.1</f>
        <v>28577.524800000003</v>
      </c>
      <c r="L318" s="65">
        <f>+'COMUNAS - HOME DELIVERY 2026'!L318*1.1</f>
        <v>33729.062400000003</v>
      </c>
      <c r="M318" s="66">
        <f>+'COMUNAS - HOME DELIVERY 2026'!M318*1.1</f>
        <v>1716.4224000000002</v>
      </c>
      <c r="N318" s="67">
        <f>+'COMUNAS - HOME DELIVERY 2026'!N318*1.1</f>
        <v>1614.2544000000003</v>
      </c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38"/>
    </row>
    <row r="319" spans="2:25" ht="15.75" customHeight="1" x14ac:dyDescent="0.3">
      <c r="B319" s="2"/>
      <c r="C319" s="61" t="s">
        <v>687</v>
      </c>
      <c r="D319" s="62" t="s">
        <v>691</v>
      </c>
      <c r="E319" s="63" t="s">
        <v>692</v>
      </c>
      <c r="F319" s="64">
        <f>+'COMUNAS - HOME DELIVERY 2026'!F319*1.1</f>
        <v>26735.662800000002</v>
      </c>
      <c r="G319" s="65">
        <f>+'COMUNAS - HOME DELIVERY 2026'!G319*1.1</f>
        <v>28469.113200000003</v>
      </c>
      <c r="H319" s="65">
        <f>+'COMUNAS - HOME DELIVERY 2026'!H319*1.1</f>
        <v>30880.278000000002</v>
      </c>
      <c r="I319" s="65">
        <f>+'COMUNAS - HOME DELIVERY 2026'!I319*1.1</f>
        <v>33408.936000000002</v>
      </c>
      <c r="J319" s="65">
        <f>+'COMUNAS - HOME DELIVERY 2026'!J319*1.1</f>
        <v>44342.614800000003</v>
      </c>
      <c r="K319" s="65">
        <f>+'COMUNAS - HOME DELIVERY 2026'!K319*1.1</f>
        <v>59894.287200000006</v>
      </c>
      <c r="L319" s="65">
        <f>+'COMUNAS - HOME DELIVERY 2026'!L319*1.1</f>
        <v>67621.593600000007</v>
      </c>
      <c r="M319" s="66">
        <f>+'COMUNAS - HOME DELIVERY 2026'!M319*1.1</f>
        <v>2574.6336000000001</v>
      </c>
      <c r="N319" s="67">
        <f>+'COMUNAS - HOME DELIVERY 2026'!N319*1.1</f>
        <v>2421.3816000000002</v>
      </c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38"/>
    </row>
    <row r="320" spans="2:25" ht="15.75" customHeight="1" x14ac:dyDescent="0.3">
      <c r="B320" s="2"/>
      <c r="C320" s="61" t="s">
        <v>687</v>
      </c>
      <c r="D320" s="62" t="s">
        <v>693</v>
      </c>
      <c r="E320" s="63" t="s">
        <v>694</v>
      </c>
      <c r="F320" s="64">
        <f>+'COMUNAS - HOME DELIVERY 2026'!F320*1.1</f>
        <v>26735.662800000002</v>
      </c>
      <c r="G320" s="65">
        <f>+'COMUNAS - HOME DELIVERY 2026'!G320*1.1</f>
        <v>28469.113200000003</v>
      </c>
      <c r="H320" s="65">
        <f>+'COMUNAS - HOME DELIVERY 2026'!H320*1.1</f>
        <v>30880.278000000002</v>
      </c>
      <c r="I320" s="65">
        <f>+'COMUNAS - HOME DELIVERY 2026'!I320*1.1</f>
        <v>33408.936000000002</v>
      </c>
      <c r="J320" s="65">
        <f>+'COMUNAS - HOME DELIVERY 2026'!J320*1.1</f>
        <v>44342.614800000003</v>
      </c>
      <c r="K320" s="65">
        <f>+'COMUNAS - HOME DELIVERY 2026'!K320*1.1</f>
        <v>59894.287200000006</v>
      </c>
      <c r="L320" s="65">
        <f>+'COMUNAS - HOME DELIVERY 2026'!L320*1.1</f>
        <v>67621.593600000007</v>
      </c>
      <c r="M320" s="66">
        <f>+'COMUNAS - HOME DELIVERY 2026'!M320*1.1</f>
        <v>2574.6336000000001</v>
      </c>
      <c r="N320" s="67">
        <f>+'COMUNAS - HOME DELIVERY 2026'!N320*1.1</f>
        <v>2421.3816000000002</v>
      </c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38"/>
    </row>
    <row r="321" spans="2:25" ht="15.75" customHeight="1" x14ac:dyDescent="0.3">
      <c r="B321" s="2"/>
      <c r="C321" s="61" t="s">
        <v>687</v>
      </c>
      <c r="D321" s="62" t="s">
        <v>695</v>
      </c>
      <c r="E321" s="63" t="s">
        <v>696</v>
      </c>
      <c r="F321" s="64">
        <f>+'COMUNAS - HOME DELIVERY 2026'!F321*1.1</f>
        <v>9707.6628000000019</v>
      </c>
      <c r="G321" s="65">
        <f>+'COMUNAS - HOME DELIVERY 2026'!G321*1.1</f>
        <v>11441.113200000002</v>
      </c>
      <c r="H321" s="65">
        <f>+'COMUNAS - HOME DELIVERY 2026'!H321*1.1</f>
        <v>13852.278</v>
      </c>
      <c r="I321" s="65">
        <f>+'COMUNAS - HOME DELIVERY 2026'!I321*1.1</f>
        <v>16380.936000000002</v>
      </c>
      <c r="J321" s="65">
        <f>+'COMUNAS - HOME DELIVERY 2026'!J321*1.1</f>
        <v>27314.614800000003</v>
      </c>
      <c r="K321" s="65">
        <f>+'COMUNAS - HOME DELIVERY 2026'!K321*1.1</f>
        <v>42866.287199999999</v>
      </c>
      <c r="L321" s="65">
        <f>+'COMUNAS - HOME DELIVERY 2026'!L321*1.1</f>
        <v>50593.5936</v>
      </c>
      <c r="M321" s="66">
        <f>+'COMUNAS - HOME DELIVERY 2026'!M321*1.1</f>
        <v>2574.6336000000001</v>
      </c>
      <c r="N321" s="67">
        <f>+'COMUNAS - HOME DELIVERY 2026'!N321*1.1</f>
        <v>2421.3816000000002</v>
      </c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38"/>
    </row>
    <row r="322" spans="2:25" ht="15.75" customHeight="1" x14ac:dyDescent="0.3">
      <c r="B322" s="2"/>
      <c r="C322" s="61" t="s">
        <v>687</v>
      </c>
      <c r="D322" s="62" t="s">
        <v>697</v>
      </c>
      <c r="E322" s="63" t="s">
        <v>698</v>
      </c>
      <c r="F322" s="64">
        <f>+'COMUNAS - HOME DELIVERY 2026'!F322*1.1</f>
        <v>9707.6628000000019</v>
      </c>
      <c r="G322" s="65">
        <f>+'COMUNAS - HOME DELIVERY 2026'!G322*1.1</f>
        <v>11441.113200000002</v>
      </c>
      <c r="H322" s="65">
        <f>+'COMUNAS - HOME DELIVERY 2026'!H322*1.1</f>
        <v>13852.278</v>
      </c>
      <c r="I322" s="65">
        <f>+'COMUNAS - HOME DELIVERY 2026'!I322*1.1</f>
        <v>16380.936000000002</v>
      </c>
      <c r="J322" s="65">
        <f>+'COMUNAS - HOME DELIVERY 2026'!J322*1.1</f>
        <v>27314.614800000003</v>
      </c>
      <c r="K322" s="65">
        <f>+'COMUNAS - HOME DELIVERY 2026'!K322*1.1</f>
        <v>42866.287199999999</v>
      </c>
      <c r="L322" s="65">
        <f>+'COMUNAS - HOME DELIVERY 2026'!L322*1.1</f>
        <v>50593.5936</v>
      </c>
      <c r="M322" s="66">
        <f>+'COMUNAS - HOME DELIVERY 2026'!M322*1.1</f>
        <v>2574.6336000000001</v>
      </c>
      <c r="N322" s="67">
        <f>+'COMUNAS - HOME DELIVERY 2026'!N322*1.1</f>
        <v>2421.3816000000002</v>
      </c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38"/>
    </row>
    <row r="323" spans="2:25" ht="15.75" customHeight="1" thickBot="1" x14ac:dyDescent="0.35">
      <c r="B323" s="2"/>
      <c r="C323" s="68" t="s">
        <v>687</v>
      </c>
      <c r="D323" s="69" t="s">
        <v>699</v>
      </c>
      <c r="E323" s="70" t="s">
        <v>700</v>
      </c>
      <c r="F323" s="71">
        <f>+'COMUNAS - HOME DELIVERY 2026'!F323*1.1</f>
        <v>9707.6628000000019</v>
      </c>
      <c r="G323" s="72">
        <f>+'COMUNAS - HOME DELIVERY 2026'!G323*1.1</f>
        <v>11441.113200000002</v>
      </c>
      <c r="H323" s="72">
        <f>+'COMUNAS - HOME DELIVERY 2026'!H323*1.1</f>
        <v>13852.278</v>
      </c>
      <c r="I323" s="72">
        <f>+'COMUNAS - HOME DELIVERY 2026'!I323*1.1</f>
        <v>16380.936000000002</v>
      </c>
      <c r="J323" s="72">
        <f>+'COMUNAS - HOME DELIVERY 2026'!J323*1.1</f>
        <v>27314.614800000003</v>
      </c>
      <c r="K323" s="72">
        <f>+'COMUNAS - HOME DELIVERY 2026'!K323*1.1</f>
        <v>42866.287199999999</v>
      </c>
      <c r="L323" s="72">
        <f>+'COMUNAS - HOME DELIVERY 2026'!L323*1.1</f>
        <v>50593.5936</v>
      </c>
      <c r="M323" s="73">
        <f>+'COMUNAS - HOME DELIVERY 2026'!M323*1.1</f>
        <v>2574.6336000000001</v>
      </c>
      <c r="N323" s="74">
        <f>+'COMUNAS - HOME DELIVERY 2026'!N323*1.1</f>
        <v>2421.3816000000002</v>
      </c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38"/>
    </row>
    <row r="324" spans="2:25" ht="15.75" customHeight="1" x14ac:dyDescent="0.3">
      <c r="B324" s="2"/>
      <c r="C324" s="53" t="s">
        <v>701</v>
      </c>
      <c r="D324" s="54" t="s">
        <v>702</v>
      </c>
      <c r="E324" s="55" t="s">
        <v>60</v>
      </c>
      <c r="F324" s="56">
        <f>+'COMUNAS - HOME DELIVERY 2026'!F324*1.1</f>
        <v>6262.8984</v>
      </c>
      <c r="G324" s="57">
        <f>+'COMUNAS - HOME DELIVERY 2026'!G324*1.1</f>
        <v>7243.7112000000006</v>
      </c>
      <c r="H324" s="57">
        <f>+'COMUNAS - HOME DELIVERY 2026'!H324*1.1</f>
        <v>8772.8256000000001</v>
      </c>
      <c r="I324" s="57">
        <f>+'COMUNAS - HOME DELIVERY 2026'!I324*1.1</f>
        <v>10374.5928</v>
      </c>
      <c r="J324" s="57">
        <f>+'COMUNAS - HOME DELIVERY 2026'!J324*1.1</f>
        <v>17300.448</v>
      </c>
      <c r="K324" s="57">
        <f>+'COMUNAS - HOME DELIVERY 2026'!K324*1.1</f>
        <v>27147.1728</v>
      </c>
      <c r="L324" s="57">
        <f>+'COMUNAS - HOME DELIVERY 2026'!L324*1.1</f>
        <v>32121.619200000005</v>
      </c>
      <c r="M324" s="58">
        <f>+'COMUNAS - HOME DELIVERY 2026'!M324*1.1</f>
        <v>1638.0936000000002</v>
      </c>
      <c r="N324" s="59">
        <f>+'COMUNAS - HOME DELIVERY 2026'!N324*1.1</f>
        <v>1527.9792000000002</v>
      </c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38"/>
    </row>
    <row r="325" spans="2:25" ht="15.75" customHeight="1" x14ac:dyDescent="0.3">
      <c r="B325" s="2"/>
      <c r="C325" s="61" t="s">
        <v>701</v>
      </c>
      <c r="D325" s="62" t="s">
        <v>703</v>
      </c>
      <c r="E325" s="63" t="s">
        <v>59</v>
      </c>
      <c r="F325" s="64">
        <f>+'COMUNAS - HOME DELIVERY 2026'!F325*1.1</f>
        <v>6471.7752</v>
      </c>
      <c r="G325" s="65">
        <f>+'COMUNAS - HOME DELIVERY 2026'!G325*1.1</f>
        <v>7627.4088000000002</v>
      </c>
      <c r="H325" s="65">
        <f>+'COMUNAS - HOME DELIVERY 2026'!H325*1.1</f>
        <v>9234.8520000000008</v>
      </c>
      <c r="I325" s="65">
        <f>+'COMUNAS - HOME DELIVERY 2026'!I325*1.1</f>
        <v>10920.624000000002</v>
      </c>
      <c r="J325" s="65">
        <f>+'COMUNAS - HOME DELIVERY 2026'!J325*1.1</f>
        <v>18209.743200000004</v>
      </c>
      <c r="K325" s="65">
        <f>+'COMUNAS - HOME DELIVERY 2026'!K325*1.1</f>
        <v>28577.524800000003</v>
      </c>
      <c r="L325" s="65">
        <f>+'COMUNAS - HOME DELIVERY 2026'!L325*1.1</f>
        <v>33729.062400000003</v>
      </c>
      <c r="M325" s="66">
        <f>+'COMUNAS - HOME DELIVERY 2026'!M325*1.1</f>
        <v>1716.4224000000002</v>
      </c>
      <c r="N325" s="67">
        <f>+'COMUNAS - HOME DELIVERY 2026'!N325*1.1</f>
        <v>1614.2544000000003</v>
      </c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38"/>
    </row>
    <row r="326" spans="2:25" ht="15.75" customHeight="1" x14ac:dyDescent="0.3">
      <c r="B326" s="2"/>
      <c r="C326" s="61" t="s">
        <v>701</v>
      </c>
      <c r="D326" s="62" t="s">
        <v>704</v>
      </c>
      <c r="E326" s="63" t="s">
        <v>705</v>
      </c>
      <c r="F326" s="64">
        <f>+'COMUNAS - HOME DELIVERY 2026'!F326*1.1</f>
        <v>9394.347600000001</v>
      </c>
      <c r="G326" s="65">
        <f>+'COMUNAS - HOME DELIVERY 2026'!G326*1.1</f>
        <v>10865.566800000001</v>
      </c>
      <c r="H326" s="65">
        <f>+'COMUNAS - HOME DELIVERY 2026'!H326*1.1</f>
        <v>13159.2384</v>
      </c>
      <c r="I326" s="65">
        <f>+'COMUNAS - HOME DELIVERY 2026'!I326*1.1</f>
        <v>15561.889200000001</v>
      </c>
      <c r="J326" s="65">
        <f>+'COMUNAS - HOME DELIVERY 2026'!J326*1.1</f>
        <v>25950.672000000002</v>
      </c>
      <c r="K326" s="65">
        <f>+'COMUNAS - HOME DELIVERY 2026'!K326*1.1</f>
        <v>40720.759200000008</v>
      </c>
      <c r="L326" s="65">
        <f>+'COMUNAS - HOME DELIVERY 2026'!L326*1.1</f>
        <v>48182.428800000002</v>
      </c>
      <c r="M326" s="66">
        <f>+'COMUNAS - HOME DELIVERY 2026'!M326*1.1</f>
        <v>2457.1404000000002</v>
      </c>
      <c r="N326" s="67">
        <f>+'COMUNAS - HOME DELIVERY 2026'!N326*1.1</f>
        <v>2291.9688000000006</v>
      </c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38"/>
    </row>
    <row r="327" spans="2:25" ht="15.75" customHeight="1" x14ac:dyDescent="0.3">
      <c r="B327" s="2"/>
      <c r="C327" s="61" t="s">
        <v>701</v>
      </c>
      <c r="D327" s="62" t="s">
        <v>706</v>
      </c>
      <c r="E327" s="63" t="s">
        <v>707</v>
      </c>
      <c r="F327" s="64">
        <f>+'COMUNAS - HOME DELIVERY 2026'!F327*1.1</f>
        <v>9394.347600000001</v>
      </c>
      <c r="G327" s="65">
        <f>+'COMUNAS - HOME DELIVERY 2026'!G327*1.1</f>
        <v>10865.566800000001</v>
      </c>
      <c r="H327" s="65">
        <f>+'COMUNAS - HOME DELIVERY 2026'!H327*1.1</f>
        <v>13159.2384</v>
      </c>
      <c r="I327" s="65">
        <f>+'COMUNAS - HOME DELIVERY 2026'!I327*1.1</f>
        <v>15561.889200000001</v>
      </c>
      <c r="J327" s="65">
        <f>+'COMUNAS - HOME DELIVERY 2026'!J327*1.1</f>
        <v>25950.672000000002</v>
      </c>
      <c r="K327" s="65">
        <f>+'COMUNAS - HOME DELIVERY 2026'!K327*1.1</f>
        <v>40720.759200000008</v>
      </c>
      <c r="L327" s="65">
        <f>+'COMUNAS - HOME DELIVERY 2026'!L327*1.1</f>
        <v>48182.428800000002</v>
      </c>
      <c r="M327" s="66">
        <f>+'COMUNAS - HOME DELIVERY 2026'!M327*1.1</f>
        <v>2457.1404000000002</v>
      </c>
      <c r="N327" s="67">
        <f>+'COMUNAS - HOME DELIVERY 2026'!N327*1.1</f>
        <v>2291.9688000000006</v>
      </c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38"/>
    </row>
    <row r="328" spans="2:25" ht="15.75" customHeight="1" x14ac:dyDescent="0.3">
      <c r="B328" s="2"/>
      <c r="C328" s="61" t="s">
        <v>701</v>
      </c>
      <c r="D328" s="62" t="s">
        <v>708</v>
      </c>
      <c r="E328" s="63" t="s">
        <v>709</v>
      </c>
      <c r="F328" s="64">
        <f>+'COMUNAS - HOME DELIVERY 2026'!F328*1.1</f>
        <v>26735.662800000002</v>
      </c>
      <c r="G328" s="65">
        <f>+'COMUNAS - HOME DELIVERY 2026'!G328*1.1</f>
        <v>28469.113200000003</v>
      </c>
      <c r="H328" s="65">
        <f>+'COMUNAS - HOME DELIVERY 2026'!H328*1.1</f>
        <v>30880.278000000002</v>
      </c>
      <c r="I328" s="65">
        <f>+'COMUNAS - HOME DELIVERY 2026'!I328*1.1</f>
        <v>33408.936000000002</v>
      </c>
      <c r="J328" s="65">
        <f>+'COMUNAS - HOME DELIVERY 2026'!J328*1.1</f>
        <v>44342.614800000003</v>
      </c>
      <c r="K328" s="65">
        <f>+'COMUNAS - HOME DELIVERY 2026'!K328*1.1</f>
        <v>59894.287200000006</v>
      </c>
      <c r="L328" s="65">
        <f>+'COMUNAS - HOME DELIVERY 2026'!L328*1.1</f>
        <v>67621.593600000007</v>
      </c>
      <c r="M328" s="66">
        <f>+'COMUNAS - HOME DELIVERY 2026'!M328*1.1</f>
        <v>2574.6336000000001</v>
      </c>
      <c r="N328" s="67">
        <f>+'COMUNAS - HOME DELIVERY 2026'!N328*1.1</f>
        <v>2421.3816000000002</v>
      </c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38"/>
    </row>
    <row r="329" spans="2:25" ht="15.75" customHeight="1" x14ac:dyDescent="0.3">
      <c r="B329" s="2"/>
      <c r="C329" s="61" t="s">
        <v>701</v>
      </c>
      <c r="D329" s="62" t="s">
        <v>710</v>
      </c>
      <c r="E329" s="63" t="s">
        <v>711</v>
      </c>
      <c r="F329" s="64">
        <f>+'COMUNAS - HOME DELIVERY 2026'!F329*1.1</f>
        <v>9707.6628000000019</v>
      </c>
      <c r="G329" s="65">
        <f>+'COMUNAS - HOME DELIVERY 2026'!G329*1.1</f>
        <v>11441.113200000002</v>
      </c>
      <c r="H329" s="65">
        <f>+'COMUNAS - HOME DELIVERY 2026'!H329*1.1</f>
        <v>13852.278</v>
      </c>
      <c r="I329" s="65">
        <f>+'COMUNAS - HOME DELIVERY 2026'!I329*1.1</f>
        <v>16380.936000000002</v>
      </c>
      <c r="J329" s="65">
        <f>+'COMUNAS - HOME DELIVERY 2026'!J329*1.1</f>
        <v>27314.614800000003</v>
      </c>
      <c r="K329" s="65">
        <f>+'COMUNAS - HOME DELIVERY 2026'!K329*1.1</f>
        <v>42866.287199999999</v>
      </c>
      <c r="L329" s="65">
        <f>+'COMUNAS - HOME DELIVERY 2026'!L329*1.1</f>
        <v>50593.5936</v>
      </c>
      <c r="M329" s="66">
        <f>+'COMUNAS - HOME DELIVERY 2026'!M329*1.1</f>
        <v>2574.6336000000001</v>
      </c>
      <c r="N329" s="67">
        <f>+'COMUNAS - HOME DELIVERY 2026'!N329*1.1</f>
        <v>2421.3816000000002</v>
      </c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38"/>
    </row>
    <row r="330" spans="2:25" ht="15.75" customHeight="1" x14ac:dyDescent="0.3">
      <c r="B330" s="2"/>
      <c r="C330" s="61" t="s">
        <v>701</v>
      </c>
      <c r="D330" s="62" t="s">
        <v>712</v>
      </c>
      <c r="E330" s="63" t="s">
        <v>713</v>
      </c>
      <c r="F330" s="64">
        <f>+'COMUNAS - HOME DELIVERY 2026'!F330*1.1</f>
        <v>9707.6628000000019</v>
      </c>
      <c r="G330" s="65">
        <f>+'COMUNAS - HOME DELIVERY 2026'!G330*1.1</f>
        <v>11441.113200000002</v>
      </c>
      <c r="H330" s="65">
        <f>+'COMUNAS - HOME DELIVERY 2026'!H330*1.1</f>
        <v>13852.278</v>
      </c>
      <c r="I330" s="65">
        <f>+'COMUNAS - HOME DELIVERY 2026'!I330*1.1</f>
        <v>16380.936000000002</v>
      </c>
      <c r="J330" s="65">
        <f>+'COMUNAS - HOME DELIVERY 2026'!J330*1.1</f>
        <v>27314.614800000003</v>
      </c>
      <c r="K330" s="65">
        <f>+'COMUNAS - HOME DELIVERY 2026'!K330*1.1</f>
        <v>42866.287199999999</v>
      </c>
      <c r="L330" s="65">
        <f>+'COMUNAS - HOME DELIVERY 2026'!L330*1.1</f>
        <v>50593.5936</v>
      </c>
      <c r="M330" s="66">
        <f>+'COMUNAS - HOME DELIVERY 2026'!M330*1.1</f>
        <v>2574.6336000000001</v>
      </c>
      <c r="N330" s="67">
        <f>+'COMUNAS - HOME DELIVERY 2026'!N330*1.1</f>
        <v>2421.3816000000002</v>
      </c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38"/>
    </row>
    <row r="331" spans="2:25" ht="15.75" customHeight="1" x14ac:dyDescent="0.3">
      <c r="B331" s="2"/>
      <c r="C331" s="61" t="s">
        <v>701</v>
      </c>
      <c r="D331" s="62" t="s">
        <v>714</v>
      </c>
      <c r="E331" s="63" t="s">
        <v>715</v>
      </c>
      <c r="F331" s="64">
        <f>+'COMUNAS - HOME DELIVERY 2026'!F331*1.1</f>
        <v>9394.347600000001</v>
      </c>
      <c r="G331" s="65">
        <f>+'COMUNAS - HOME DELIVERY 2026'!G331*1.1</f>
        <v>10865.566800000001</v>
      </c>
      <c r="H331" s="65">
        <f>+'COMUNAS - HOME DELIVERY 2026'!H331*1.1</f>
        <v>13159.2384</v>
      </c>
      <c r="I331" s="65">
        <f>+'COMUNAS - HOME DELIVERY 2026'!I331*1.1</f>
        <v>15561.889200000001</v>
      </c>
      <c r="J331" s="65">
        <f>+'COMUNAS - HOME DELIVERY 2026'!J331*1.1</f>
        <v>25950.672000000002</v>
      </c>
      <c r="K331" s="65">
        <f>+'COMUNAS - HOME DELIVERY 2026'!K331*1.1</f>
        <v>40720.759200000008</v>
      </c>
      <c r="L331" s="65">
        <f>+'COMUNAS - HOME DELIVERY 2026'!L331*1.1</f>
        <v>48182.428800000002</v>
      </c>
      <c r="M331" s="66">
        <f>+'COMUNAS - HOME DELIVERY 2026'!M331*1.1</f>
        <v>2457.1404000000002</v>
      </c>
      <c r="N331" s="67">
        <f>+'COMUNAS - HOME DELIVERY 2026'!N331*1.1</f>
        <v>2291.9688000000006</v>
      </c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38"/>
    </row>
    <row r="332" spans="2:25" ht="15.75" customHeight="1" thickBot="1" x14ac:dyDescent="0.35">
      <c r="B332" s="2"/>
      <c r="C332" s="68" t="s">
        <v>701</v>
      </c>
      <c r="D332" s="69" t="s">
        <v>716</v>
      </c>
      <c r="E332" s="70" t="s">
        <v>717</v>
      </c>
      <c r="F332" s="71">
        <f>+'COMUNAS - HOME DELIVERY 2026'!F332*1.1</f>
        <v>9394.347600000001</v>
      </c>
      <c r="G332" s="72">
        <f>+'COMUNAS - HOME DELIVERY 2026'!G332*1.1</f>
        <v>10865.566800000001</v>
      </c>
      <c r="H332" s="72">
        <f>+'COMUNAS - HOME DELIVERY 2026'!H332*1.1</f>
        <v>13159.2384</v>
      </c>
      <c r="I332" s="72">
        <f>+'COMUNAS - HOME DELIVERY 2026'!I332*1.1</f>
        <v>15561.889200000001</v>
      </c>
      <c r="J332" s="72">
        <f>+'COMUNAS - HOME DELIVERY 2026'!J332*1.1</f>
        <v>25950.672000000002</v>
      </c>
      <c r="K332" s="72">
        <f>+'COMUNAS - HOME DELIVERY 2026'!K332*1.1</f>
        <v>40720.759200000008</v>
      </c>
      <c r="L332" s="72">
        <f>+'COMUNAS - HOME DELIVERY 2026'!L332*1.1</f>
        <v>48182.428800000002</v>
      </c>
      <c r="M332" s="73">
        <f>+'COMUNAS - HOME DELIVERY 2026'!M332*1.1</f>
        <v>2457.1404000000002</v>
      </c>
      <c r="N332" s="74">
        <f>+'COMUNAS - HOME DELIVERY 2026'!N332*1.1</f>
        <v>2291.9688000000006</v>
      </c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38"/>
    </row>
    <row r="333" spans="2:25" ht="15.75" customHeight="1" x14ac:dyDescent="0.3">
      <c r="B333" s="2"/>
      <c r="C333" s="53" t="s">
        <v>718</v>
      </c>
      <c r="D333" s="54" t="s">
        <v>719</v>
      </c>
      <c r="E333" s="55" t="s">
        <v>62</v>
      </c>
      <c r="F333" s="56">
        <f>+'COMUNAS - HOME DELIVERY 2026'!F333*1.1</f>
        <v>7037.104800000001</v>
      </c>
      <c r="G333" s="57">
        <f>+'COMUNAS - HOME DELIVERY 2026'!G333*1.1</f>
        <v>8231.3352000000014</v>
      </c>
      <c r="H333" s="57">
        <f>+'COMUNAS - HOME DELIVERY 2026'!H333*1.1</f>
        <v>9960.2448000000004</v>
      </c>
      <c r="I333" s="57">
        <f>+'COMUNAS - HOME DELIVERY 2026'!I333*1.1</f>
        <v>11331.566400000002</v>
      </c>
      <c r="J333" s="57">
        <f>+'COMUNAS - HOME DELIVERY 2026'!J333*1.1</f>
        <v>19314.292800000003</v>
      </c>
      <c r="K333" s="57">
        <f>+'COMUNAS - HOME DELIVERY 2026'!K333*1.1</f>
        <v>32012.640000000003</v>
      </c>
      <c r="L333" s="57">
        <f>+'COMUNAS - HOME DELIVERY 2026'!L333*1.1</f>
        <v>37698.856800000009</v>
      </c>
      <c r="M333" s="58">
        <f>+'COMUNAS - HOME DELIVERY 2026'!M333*1.1</f>
        <v>1950.2736000000002</v>
      </c>
      <c r="N333" s="59">
        <f>+'COMUNAS - HOME DELIVERY 2026'!N333*1.1</f>
        <v>1839.0240000000003</v>
      </c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38"/>
    </row>
    <row r="334" spans="2:25" ht="15.75" customHeight="1" x14ac:dyDescent="0.3">
      <c r="B334" s="2"/>
      <c r="C334" s="61" t="s">
        <v>718</v>
      </c>
      <c r="D334" s="62" t="s">
        <v>720</v>
      </c>
      <c r="E334" s="63" t="s">
        <v>721</v>
      </c>
      <c r="F334" s="64">
        <f>+'COMUNAS - HOME DELIVERY 2026'!F334*1.1</f>
        <v>10555.6572</v>
      </c>
      <c r="G334" s="65">
        <f>+'COMUNAS - HOME DELIVERY 2026'!G334*1.1</f>
        <v>12347.002800000002</v>
      </c>
      <c r="H334" s="65">
        <f>+'COMUNAS - HOME DELIVERY 2026'!H334*1.1</f>
        <v>14940.367200000001</v>
      </c>
      <c r="I334" s="65">
        <f>+'COMUNAS - HOME DELIVERY 2026'!I334*1.1</f>
        <v>16997.349600000001</v>
      </c>
      <c r="J334" s="65">
        <f>+'COMUNAS - HOME DELIVERY 2026'!J334*1.1</f>
        <v>28971.439200000004</v>
      </c>
      <c r="K334" s="65">
        <f>+'COMUNAS - HOME DELIVERY 2026'!K334*1.1</f>
        <v>48018.96</v>
      </c>
      <c r="L334" s="65">
        <f>+'COMUNAS - HOME DELIVERY 2026'!L334*1.1</f>
        <v>56548.285200000006</v>
      </c>
      <c r="M334" s="66">
        <f>+'COMUNAS - HOME DELIVERY 2026'!M334*1.1</f>
        <v>2925.4104000000002</v>
      </c>
      <c r="N334" s="67">
        <f>+'COMUNAS - HOME DELIVERY 2026'!N334*1.1</f>
        <v>2758.5360000000005</v>
      </c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38"/>
    </row>
    <row r="335" spans="2:25" ht="15.75" customHeight="1" x14ac:dyDescent="0.3">
      <c r="B335" s="2"/>
      <c r="C335" s="61" t="s">
        <v>718</v>
      </c>
      <c r="D335" s="62" t="s">
        <v>722</v>
      </c>
      <c r="E335" s="63" t="s">
        <v>723</v>
      </c>
      <c r="F335" s="64">
        <f>+'COMUNAS - HOME DELIVERY 2026'!F335*1.1</f>
        <v>10555.6572</v>
      </c>
      <c r="G335" s="65">
        <f>+'COMUNAS - HOME DELIVERY 2026'!G335*1.1</f>
        <v>12347.002800000002</v>
      </c>
      <c r="H335" s="65">
        <f>+'COMUNAS - HOME DELIVERY 2026'!H335*1.1</f>
        <v>14940.367200000001</v>
      </c>
      <c r="I335" s="65">
        <f>+'COMUNAS - HOME DELIVERY 2026'!I335*1.1</f>
        <v>16997.349600000001</v>
      </c>
      <c r="J335" s="65">
        <f>+'COMUNAS - HOME DELIVERY 2026'!J335*1.1</f>
        <v>28971.439200000004</v>
      </c>
      <c r="K335" s="65">
        <f>+'COMUNAS - HOME DELIVERY 2026'!K335*1.1</f>
        <v>48018.96</v>
      </c>
      <c r="L335" s="65">
        <f>+'COMUNAS - HOME DELIVERY 2026'!L335*1.1</f>
        <v>56548.285200000006</v>
      </c>
      <c r="M335" s="66">
        <f>+'COMUNAS - HOME DELIVERY 2026'!M335*1.1</f>
        <v>2925.4104000000002</v>
      </c>
      <c r="N335" s="67">
        <f>+'COMUNAS - HOME DELIVERY 2026'!N335*1.1</f>
        <v>2758.5360000000005</v>
      </c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38"/>
    </row>
    <row r="336" spans="2:25" ht="15.75" customHeight="1" x14ac:dyDescent="0.3">
      <c r="B336" s="2"/>
      <c r="C336" s="61" t="s">
        <v>718</v>
      </c>
      <c r="D336" s="62" t="s">
        <v>724</v>
      </c>
      <c r="E336" s="63" t="s">
        <v>725</v>
      </c>
      <c r="F336" s="64">
        <f>+'COMUNAS - HOME DELIVERY 2026'!F336*1.1</f>
        <v>10555.6572</v>
      </c>
      <c r="G336" s="65">
        <f>+'COMUNAS - HOME DELIVERY 2026'!G336*1.1</f>
        <v>12347.002800000002</v>
      </c>
      <c r="H336" s="65">
        <f>+'COMUNAS - HOME DELIVERY 2026'!H336*1.1</f>
        <v>14940.367200000001</v>
      </c>
      <c r="I336" s="65">
        <f>+'COMUNAS - HOME DELIVERY 2026'!I336*1.1</f>
        <v>16997.349600000001</v>
      </c>
      <c r="J336" s="65">
        <f>+'COMUNAS - HOME DELIVERY 2026'!J336*1.1</f>
        <v>28971.439200000004</v>
      </c>
      <c r="K336" s="65">
        <f>+'COMUNAS - HOME DELIVERY 2026'!K336*1.1</f>
        <v>48018.96</v>
      </c>
      <c r="L336" s="65">
        <f>+'COMUNAS - HOME DELIVERY 2026'!L336*1.1</f>
        <v>56548.285200000006</v>
      </c>
      <c r="M336" s="66">
        <f>+'COMUNAS - HOME DELIVERY 2026'!M336*1.1</f>
        <v>2925.4104000000002</v>
      </c>
      <c r="N336" s="67">
        <f>+'COMUNAS - HOME DELIVERY 2026'!N336*1.1</f>
        <v>2758.5360000000005</v>
      </c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38"/>
    </row>
    <row r="337" spans="2:25" ht="15.75" customHeight="1" x14ac:dyDescent="0.3">
      <c r="B337" s="2"/>
      <c r="C337" s="61" t="s">
        <v>718</v>
      </c>
      <c r="D337" s="62" t="s">
        <v>726</v>
      </c>
      <c r="E337" s="63" t="s">
        <v>727</v>
      </c>
      <c r="F337" s="64">
        <f>+'COMUNAS - HOME DELIVERY 2026'!F337*1.1</f>
        <v>27583.657200000001</v>
      </c>
      <c r="G337" s="65">
        <f>+'COMUNAS - HOME DELIVERY 2026'!G337*1.1</f>
        <v>29375.002800000006</v>
      </c>
      <c r="H337" s="65">
        <f>+'COMUNAS - HOME DELIVERY 2026'!H337*1.1</f>
        <v>31968.367200000004</v>
      </c>
      <c r="I337" s="65">
        <f>+'COMUNAS - HOME DELIVERY 2026'!I337*1.1</f>
        <v>34025.349600000009</v>
      </c>
      <c r="J337" s="65">
        <f>+'COMUNAS - HOME DELIVERY 2026'!J337*1.1</f>
        <v>45999.439200000001</v>
      </c>
      <c r="K337" s="65">
        <f>+'COMUNAS - HOME DELIVERY 2026'!K337*1.1</f>
        <v>65046.960000000006</v>
      </c>
      <c r="L337" s="65">
        <f>+'COMUNAS - HOME DELIVERY 2026'!L337*1.1</f>
        <v>73576.285200000013</v>
      </c>
      <c r="M337" s="66">
        <f>+'COMUNAS - HOME DELIVERY 2026'!M337*1.1</f>
        <v>2925.4104000000002</v>
      </c>
      <c r="N337" s="67">
        <f>+'COMUNAS - HOME DELIVERY 2026'!N337*1.1</f>
        <v>2758.5360000000005</v>
      </c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38"/>
    </row>
    <row r="338" spans="2:25" ht="15.75" customHeight="1" x14ac:dyDescent="0.3">
      <c r="B338" s="2"/>
      <c r="C338" s="61" t="s">
        <v>718</v>
      </c>
      <c r="D338" s="62" t="s">
        <v>728</v>
      </c>
      <c r="E338" s="63" t="s">
        <v>729</v>
      </c>
      <c r="F338" s="64">
        <f>+'COMUNAS - HOME DELIVERY 2026'!F338*1.1</f>
        <v>27583.657200000001</v>
      </c>
      <c r="G338" s="65">
        <f>+'COMUNAS - HOME DELIVERY 2026'!G338*1.1</f>
        <v>29375.002800000006</v>
      </c>
      <c r="H338" s="65">
        <f>+'COMUNAS - HOME DELIVERY 2026'!H338*1.1</f>
        <v>31968.367200000004</v>
      </c>
      <c r="I338" s="65">
        <f>+'COMUNAS - HOME DELIVERY 2026'!I338*1.1</f>
        <v>34025.349600000009</v>
      </c>
      <c r="J338" s="65">
        <f>+'COMUNAS - HOME DELIVERY 2026'!J338*1.1</f>
        <v>45999.439200000001</v>
      </c>
      <c r="K338" s="65">
        <f>+'COMUNAS - HOME DELIVERY 2026'!K338*1.1</f>
        <v>65046.960000000006</v>
      </c>
      <c r="L338" s="65">
        <f>+'COMUNAS - HOME DELIVERY 2026'!L338*1.1</f>
        <v>73576.285200000013</v>
      </c>
      <c r="M338" s="66">
        <f>+'COMUNAS - HOME DELIVERY 2026'!M338*1.1</f>
        <v>2925.4104000000002</v>
      </c>
      <c r="N338" s="67">
        <f>+'COMUNAS - HOME DELIVERY 2026'!N338*1.1</f>
        <v>2758.5360000000005</v>
      </c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38"/>
    </row>
    <row r="339" spans="2:25" ht="15.75" customHeight="1" x14ac:dyDescent="0.3">
      <c r="B339" s="2"/>
      <c r="C339" s="61" t="s">
        <v>718</v>
      </c>
      <c r="D339" s="62" t="s">
        <v>730</v>
      </c>
      <c r="E339" s="63" t="s">
        <v>731</v>
      </c>
      <c r="F339" s="64">
        <f>+'COMUNAS - HOME DELIVERY 2026'!F339*1.1</f>
        <v>27583.657200000001</v>
      </c>
      <c r="G339" s="65">
        <f>+'COMUNAS - HOME DELIVERY 2026'!G339*1.1</f>
        <v>29375.002800000006</v>
      </c>
      <c r="H339" s="65">
        <f>+'COMUNAS - HOME DELIVERY 2026'!H339*1.1</f>
        <v>31968.367200000004</v>
      </c>
      <c r="I339" s="65">
        <f>+'COMUNAS - HOME DELIVERY 2026'!I339*1.1</f>
        <v>34025.349600000009</v>
      </c>
      <c r="J339" s="65">
        <f>+'COMUNAS - HOME DELIVERY 2026'!J339*1.1</f>
        <v>45999.439200000001</v>
      </c>
      <c r="K339" s="65">
        <f>+'COMUNAS - HOME DELIVERY 2026'!K339*1.1</f>
        <v>65046.960000000006</v>
      </c>
      <c r="L339" s="65">
        <f>+'COMUNAS - HOME DELIVERY 2026'!L339*1.1</f>
        <v>73576.285200000013</v>
      </c>
      <c r="M339" s="66">
        <f>+'COMUNAS - HOME DELIVERY 2026'!M339*1.1</f>
        <v>2925.4104000000002</v>
      </c>
      <c r="N339" s="67">
        <f>+'COMUNAS - HOME DELIVERY 2026'!N339*1.1</f>
        <v>2758.5360000000005</v>
      </c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38"/>
    </row>
    <row r="340" spans="2:25" ht="15.75" customHeight="1" x14ac:dyDescent="0.3">
      <c r="B340" s="2"/>
      <c r="C340" s="61" t="s">
        <v>718</v>
      </c>
      <c r="D340" s="62" t="s">
        <v>732</v>
      </c>
      <c r="E340" s="63" t="s">
        <v>733</v>
      </c>
      <c r="F340" s="64">
        <f>+'COMUNAS - HOME DELIVERY 2026'!F340*1.1</f>
        <v>10555.6572</v>
      </c>
      <c r="G340" s="65">
        <f>+'COMUNAS - HOME DELIVERY 2026'!G340*1.1</f>
        <v>12347.002800000002</v>
      </c>
      <c r="H340" s="65">
        <f>+'COMUNAS - HOME DELIVERY 2026'!H340*1.1</f>
        <v>14940.367200000001</v>
      </c>
      <c r="I340" s="65">
        <f>+'COMUNAS - HOME DELIVERY 2026'!I340*1.1</f>
        <v>16997.349600000001</v>
      </c>
      <c r="J340" s="65">
        <f>+'COMUNAS - HOME DELIVERY 2026'!J340*1.1</f>
        <v>28971.439200000004</v>
      </c>
      <c r="K340" s="65">
        <f>+'COMUNAS - HOME DELIVERY 2026'!K340*1.1</f>
        <v>48018.96</v>
      </c>
      <c r="L340" s="65">
        <f>+'COMUNAS - HOME DELIVERY 2026'!L340*1.1</f>
        <v>56548.285200000006</v>
      </c>
      <c r="M340" s="66">
        <f>+'COMUNAS - HOME DELIVERY 2026'!M340*1.1</f>
        <v>2925.4104000000002</v>
      </c>
      <c r="N340" s="67">
        <f>+'COMUNAS - HOME DELIVERY 2026'!N340*1.1</f>
        <v>2758.5360000000005</v>
      </c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38"/>
    </row>
    <row r="341" spans="2:25" ht="15.75" customHeight="1" x14ac:dyDescent="0.3">
      <c r="B341" s="2"/>
      <c r="C341" s="61" t="s">
        <v>718</v>
      </c>
      <c r="D341" s="62" t="s">
        <v>734</v>
      </c>
      <c r="E341" s="63" t="s">
        <v>735</v>
      </c>
      <c r="F341" s="64">
        <f>+'COMUNAS - HOME DELIVERY 2026'!F341*1.1</f>
        <v>10555.6572</v>
      </c>
      <c r="G341" s="65">
        <f>+'COMUNAS - HOME DELIVERY 2026'!G341*1.1</f>
        <v>12347.002800000002</v>
      </c>
      <c r="H341" s="65">
        <f>+'COMUNAS - HOME DELIVERY 2026'!H341*1.1</f>
        <v>14940.367200000001</v>
      </c>
      <c r="I341" s="65">
        <f>+'COMUNAS - HOME DELIVERY 2026'!I341*1.1</f>
        <v>16997.349600000001</v>
      </c>
      <c r="J341" s="65">
        <f>+'COMUNAS - HOME DELIVERY 2026'!J341*1.1</f>
        <v>28971.439200000004</v>
      </c>
      <c r="K341" s="65">
        <f>+'COMUNAS - HOME DELIVERY 2026'!K341*1.1</f>
        <v>48018.96</v>
      </c>
      <c r="L341" s="65">
        <f>+'COMUNAS - HOME DELIVERY 2026'!L341*1.1</f>
        <v>56548.285200000006</v>
      </c>
      <c r="M341" s="66">
        <f>+'COMUNAS - HOME DELIVERY 2026'!M341*1.1</f>
        <v>2925.4104000000002</v>
      </c>
      <c r="N341" s="67">
        <f>+'COMUNAS - HOME DELIVERY 2026'!N341*1.1</f>
        <v>2758.5360000000005</v>
      </c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38"/>
    </row>
    <row r="342" spans="2:25" ht="15.75" customHeight="1" thickBot="1" x14ac:dyDescent="0.35">
      <c r="B342" s="2"/>
      <c r="C342" s="68" t="s">
        <v>718</v>
      </c>
      <c r="D342" s="69" t="s">
        <v>736</v>
      </c>
      <c r="E342" s="70" t="s">
        <v>737</v>
      </c>
      <c r="F342" s="71">
        <f>+'COMUNAS - HOME DELIVERY 2026'!F342*1.1</f>
        <v>10555.6572</v>
      </c>
      <c r="G342" s="72">
        <f>+'COMUNAS - HOME DELIVERY 2026'!G342*1.1</f>
        <v>12347.002800000002</v>
      </c>
      <c r="H342" s="72">
        <f>+'COMUNAS - HOME DELIVERY 2026'!H342*1.1</f>
        <v>14940.367200000001</v>
      </c>
      <c r="I342" s="72">
        <f>+'COMUNAS - HOME DELIVERY 2026'!I342*1.1</f>
        <v>16997.349600000001</v>
      </c>
      <c r="J342" s="72">
        <f>+'COMUNAS - HOME DELIVERY 2026'!J342*1.1</f>
        <v>28971.439200000004</v>
      </c>
      <c r="K342" s="72">
        <f>+'COMUNAS - HOME DELIVERY 2026'!K342*1.1</f>
        <v>48018.96</v>
      </c>
      <c r="L342" s="72">
        <f>+'COMUNAS - HOME DELIVERY 2026'!L342*1.1</f>
        <v>56548.285200000006</v>
      </c>
      <c r="M342" s="73">
        <f>+'COMUNAS - HOME DELIVERY 2026'!M342*1.1</f>
        <v>2925.4104000000002</v>
      </c>
      <c r="N342" s="74">
        <f>+'COMUNAS - HOME DELIVERY 2026'!N342*1.1</f>
        <v>2758.5360000000005</v>
      </c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38"/>
    </row>
    <row r="343" spans="2:25" ht="15.75" customHeight="1" x14ac:dyDescent="0.3">
      <c r="B343" s="2"/>
      <c r="C343" s="75" t="s">
        <v>738</v>
      </c>
      <c r="D343" s="76" t="s">
        <v>739</v>
      </c>
      <c r="E343" s="77" t="s">
        <v>64</v>
      </c>
      <c r="F343" s="64">
        <f>+'COMUNAS - HOME DELIVERY 2026'!F343*1.1</f>
        <v>7037.104800000001</v>
      </c>
      <c r="G343" s="65">
        <f>+'COMUNAS - HOME DELIVERY 2026'!G343*1.1</f>
        <v>8231.3352000000014</v>
      </c>
      <c r="H343" s="65">
        <f>+'COMUNAS - HOME DELIVERY 2026'!H343*1.1</f>
        <v>9960.2448000000004</v>
      </c>
      <c r="I343" s="65">
        <f>+'COMUNAS - HOME DELIVERY 2026'!I343*1.1</f>
        <v>11331.566400000002</v>
      </c>
      <c r="J343" s="65">
        <f>+'COMUNAS - HOME DELIVERY 2026'!J343*1.1</f>
        <v>19314.292800000003</v>
      </c>
      <c r="K343" s="65">
        <f>+'COMUNAS - HOME DELIVERY 2026'!K343*1.1</f>
        <v>32012.640000000003</v>
      </c>
      <c r="L343" s="65">
        <f>+'COMUNAS - HOME DELIVERY 2026'!L343*1.1</f>
        <v>37698.856800000009</v>
      </c>
      <c r="M343" s="66">
        <f>+'COMUNAS - HOME DELIVERY 2026'!M343*1.1</f>
        <v>1950.2736000000002</v>
      </c>
      <c r="N343" s="67">
        <f>+'COMUNAS - HOME DELIVERY 2026'!N343*1.1</f>
        <v>1839.0240000000003</v>
      </c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38"/>
    </row>
    <row r="344" spans="2:25" ht="15.75" customHeight="1" x14ac:dyDescent="0.3">
      <c r="B344" s="2"/>
      <c r="C344" s="61" t="s">
        <v>738</v>
      </c>
      <c r="D344" s="62" t="s">
        <v>740</v>
      </c>
      <c r="E344" s="63" t="s">
        <v>741</v>
      </c>
      <c r="F344" s="64">
        <f>+'COMUNAS - HOME DELIVERY 2026'!F344*1.1</f>
        <v>27583.657200000001</v>
      </c>
      <c r="G344" s="65">
        <f>+'COMUNAS - HOME DELIVERY 2026'!G344*1.1</f>
        <v>29375.002800000006</v>
      </c>
      <c r="H344" s="65">
        <f>+'COMUNAS - HOME DELIVERY 2026'!H344*1.1</f>
        <v>31968.367200000004</v>
      </c>
      <c r="I344" s="65">
        <f>+'COMUNAS - HOME DELIVERY 2026'!I344*1.1</f>
        <v>34025.349600000009</v>
      </c>
      <c r="J344" s="65">
        <f>+'COMUNAS - HOME DELIVERY 2026'!J344*1.1</f>
        <v>45999.439200000001</v>
      </c>
      <c r="K344" s="65">
        <f>+'COMUNAS - HOME DELIVERY 2026'!K344*1.1</f>
        <v>65046.960000000006</v>
      </c>
      <c r="L344" s="65">
        <f>+'COMUNAS - HOME DELIVERY 2026'!L344*1.1</f>
        <v>73576.285200000013</v>
      </c>
      <c r="M344" s="66">
        <f>+'COMUNAS - HOME DELIVERY 2026'!M344*1.1</f>
        <v>2925.4104000000002</v>
      </c>
      <c r="N344" s="67">
        <f>+'COMUNAS - HOME DELIVERY 2026'!N344*1.1</f>
        <v>2758.5360000000005</v>
      </c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38"/>
    </row>
    <row r="345" spans="2:25" ht="15.75" customHeight="1" x14ac:dyDescent="0.3">
      <c r="B345" s="2"/>
      <c r="C345" s="61" t="s">
        <v>738</v>
      </c>
      <c r="D345" s="62" t="s">
        <v>742</v>
      </c>
      <c r="E345" s="63" t="s">
        <v>743</v>
      </c>
      <c r="F345" s="64">
        <f>+'COMUNAS - HOME DELIVERY 2026'!F345*1.1</f>
        <v>10555.6572</v>
      </c>
      <c r="G345" s="65">
        <f>+'COMUNAS - HOME DELIVERY 2026'!G345*1.1</f>
        <v>12347.002800000002</v>
      </c>
      <c r="H345" s="65">
        <f>+'COMUNAS - HOME DELIVERY 2026'!H345*1.1</f>
        <v>14940.367200000001</v>
      </c>
      <c r="I345" s="65">
        <f>+'COMUNAS - HOME DELIVERY 2026'!I345*1.1</f>
        <v>16997.349600000001</v>
      </c>
      <c r="J345" s="65">
        <f>+'COMUNAS - HOME DELIVERY 2026'!J345*1.1</f>
        <v>28971.439200000004</v>
      </c>
      <c r="K345" s="65">
        <f>+'COMUNAS - HOME DELIVERY 2026'!K345*1.1</f>
        <v>48018.96</v>
      </c>
      <c r="L345" s="65">
        <f>+'COMUNAS - HOME DELIVERY 2026'!L345*1.1</f>
        <v>56548.285200000006</v>
      </c>
      <c r="M345" s="66">
        <f>+'COMUNAS - HOME DELIVERY 2026'!M345*1.1</f>
        <v>2925.4104000000002</v>
      </c>
      <c r="N345" s="67">
        <f>+'COMUNAS - HOME DELIVERY 2026'!N345*1.1</f>
        <v>2758.5360000000005</v>
      </c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38"/>
    </row>
    <row r="346" spans="2:25" ht="15.75" customHeight="1" x14ac:dyDescent="0.3">
      <c r="B346" s="2"/>
      <c r="C346" s="61" t="s">
        <v>738</v>
      </c>
      <c r="D346" s="62" t="s">
        <v>744</v>
      </c>
      <c r="E346" s="63" t="s">
        <v>745</v>
      </c>
      <c r="F346" s="64">
        <f>+'COMUNAS - HOME DELIVERY 2026'!F346*1.1</f>
        <v>27583.657200000001</v>
      </c>
      <c r="G346" s="65">
        <f>+'COMUNAS - HOME DELIVERY 2026'!G346*1.1</f>
        <v>29375.002800000006</v>
      </c>
      <c r="H346" s="65">
        <f>+'COMUNAS - HOME DELIVERY 2026'!H346*1.1</f>
        <v>31968.367200000004</v>
      </c>
      <c r="I346" s="65">
        <f>+'COMUNAS - HOME DELIVERY 2026'!I346*1.1</f>
        <v>34025.349600000009</v>
      </c>
      <c r="J346" s="65">
        <f>+'COMUNAS - HOME DELIVERY 2026'!J346*1.1</f>
        <v>45999.439200000001</v>
      </c>
      <c r="K346" s="65">
        <f>+'COMUNAS - HOME DELIVERY 2026'!K346*1.1</f>
        <v>65046.960000000006</v>
      </c>
      <c r="L346" s="65">
        <f>+'COMUNAS - HOME DELIVERY 2026'!L346*1.1</f>
        <v>73576.285200000013</v>
      </c>
      <c r="M346" s="66">
        <f>+'COMUNAS - HOME DELIVERY 2026'!M346*1.1</f>
        <v>2925.4104000000002</v>
      </c>
      <c r="N346" s="67">
        <f>+'COMUNAS - HOME DELIVERY 2026'!N346*1.1</f>
        <v>2758.5360000000005</v>
      </c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38"/>
    </row>
    <row r="347" spans="2:25" ht="15.75" customHeight="1" x14ac:dyDescent="0.3">
      <c r="B347" s="2"/>
      <c r="C347" s="61" t="s">
        <v>738</v>
      </c>
      <c r="D347" s="62" t="s">
        <v>746</v>
      </c>
      <c r="E347" s="63" t="s">
        <v>747</v>
      </c>
      <c r="F347" s="64">
        <f>+'COMUNAS - HOME DELIVERY 2026'!F347*1.1</f>
        <v>27583.657200000001</v>
      </c>
      <c r="G347" s="65">
        <f>+'COMUNAS - HOME DELIVERY 2026'!G347*1.1</f>
        <v>29375.002800000006</v>
      </c>
      <c r="H347" s="65">
        <f>+'COMUNAS - HOME DELIVERY 2026'!H347*1.1</f>
        <v>31968.367200000004</v>
      </c>
      <c r="I347" s="65">
        <f>+'COMUNAS - HOME DELIVERY 2026'!I347*1.1</f>
        <v>34025.349600000009</v>
      </c>
      <c r="J347" s="65">
        <f>+'COMUNAS - HOME DELIVERY 2026'!J347*1.1</f>
        <v>45999.439200000001</v>
      </c>
      <c r="K347" s="65">
        <f>+'COMUNAS - HOME DELIVERY 2026'!K347*1.1</f>
        <v>65046.960000000006</v>
      </c>
      <c r="L347" s="65">
        <f>+'COMUNAS - HOME DELIVERY 2026'!L347*1.1</f>
        <v>73576.285200000013</v>
      </c>
      <c r="M347" s="66">
        <f>+'COMUNAS - HOME DELIVERY 2026'!M347*1.1</f>
        <v>2925.4104000000002</v>
      </c>
      <c r="N347" s="67">
        <f>+'COMUNAS - HOME DELIVERY 2026'!N347*1.1</f>
        <v>2758.5360000000005</v>
      </c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38"/>
    </row>
    <row r="348" spans="2:25" ht="15.75" customHeight="1" x14ac:dyDescent="0.3">
      <c r="B348" s="2"/>
      <c r="C348" s="61" t="s">
        <v>738</v>
      </c>
      <c r="D348" s="62" t="s">
        <v>748</v>
      </c>
      <c r="E348" s="63" t="s">
        <v>749</v>
      </c>
      <c r="F348" s="64">
        <f>+'COMUNAS - HOME DELIVERY 2026'!F348*1.1</f>
        <v>27583.657200000001</v>
      </c>
      <c r="G348" s="65">
        <f>+'COMUNAS - HOME DELIVERY 2026'!G348*1.1</f>
        <v>29375.002800000006</v>
      </c>
      <c r="H348" s="65">
        <f>+'COMUNAS - HOME DELIVERY 2026'!H348*1.1</f>
        <v>31968.367200000004</v>
      </c>
      <c r="I348" s="65">
        <f>+'COMUNAS - HOME DELIVERY 2026'!I348*1.1</f>
        <v>34025.349600000009</v>
      </c>
      <c r="J348" s="65">
        <f>+'COMUNAS - HOME DELIVERY 2026'!J348*1.1</f>
        <v>45999.439200000001</v>
      </c>
      <c r="K348" s="65">
        <f>+'COMUNAS - HOME DELIVERY 2026'!K348*1.1</f>
        <v>65046.960000000006</v>
      </c>
      <c r="L348" s="65">
        <f>+'COMUNAS - HOME DELIVERY 2026'!L348*1.1</f>
        <v>73576.285200000013</v>
      </c>
      <c r="M348" s="66">
        <f>+'COMUNAS - HOME DELIVERY 2026'!M348*1.1</f>
        <v>2925.4104000000002</v>
      </c>
      <c r="N348" s="67">
        <f>+'COMUNAS - HOME DELIVERY 2026'!N348*1.1</f>
        <v>2758.5360000000005</v>
      </c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38"/>
    </row>
    <row r="349" spans="2:25" ht="15.75" customHeight="1" x14ac:dyDescent="0.3">
      <c r="B349" s="2"/>
      <c r="C349" s="61" t="s">
        <v>738</v>
      </c>
      <c r="D349" s="62" t="s">
        <v>750</v>
      </c>
      <c r="E349" s="63" t="s">
        <v>751</v>
      </c>
      <c r="F349" s="64">
        <f>+'COMUNAS - HOME DELIVERY 2026'!F349*1.1</f>
        <v>27583.657200000001</v>
      </c>
      <c r="G349" s="65">
        <f>+'COMUNAS - HOME DELIVERY 2026'!G349*1.1</f>
        <v>29375.002800000006</v>
      </c>
      <c r="H349" s="65">
        <f>+'COMUNAS - HOME DELIVERY 2026'!H349*1.1</f>
        <v>31968.367200000004</v>
      </c>
      <c r="I349" s="65">
        <f>+'COMUNAS - HOME DELIVERY 2026'!I349*1.1</f>
        <v>34025.349600000009</v>
      </c>
      <c r="J349" s="65">
        <f>+'COMUNAS - HOME DELIVERY 2026'!J349*1.1</f>
        <v>45999.439200000001</v>
      </c>
      <c r="K349" s="65">
        <f>+'COMUNAS - HOME DELIVERY 2026'!K349*1.1</f>
        <v>65046.960000000006</v>
      </c>
      <c r="L349" s="65">
        <f>+'COMUNAS - HOME DELIVERY 2026'!L349*1.1</f>
        <v>73576.285200000013</v>
      </c>
      <c r="M349" s="66">
        <f>+'COMUNAS - HOME DELIVERY 2026'!M349*1.1</f>
        <v>2925.4104000000002</v>
      </c>
      <c r="N349" s="67">
        <f>+'COMUNAS - HOME DELIVERY 2026'!N349*1.1</f>
        <v>2758.5360000000005</v>
      </c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38"/>
    </row>
    <row r="350" spans="2:25" ht="15.75" customHeight="1" x14ac:dyDescent="0.3">
      <c r="B350" s="2"/>
      <c r="C350" s="61" t="s">
        <v>738</v>
      </c>
      <c r="D350" s="62" t="s">
        <v>752</v>
      </c>
      <c r="E350" s="63" t="s">
        <v>753</v>
      </c>
      <c r="F350" s="64">
        <f>+'COMUNAS - HOME DELIVERY 2026'!F350*1.1</f>
        <v>10555.6572</v>
      </c>
      <c r="G350" s="65">
        <f>+'COMUNAS - HOME DELIVERY 2026'!G350*1.1</f>
        <v>12347.002800000002</v>
      </c>
      <c r="H350" s="65">
        <f>+'COMUNAS - HOME DELIVERY 2026'!H350*1.1</f>
        <v>14940.367200000001</v>
      </c>
      <c r="I350" s="65">
        <f>+'COMUNAS - HOME DELIVERY 2026'!I350*1.1</f>
        <v>16997.349600000001</v>
      </c>
      <c r="J350" s="65">
        <f>+'COMUNAS - HOME DELIVERY 2026'!J350*1.1</f>
        <v>28971.439200000004</v>
      </c>
      <c r="K350" s="65">
        <f>+'COMUNAS - HOME DELIVERY 2026'!K350*1.1</f>
        <v>48018.96</v>
      </c>
      <c r="L350" s="65">
        <f>+'COMUNAS - HOME DELIVERY 2026'!L350*1.1</f>
        <v>56548.285200000006</v>
      </c>
      <c r="M350" s="66">
        <f>+'COMUNAS - HOME DELIVERY 2026'!M350*1.1</f>
        <v>2925.4104000000002</v>
      </c>
      <c r="N350" s="67">
        <f>+'COMUNAS - HOME DELIVERY 2026'!N350*1.1</f>
        <v>2758.5360000000005</v>
      </c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38"/>
    </row>
    <row r="351" spans="2:25" ht="15.75" customHeight="1" x14ac:dyDescent="0.3">
      <c r="B351" s="2"/>
      <c r="C351" s="61" t="s">
        <v>738</v>
      </c>
      <c r="D351" s="62" t="s">
        <v>754</v>
      </c>
      <c r="E351" s="63" t="s">
        <v>755</v>
      </c>
      <c r="F351" s="64">
        <f>+'COMUNAS - HOME DELIVERY 2026'!F351*1.1</f>
        <v>27583.657200000001</v>
      </c>
      <c r="G351" s="65">
        <f>+'COMUNAS - HOME DELIVERY 2026'!G351*1.1</f>
        <v>29375.002800000006</v>
      </c>
      <c r="H351" s="65">
        <f>+'COMUNAS - HOME DELIVERY 2026'!H351*1.1</f>
        <v>31968.367200000004</v>
      </c>
      <c r="I351" s="65">
        <f>+'COMUNAS - HOME DELIVERY 2026'!I351*1.1</f>
        <v>34025.349600000009</v>
      </c>
      <c r="J351" s="65">
        <f>+'COMUNAS - HOME DELIVERY 2026'!J351*1.1</f>
        <v>45999.439200000001</v>
      </c>
      <c r="K351" s="65">
        <f>+'COMUNAS - HOME DELIVERY 2026'!K351*1.1</f>
        <v>65046.960000000006</v>
      </c>
      <c r="L351" s="65">
        <f>+'COMUNAS - HOME DELIVERY 2026'!L351*1.1</f>
        <v>73576.285200000013</v>
      </c>
      <c r="M351" s="66">
        <f>+'COMUNAS - HOME DELIVERY 2026'!M351*1.1</f>
        <v>2925.4104000000002</v>
      </c>
      <c r="N351" s="67">
        <f>+'COMUNAS - HOME DELIVERY 2026'!N351*1.1</f>
        <v>2758.5360000000005</v>
      </c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38"/>
    </row>
    <row r="352" spans="2:25" ht="15.75" customHeight="1" x14ac:dyDescent="0.3">
      <c r="B352" s="2"/>
      <c r="C352" s="61" t="s">
        <v>738</v>
      </c>
      <c r="D352" s="62" t="s">
        <v>756</v>
      </c>
      <c r="E352" s="63" t="s">
        <v>757</v>
      </c>
      <c r="F352" s="64">
        <f>+'COMUNAS - HOME DELIVERY 2026'!F352*1.1</f>
        <v>10555.6572</v>
      </c>
      <c r="G352" s="65">
        <f>+'COMUNAS - HOME DELIVERY 2026'!G352*1.1</f>
        <v>12347.002800000002</v>
      </c>
      <c r="H352" s="65">
        <f>+'COMUNAS - HOME DELIVERY 2026'!H352*1.1</f>
        <v>14940.367200000001</v>
      </c>
      <c r="I352" s="65">
        <f>+'COMUNAS - HOME DELIVERY 2026'!I352*1.1</f>
        <v>16997.349600000001</v>
      </c>
      <c r="J352" s="65">
        <f>+'COMUNAS - HOME DELIVERY 2026'!J352*1.1</f>
        <v>28971.439200000004</v>
      </c>
      <c r="K352" s="65">
        <f>+'COMUNAS - HOME DELIVERY 2026'!K352*1.1</f>
        <v>48018.96</v>
      </c>
      <c r="L352" s="65">
        <f>+'COMUNAS - HOME DELIVERY 2026'!L352*1.1</f>
        <v>56548.285200000006</v>
      </c>
      <c r="M352" s="66">
        <f>+'COMUNAS - HOME DELIVERY 2026'!M352*1.1</f>
        <v>2925.4104000000002</v>
      </c>
      <c r="N352" s="67">
        <f>+'COMUNAS - HOME DELIVERY 2026'!N352*1.1</f>
        <v>2758.5360000000005</v>
      </c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38"/>
    </row>
    <row r="353" spans="2:25" ht="15.75" customHeight="1" thickBot="1" x14ac:dyDescent="0.35">
      <c r="B353" s="2"/>
      <c r="C353" s="68" t="s">
        <v>738</v>
      </c>
      <c r="D353" s="69" t="s">
        <v>758</v>
      </c>
      <c r="E353" s="70" t="s">
        <v>759</v>
      </c>
      <c r="F353" s="71">
        <f>+'COMUNAS - HOME DELIVERY 2026'!F353*1.1</f>
        <v>27583.657200000001</v>
      </c>
      <c r="G353" s="72">
        <f>+'COMUNAS - HOME DELIVERY 2026'!G353*1.1</f>
        <v>29375.002800000006</v>
      </c>
      <c r="H353" s="72">
        <f>+'COMUNAS - HOME DELIVERY 2026'!H353*1.1</f>
        <v>31968.367200000004</v>
      </c>
      <c r="I353" s="72">
        <f>+'COMUNAS - HOME DELIVERY 2026'!I353*1.1</f>
        <v>34025.349600000009</v>
      </c>
      <c r="J353" s="72">
        <f>+'COMUNAS - HOME DELIVERY 2026'!J353*1.1</f>
        <v>45999.439200000001</v>
      </c>
      <c r="K353" s="72">
        <f>+'COMUNAS - HOME DELIVERY 2026'!K353*1.1</f>
        <v>65046.960000000006</v>
      </c>
      <c r="L353" s="72">
        <f>+'COMUNAS - HOME DELIVERY 2026'!L353*1.1</f>
        <v>73576.285200000013</v>
      </c>
      <c r="M353" s="73">
        <f>+'COMUNAS - HOME DELIVERY 2026'!M353*1.1</f>
        <v>2925.4104000000002</v>
      </c>
      <c r="N353" s="74">
        <f>+'COMUNAS - HOME DELIVERY 2026'!N353*1.1</f>
        <v>2758.5360000000005</v>
      </c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38"/>
    </row>
    <row r="354" spans="2:25" ht="15.75" customHeight="1" thickBot="1" x14ac:dyDescent="0.35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38"/>
    </row>
    <row r="355" spans="2:25" ht="22.8" customHeight="1" thickBot="1" x14ac:dyDescent="0.35">
      <c r="B355" s="2"/>
      <c r="C355" s="203" t="s">
        <v>54</v>
      </c>
      <c r="D355" s="170"/>
      <c r="E355" s="170"/>
      <c r="F355" s="170"/>
      <c r="G355" s="170"/>
      <c r="H355" s="170"/>
      <c r="I355" s="170"/>
      <c r="J355" s="170"/>
      <c r="K355" s="170"/>
      <c r="L355" s="170"/>
      <c r="M355" s="170"/>
      <c r="N355" s="171"/>
      <c r="O355" s="83"/>
      <c r="P355" s="2"/>
      <c r="Q355" s="2"/>
      <c r="R355" s="2"/>
      <c r="S355" s="2"/>
      <c r="T355" s="2"/>
      <c r="U355" s="2"/>
      <c r="V355" s="2"/>
      <c r="W355" s="2"/>
      <c r="X355" s="2"/>
      <c r="Y355" s="38"/>
    </row>
    <row r="356" spans="2:25" ht="15.75" customHeight="1" thickBot="1" x14ac:dyDescent="0.35">
      <c r="B356" s="2"/>
      <c r="C356" s="84" t="s">
        <v>70</v>
      </c>
      <c r="D356" s="48" t="s">
        <v>71</v>
      </c>
      <c r="E356" s="48" t="s">
        <v>72</v>
      </c>
      <c r="F356" s="48" t="s">
        <v>10</v>
      </c>
      <c r="G356" s="48" t="s">
        <v>11</v>
      </c>
      <c r="H356" s="48" t="s">
        <v>12</v>
      </c>
      <c r="I356" s="49" t="s">
        <v>13</v>
      </c>
      <c r="J356" s="49" t="s">
        <v>14</v>
      </c>
      <c r="K356" s="50" t="s">
        <v>15</v>
      </c>
      <c r="L356" s="50" t="s">
        <v>16</v>
      </c>
      <c r="M356" s="48" t="s">
        <v>17</v>
      </c>
      <c r="N356" s="51" t="s">
        <v>18</v>
      </c>
      <c r="O356" s="52"/>
      <c r="P356" s="2"/>
      <c r="Q356" s="2"/>
      <c r="R356" s="2"/>
      <c r="S356" s="2"/>
      <c r="T356" s="2"/>
      <c r="U356" s="2"/>
      <c r="V356" s="2"/>
      <c r="W356" s="2"/>
      <c r="X356" s="2"/>
      <c r="Y356" s="38"/>
    </row>
    <row r="357" spans="2:25" ht="15.75" customHeight="1" x14ac:dyDescent="0.3">
      <c r="B357" s="2"/>
      <c r="C357" s="53" t="s">
        <v>679</v>
      </c>
      <c r="D357" s="54" t="s">
        <v>680</v>
      </c>
      <c r="E357" s="55" t="s">
        <v>57</v>
      </c>
      <c r="F357" s="56">
        <f>+'COMUNAS - HOME DELIVERY 2026'!F357*1.1</f>
        <v>6299.2248000000009</v>
      </c>
      <c r="G357" s="57">
        <f>+'COMUNAS - HOME DELIVERY 2026'!G357*1.1</f>
        <v>7013.2656000000006</v>
      </c>
      <c r="H357" s="57">
        <f>+'COMUNAS - HOME DELIVERY 2026'!H357*1.1</f>
        <v>7710.2784000000011</v>
      </c>
      <c r="I357" s="57">
        <f>+'COMUNAS - HOME DELIVERY 2026'!I357*1.1</f>
        <v>9323.3976000000021</v>
      </c>
      <c r="J357" s="57">
        <f>+'COMUNAS - HOME DELIVERY 2026'!J357*1.1</f>
        <v>12192.048000000001</v>
      </c>
      <c r="K357" s="57">
        <f>+'COMUNAS - HOME DELIVERY 2026'!K357*1.1</f>
        <v>16092.595200000002</v>
      </c>
      <c r="L357" s="57">
        <f>+'COMUNAS - HOME DELIVERY 2026'!L357*1.1</f>
        <v>19100.875200000002</v>
      </c>
      <c r="M357" s="58">
        <f>+'COMUNAS - HOME DELIVERY 2026'!M357*1.1</f>
        <v>777.61200000000019</v>
      </c>
      <c r="N357" s="59">
        <f>+'COMUNAS - HOME DELIVERY 2026'!N357*1.1</f>
        <v>664.0920000000001</v>
      </c>
      <c r="O357" s="60"/>
      <c r="P357" s="2"/>
      <c r="Q357" s="2"/>
      <c r="R357" s="2"/>
      <c r="S357" s="2"/>
      <c r="T357" s="2"/>
      <c r="U357" s="2"/>
      <c r="V357" s="2"/>
      <c r="W357" s="2"/>
      <c r="X357" s="2"/>
      <c r="Y357" s="38"/>
    </row>
    <row r="358" spans="2:25" ht="15.75" customHeight="1" x14ac:dyDescent="0.3">
      <c r="B358" s="2"/>
      <c r="C358" s="61" t="s">
        <v>679</v>
      </c>
      <c r="D358" s="62" t="s">
        <v>681</v>
      </c>
      <c r="E358" s="63" t="s">
        <v>682</v>
      </c>
      <c r="F358" s="64">
        <f>+'COMUNAS - HOME DELIVERY 2026'!F358*1.1</f>
        <v>26476.837200000002</v>
      </c>
      <c r="G358" s="65">
        <f>+'COMUNAS - HOME DELIVERY 2026'!G358*1.1</f>
        <v>27547.898400000005</v>
      </c>
      <c r="H358" s="65">
        <f>+'COMUNAS - HOME DELIVERY 2026'!H358*1.1</f>
        <v>28593.417600000001</v>
      </c>
      <c r="I358" s="65">
        <f>+'COMUNAS - HOME DELIVERY 2026'!I358*1.1</f>
        <v>31013.096400000006</v>
      </c>
      <c r="J358" s="65">
        <f>+'COMUNAS - HOME DELIVERY 2026'!J358*1.1</f>
        <v>35316.072</v>
      </c>
      <c r="K358" s="65">
        <f>+'COMUNAS - HOME DELIVERY 2026'!K358*1.1</f>
        <v>41166.892800000009</v>
      </c>
      <c r="L358" s="65">
        <f>+'COMUNAS - HOME DELIVERY 2026'!L358*1.1</f>
        <v>45679.312800000007</v>
      </c>
      <c r="M358" s="66">
        <f>+'COMUNAS - HOME DELIVERY 2026'!M358*1.1</f>
        <v>1166.4180000000001</v>
      </c>
      <c r="N358" s="67">
        <f>+'COMUNAS - HOME DELIVERY 2026'!N358*1.1</f>
        <v>996.13800000000015</v>
      </c>
      <c r="O358" s="60"/>
      <c r="P358" s="2"/>
      <c r="Q358" s="2"/>
      <c r="R358" s="2"/>
      <c r="S358" s="2"/>
      <c r="T358" s="2"/>
      <c r="U358" s="2"/>
      <c r="V358" s="2"/>
      <c r="W358" s="2"/>
      <c r="X358" s="2"/>
      <c r="Y358" s="38"/>
    </row>
    <row r="359" spans="2:25" ht="15.75" customHeight="1" x14ac:dyDescent="0.3">
      <c r="B359" s="2"/>
      <c r="C359" s="61" t="s">
        <v>679</v>
      </c>
      <c r="D359" s="62" t="s">
        <v>683</v>
      </c>
      <c r="E359" s="63" t="s">
        <v>684</v>
      </c>
      <c r="F359" s="64">
        <f>+'COMUNAS - HOME DELIVERY 2026'!F359*1.1</f>
        <v>26476.837200000002</v>
      </c>
      <c r="G359" s="65">
        <f>+'COMUNAS - HOME DELIVERY 2026'!G359*1.1</f>
        <v>27547.898400000005</v>
      </c>
      <c r="H359" s="65">
        <f>+'COMUNAS - HOME DELIVERY 2026'!H359*1.1</f>
        <v>28593.417600000001</v>
      </c>
      <c r="I359" s="65">
        <f>+'COMUNAS - HOME DELIVERY 2026'!I359*1.1</f>
        <v>31013.096400000006</v>
      </c>
      <c r="J359" s="65">
        <f>+'COMUNAS - HOME DELIVERY 2026'!J359*1.1</f>
        <v>35316.072</v>
      </c>
      <c r="K359" s="65">
        <f>+'COMUNAS - HOME DELIVERY 2026'!K359*1.1</f>
        <v>41166.892800000009</v>
      </c>
      <c r="L359" s="65">
        <f>+'COMUNAS - HOME DELIVERY 2026'!L359*1.1</f>
        <v>45679.312800000007</v>
      </c>
      <c r="M359" s="66">
        <f>+'COMUNAS - HOME DELIVERY 2026'!M359*1.1</f>
        <v>1166.4180000000001</v>
      </c>
      <c r="N359" s="67">
        <f>+'COMUNAS - HOME DELIVERY 2026'!N359*1.1</f>
        <v>996.13800000000015</v>
      </c>
      <c r="O359" s="60"/>
      <c r="P359" s="2"/>
      <c r="Q359" s="2"/>
      <c r="R359" s="2"/>
      <c r="S359" s="2"/>
      <c r="T359" s="2"/>
      <c r="U359" s="2"/>
      <c r="V359" s="2"/>
      <c r="W359" s="2"/>
      <c r="X359" s="2"/>
      <c r="Y359" s="38"/>
    </row>
    <row r="360" spans="2:25" ht="15.75" customHeight="1" thickBot="1" x14ac:dyDescent="0.35">
      <c r="B360" s="2"/>
      <c r="C360" s="68" t="s">
        <v>679</v>
      </c>
      <c r="D360" s="69" t="s">
        <v>685</v>
      </c>
      <c r="E360" s="70" t="s">
        <v>686</v>
      </c>
      <c r="F360" s="71">
        <f>+'COMUNAS - HOME DELIVERY 2026'!F360*1.1</f>
        <v>26476.837200000002</v>
      </c>
      <c r="G360" s="72">
        <f>+'COMUNAS - HOME DELIVERY 2026'!G360*1.1</f>
        <v>27547.898400000005</v>
      </c>
      <c r="H360" s="72">
        <f>+'COMUNAS - HOME DELIVERY 2026'!H360*1.1</f>
        <v>28593.417600000001</v>
      </c>
      <c r="I360" s="72">
        <f>+'COMUNAS - HOME DELIVERY 2026'!I360*1.1</f>
        <v>31013.096400000006</v>
      </c>
      <c r="J360" s="72">
        <f>+'COMUNAS - HOME DELIVERY 2026'!J360*1.1</f>
        <v>35316.072</v>
      </c>
      <c r="K360" s="72">
        <f>+'COMUNAS - HOME DELIVERY 2026'!K360*1.1</f>
        <v>41166.892800000009</v>
      </c>
      <c r="L360" s="72">
        <f>+'COMUNAS - HOME DELIVERY 2026'!L360*1.1</f>
        <v>45679.312800000007</v>
      </c>
      <c r="M360" s="73">
        <f>+'COMUNAS - HOME DELIVERY 2026'!M360*1.1</f>
        <v>1166.4180000000001</v>
      </c>
      <c r="N360" s="74">
        <f>+'COMUNAS - HOME DELIVERY 2026'!N360*1.1</f>
        <v>996.13800000000015</v>
      </c>
      <c r="O360" s="60"/>
      <c r="P360" s="2"/>
      <c r="Q360" s="2"/>
      <c r="R360" s="2"/>
      <c r="S360" s="2"/>
      <c r="T360" s="2"/>
      <c r="U360" s="2"/>
      <c r="V360" s="2"/>
      <c r="W360" s="2"/>
      <c r="X360" s="2"/>
      <c r="Y360" s="38"/>
    </row>
    <row r="361" spans="2:25" ht="15.75" customHeight="1" x14ac:dyDescent="0.3">
      <c r="B361" s="2"/>
      <c r="C361" s="53" t="s">
        <v>687</v>
      </c>
      <c r="D361" s="54" t="s">
        <v>688</v>
      </c>
      <c r="E361" s="55" t="s">
        <v>58</v>
      </c>
      <c r="F361" s="56">
        <f>+'COMUNAS - HOME DELIVERY 2026'!F361*1.1</f>
        <v>6008.6136000000006</v>
      </c>
      <c r="G361" s="57">
        <f>+'COMUNAS - HOME DELIVERY 2026'!G361*1.1</f>
        <v>6553.5096000000003</v>
      </c>
      <c r="H361" s="57">
        <f>+'COMUNAS - HOME DELIVERY 2026'!H361*1.1</f>
        <v>7206.249600000001</v>
      </c>
      <c r="I361" s="57">
        <f>+'COMUNAS - HOME DELIVERY 2026'!I361*1.1</f>
        <v>8714.9304000000011</v>
      </c>
      <c r="J361" s="57">
        <f>+'COMUNAS - HOME DELIVERY 2026'!J361*1.1</f>
        <v>11395.137600000002</v>
      </c>
      <c r="K361" s="57">
        <f>+'COMUNAS - HOME DELIVERY 2026'!K361*1.1</f>
        <v>15040.264800000003</v>
      </c>
      <c r="L361" s="57">
        <f>+'COMUNAS - HOME DELIVERY 2026'!L361*1.1</f>
        <v>17949.7824</v>
      </c>
      <c r="M361" s="58">
        <f>+'COMUNAS - HOME DELIVERY 2026'!M361*1.1</f>
        <v>763.98960000000011</v>
      </c>
      <c r="N361" s="59">
        <f>+'COMUNAS - HOME DELIVERY 2026'!N361*1.1</f>
        <v>634.57680000000005</v>
      </c>
      <c r="O361" s="60"/>
      <c r="P361" s="2"/>
      <c r="Q361" s="2"/>
      <c r="R361" s="2"/>
      <c r="S361" s="2"/>
      <c r="T361" s="2"/>
      <c r="U361" s="2"/>
      <c r="V361" s="2"/>
      <c r="W361" s="2"/>
      <c r="X361" s="2"/>
      <c r="Y361" s="38"/>
    </row>
    <row r="362" spans="2:25" ht="15.75" customHeight="1" x14ac:dyDescent="0.3">
      <c r="B362" s="2"/>
      <c r="C362" s="61" t="s">
        <v>687</v>
      </c>
      <c r="D362" s="62" t="s">
        <v>689</v>
      </c>
      <c r="E362" s="63" t="s">
        <v>690</v>
      </c>
      <c r="F362" s="64">
        <f>+'COMUNAS - HOME DELIVERY 2026'!F362*1.1</f>
        <v>6008.6136000000006</v>
      </c>
      <c r="G362" s="65">
        <f>+'COMUNAS - HOME DELIVERY 2026'!G362*1.1</f>
        <v>6553.5096000000003</v>
      </c>
      <c r="H362" s="65">
        <f>+'COMUNAS - HOME DELIVERY 2026'!H362*1.1</f>
        <v>7206.249600000001</v>
      </c>
      <c r="I362" s="65">
        <f>+'COMUNAS - HOME DELIVERY 2026'!I362*1.1</f>
        <v>8714.9304000000011</v>
      </c>
      <c r="J362" s="65">
        <f>+'COMUNAS - HOME DELIVERY 2026'!J362*1.1</f>
        <v>11395.137600000002</v>
      </c>
      <c r="K362" s="65">
        <f>+'COMUNAS - HOME DELIVERY 2026'!K362*1.1</f>
        <v>15040.264800000003</v>
      </c>
      <c r="L362" s="65">
        <f>+'COMUNAS - HOME DELIVERY 2026'!L362*1.1</f>
        <v>17949.7824</v>
      </c>
      <c r="M362" s="66">
        <f>+'COMUNAS - HOME DELIVERY 2026'!M362*1.1</f>
        <v>763.98960000000011</v>
      </c>
      <c r="N362" s="67">
        <f>+'COMUNAS - HOME DELIVERY 2026'!N362*1.1</f>
        <v>634.57680000000005</v>
      </c>
      <c r="O362" s="60"/>
      <c r="P362" s="2"/>
      <c r="Q362" s="2"/>
      <c r="R362" s="2"/>
      <c r="S362" s="2"/>
      <c r="T362" s="2"/>
      <c r="U362" s="2"/>
      <c r="V362" s="2"/>
      <c r="W362" s="2"/>
      <c r="X362" s="2"/>
      <c r="Y362" s="38"/>
    </row>
    <row r="363" spans="2:25" ht="15.75" customHeight="1" x14ac:dyDescent="0.3">
      <c r="B363" s="2"/>
      <c r="C363" s="61" t="s">
        <v>687</v>
      </c>
      <c r="D363" s="62" t="s">
        <v>691</v>
      </c>
      <c r="E363" s="63" t="s">
        <v>692</v>
      </c>
      <c r="F363" s="64">
        <f>+'COMUNAS - HOME DELIVERY 2026'!F363*1.1</f>
        <v>26040.920400000003</v>
      </c>
      <c r="G363" s="65">
        <f>+'COMUNAS - HOME DELIVERY 2026'!G363*1.1</f>
        <v>26858.2644</v>
      </c>
      <c r="H363" s="65">
        <f>+'COMUNAS - HOME DELIVERY 2026'!H363*1.1</f>
        <v>27837.374400000004</v>
      </c>
      <c r="I363" s="65">
        <f>+'COMUNAS - HOME DELIVERY 2026'!I363*1.1</f>
        <v>30100.3956</v>
      </c>
      <c r="J363" s="65">
        <f>+'COMUNAS - HOME DELIVERY 2026'!J363*1.1</f>
        <v>34120.706400000003</v>
      </c>
      <c r="K363" s="65">
        <f>+'COMUNAS - HOME DELIVERY 2026'!K363*1.1</f>
        <v>39588.397199999999</v>
      </c>
      <c r="L363" s="65">
        <f>+'COMUNAS - HOME DELIVERY 2026'!L363*1.1</f>
        <v>43952.673600000009</v>
      </c>
      <c r="M363" s="66">
        <f>+'COMUNAS - HOME DELIVERY 2026'!M363*1.1</f>
        <v>1145.9844000000003</v>
      </c>
      <c r="N363" s="67">
        <f>+'COMUNAS - HOME DELIVERY 2026'!N363*1.1</f>
        <v>951.86520000000007</v>
      </c>
      <c r="O363" s="60"/>
      <c r="P363" s="2"/>
      <c r="Q363" s="2"/>
      <c r="R363" s="2"/>
      <c r="S363" s="2"/>
      <c r="T363" s="2"/>
      <c r="U363" s="2"/>
      <c r="V363" s="2"/>
      <c r="W363" s="2"/>
      <c r="X363" s="2"/>
      <c r="Y363" s="38"/>
    </row>
    <row r="364" spans="2:25" ht="15.75" customHeight="1" x14ac:dyDescent="0.3">
      <c r="B364" s="2"/>
      <c r="C364" s="61" t="s">
        <v>687</v>
      </c>
      <c r="D364" s="62" t="s">
        <v>693</v>
      </c>
      <c r="E364" s="63" t="s">
        <v>694</v>
      </c>
      <c r="F364" s="64">
        <f>+'COMUNAS - HOME DELIVERY 2026'!F364*1.1</f>
        <v>26040.920400000003</v>
      </c>
      <c r="G364" s="65">
        <f>+'COMUNAS - HOME DELIVERY 2026'!G364*1.1</f>
        <v>26858.2644</v>
      </c>
      <c r="H364" s="65">
        <f>+'COMUNAS - HOME DELIVERY 2026'!H364*1.1</f>
        <v>27837.374400000004</v>
      </c>
      <c r="I364" s="65">
        <f>+'COMUNAS - HOME DELIVERY 2026'!I364*1.1</f>
        <v>30100.3956</v>
      </c>
      <c r="J364" s="65">
        <f>+'COMUNAS - HOME DELIVERY 2026'!J364*1.1</f>
        <v>34120.706400000003</v>
      </c>
      <c r="K364" s="65">
        <f>+'COMUNAS - HOME DELIVERY 2026'!K364*1.1</f>
        <v>39588.397199999999</v>
      </c>
      <c r="L364" s="65">
        <f>+'COMUNAS - HOME DELIVERY 2026'!L364*1.1</f>
        <v>43952.673600000009</v>
      </c>
      <c r="M364" s="66">
        <f>+'COMUNAS - HOME DELIVERY 2026'!M364*1.1</f>
        <v>1145.9844000000003</v>
      </c>
      <c r="N364" s="67">
        <f>+'COMUNAS - HOME DELIVERY 2026'!N364*1.1</f>
        <v>951.86520000000007</v>
      </c>
      <c r="O364" s="60"/>
      <c r="P364" s="2"/>
      <c r="Q364" s="2"/>
      <c r="R364" s="2"/>
      <c r="S364" s="2"/>
      <c r="T364" s="2"/>
      <c r="U364" s="2"/>
      <c r="V364" s="2"/>
      <c r="W364" s="2"/>
      <c r="X364" s="2"/>
      <c r="Y364" s="38"/>
    </row>
    <row r="365" spans="2:25" ht="15.75" customHeight="1" x14ac:dyDescent="0.3">
      <c r="B365" s="2"/>
      <c r="C365" s="61" t="s">
        <v>687</v>
      </c>
      <c r="D365" s="62" t="s">
        <v>695</v>
      </c>
      <c r="E365" s="63" t="s">
        <v>696</v>
      </c>
      <c r="F365" s="64">
        <f>+'COMUNAS - HOME DELIVERY 2026'!F365*1.1</f>
        <v>9012.9204000000009</v>
      </c>
      <c r="G365" s="65">
        <f>+'COMUNAS - HOME DELIVERY 2026'!G365*1.1</f>
        <v>9830.2644</v>
      </c>
      <c r="H365" s="65">
        <f>+'COMUNAS - HOME DELIVERY 2026'!H365*1.1</f>
        <v>10809.374400000001</v>
      </c>
      <c r="I365" s="65">
        <f>+'COMUNAS - HOME DELIVERY 2026'!I365*1.1</f>
        <v>13072.395600000002</v>
      </c>
      <c r="J365" s="65">
        <f>+'COMUNAS - HOME DELIVERY 2026'!J365*1.1</f>
        <v>17092.706400000003</v>
      </c>
      <c r="K365" s="65">
        <f>+'COMUNAS - HOME DELIVERY 2026'!K365*1.1</f>
        <v>22560.397200000003</v>
      </c>
      <c r="L365" s="65">
        <f>+'COMUNAS - HOME DELIVERY 2026'!L365*1.1</f>
        <v>26924.673600000006</v>
      </c>
      <c r="M365" s="66">
        <f>+'COMUNAS - HOME DELIVERY 2026'!M365*1.1</f>
        <v>1145.9844000000003</v>
      </c>
      <c r="N365" s="67">
        <f>+'COMUNAS - HOME DELIVERY 2026'!N365*1.1</f>
        <v>951.86520000000007</v>
      </c>
      <c r="O365" s="60"/>
      <c r="P365" s="2"/>
      <c r="Q365" s="2"/>
      <c r="R365" s="2"/>
      <c r="S365" s="2"/>
      <c r="T365" s="2"/>
      <c r="U365" s="2"/>
      <c r="V365" s="2"/>
      <c r="W365" s="2"/>
      <c r="X365" s="2"/>
      <c r="Y365" s="38"/>
    </row>
    <row r="366" spans="2:25" ht="15.75" customHeight="1" x14ac:dyDescent="0.3">
      <c r="B366" s="2"/>
      <c r="C366" s="61" t="s">
        <v>687</v>
      </c>
      <c r="D366" s="62" t="s">
        <v>697</v>
      </c>
      <c r="E366" s="63" t="s">
        <v>698</v>
      </c>
      <c r="F366" s="64">
        <f>+'COMUNAS - HOME DELIVERY 2026'!F366*1.1</f>
        <v>9012.9204000000009</v>
      </c>
      <c r="G366" s="65">
        <f>+'COMUNAS - HOME DELIVERY 2026'!G366*1.1</f>
        <v>9830.2644</v>
      </c>
      <c r="H366" s="65">
        <f>+'COMUNAS - HOME DELIVERY 2026'!H366*1.1</f>
        <v>10809.374400000001</v>
      </c>
      <c r="I366" s="65">
        <f>+'COMUNAS - HOME DELIVERY 2026'!I366*1.1</f>
        <v>13072.395600000002</v>
      </c>
      <c r="J366" s="65">
        <f>+'COMUNAS - HOME DELIVERY 2026'!J366*1.1</f>
        <v>17092.706400000003</v>
      </c>
      <c r="K366" s="65">
        <f>+'COMUNAS - HOME DELIVERY 2026'!K366*1.1</f>
        <v>22560.397200000003</v>
      </c>
      <c r="L366" s="65">
        <f>+'COMUNAS - HOME DELIVERY 2026'!L366*1.1</f>
        <v>26924.673600000006</v>
      </c>
      <c r="M366" s="66">
        <f>+'COMUNAS - HOME DELIVERY 2026'!M366*1.1</f>
        <v>1145.9844000000003</v>
      </c>
      <c r="N366" s="67">
        <f>+'COMUNAS - HOME DELIVERY 2026'!N366*1.1</f>
        <v>951.86520000000007</v>
      </c>
      <c r="O366" s="60"/>
      <c r="P366" s="2"/>
      <c r="Q366" s="2"/>
      <c r="R366" s="2"/>
      <c r="S366" s="2"/>
      <c r="T366" s="2"/>
      <c r="U366" s="2"/>
      <c r="V366" s="2"/>
      <c r="W366" s="2"/>
      <c r="X366" s="2"/>
      <c r="Y366" s="38"/>
    </row>
    <row r="367" spans="2:25" ht="15.75" customHeight="1" thickBot="1" x14ac:dyDescent="0.35">
      <c r="B367" s="2"/>
      <c r="C367" s="68" t="s">
        <v>687</v>
      </c>
      <c r="D367" s="69" t="s">
        <v>699</v>
      </c>
      <c r="E367" s="70" t="s">
        <v>700</v>
      </c>
      <c r="F367" s="71">
        <f>+'COMUNAS - HOME DELIVERY 2026'!F367*1.1</f>
        <v>9012.9204000000009</v>
      </c>
      <c r="G367" s="72">
        <f>+'COMUNAS - HOME DELIVERY 2026'!G367*1.1</f>
        <v>9830.2644</v>
      </c>
      <c r="H367" s="72">
        <f>+'COMUNAS - HOME DELIVERY 2026'!H367*1.1</f>
        <v>10809.374400000001</v>
      </c>
      <c r="I367" s="72">
        <f>+'COMUNAS - HOME DELIVERY 2026'!I367*1.1</f>
        <v>13072.395600000002</v>
      </c>
      <c r="J367" s="72">
        <f>+'COMUNAS - HOME DELIVERY 2026'!J367*1.1</f>
        <v>17092.706400000003</v>
      </c>
      <c r="K367" s="72">
        <f>+'COMUNAS - HOME DELIVERY 2026'!K367*1.1</f>
        <v>22560.397200000003</v>
      </c>
      <c r="L367" s="72">
        <f>+'COMUNAS - HOME DELIVERY 2026'!L367*1.1</f>
        <v>26924.673600000006</v>
      </c>
      <c r="M367" s="73">
        <f>+'COMUNAS - HOME DELIVERY 2026'!M367*1.1</f>
        <v>1145.9844000000003</v>
      </c>
      <c r="N367" s="74">
        <f>+'COMUNAS - HOME DELIVERY 2026'!N367*1.1</f>
        <v>951.86520000000007</v>
      </c>
      <c r="O367" s="60"/>
      <c r="P367" s="2"/>
      <c r="Q367" s="2"/>
      <c r="R367" s="2"/>
      <c r="S367" s="2"/>
      <c r="T367" s="2"/>
      <c r="U367" s="2"/>
      <c r="V367" s="2"/>
      <c r="W367" s="2"/>
      <c r="X367" s="2"/>
      <c r="Y367" s="38"/>
    </row>
    <row r="368" spans="2:25" ht="15.75" customHeight="1" x14ac:dyDescent="0.3">
      <c r="B368" s="2"/>
      <c r="C368" s="53" t="s">
        <v>701</v>
      </c>
      <c r="D368" s="54" t="s">
        <v>702</v>
      </c>
      <c r="E368" s="55" t="s">
        <v>60</v>
      </c>
      <c r="F368" s="56">
        <f>+'COMUNAS - HOME DELIVERY 2026'!F368*1.1</f>
        <v>5767.9512000000013</v>
      </c>
      <c r="G368" s="57">
        <f>+'COMUNAS - HOME DELIVERY 2026'!G368*1.1</f>
        <v>6166.4064000000008</v>
      </c>
      <c r="H368" s="57">
        <f>+'COMUNAS - HOME DELIVERY 2026'!H368*1.1</f>
        <v>6778.2792000000009</v>
      </c>
      <c r="I368" s="57">
        <f>+'COMUNAS - HOME DELIVERY 2026'!I368*1.1</f>
        <v>8196.1440000000002</v>
      </c>
      <c r="J368" s="57">
        <f>+'COMUNAS - HOME DELIVERY 2026'!J368*1.1</f>
        <v>10205.448</v>
      </c>
      <c r="K368" s="57">
        <f>+'COMUNAS - HOME DELIVERY 2026'!K368*1.1</f>
        <v>13471.418400000002</v>
      </c>
      <c r="L368" s="57">
        <f>+'COMUNAS - HOME DELIVERY 2026'!L368*1.1</f>
        <v>16159.572000000002</v>
      </c>
      <c r="M368" s="58">
        <f>+'COMUNAS - HOME DELIVERY 2026'!M368*1.1</f>
        <v>729.93360000000007</v>
      </c>
      <c r="N368" s="59">
        <f>+'COMUNAS - HOME DELIVERY 2026'!N368*1.1</f>
        <v>601.65600000000006</v>
      </c>
      <c r="O368" s="60"/>
      <c r="P368" s="2"/>
      <c r="Q368" s="2"/>
      <c r="R368" s="2"/>
      <c r="S368" s="2"/>
      <c r="T368" s="2"/>
      <c r="U368" s="2"/>
      <c r="V368" s="2"/>
      <c r="W368" s="2"/>
      <c r="X368" s="2"/>
      <c r="Y368" s="38"/>
    </row>
    <row r="369" spans="2:25" ht="15.75" customHeight="1" x14ac:dyDescent="0.3">
      <c r="B369" s="2"/>
      <c r="C369" s="61" t="s">
        <v>701</v>
      </c>
      <c r="D369" s="62" t="s">
        <v>703</v>
      </c>
      <c r="E369" s="63" t="s">
        <v>59</v>
      </c>
      <c r="F369" s="64">
        <f>+'COMUNAS - HOME DELIVERY 2026'!F369*1.1</f>
        <v>6008.6136000000006</v>
      </c>
      <c r="G369" s="65">
        <f>+'COMUNAS - HOME DELIVERY 2026'!G369*1.1</f>
        <v>6553.5096000000003</v>
      </c>
      <c r="H369" s="65">
        <f>+'COMUNAS - HOME DELIVERY 2026'!H369*1.1</f>
        <v>7206.249600000001</v>
      </c>
      <c r="I369" s="65">
        <f>+'COMUNAS - HOME DELIVERY 2026'!I369*1.1</f>
        <v>8714.9304000000011</v>
      </c>
      <c r="J369" s="65">
        <f>+'COMUNAS - HOME DELIVERY 2026'!J369*1.1</f>
        <v>11395.137600000002</v>
      </c>
      <c r="K369" s="65">
        <f>+'COMUNAS - HOME DELIVERY 2026'!K369*1.1</f>
        <v>15040.264800000003</v>
      </c>
      <c r="L369" s="65">
        <f>+'COMUNAS - HOME DELIVERY 2026'!L369*1.1</f>
        <v>17949.7824</v>
      </c>
      <c r="M369" s="66">
        <f>+'COMUNAS - HOME DELIVERY 2026'!M369*1.1</f>
        <v>763.98960000000011</v>
      </c>
      <c r="N369" s="67">
        <f>+'COMUNAS - HOME DELIVERY 2026'!N369*1.1</f>
        <v>634.57680000000005</v>
      </c>
      <c r="O369" s="60"/>
      <c r="P369" s="2"/>
      <c r="Q369" s="2"/>
      <c r="R369" s="2"/>
      <c r="S369" s="2"/>
      <c r="T369" s="2"/>
      <c r="U369" s="2"/>
      <c r="V369" s="2"/>
      <c r="W369" s="2"/>
      <c r="X369" s="2"/>
      <c r="Y369" s="38"/>
    </row>
    <row r="370" spans="2:25" ht="15.75" customHeight="1" x14ac:dyDescent="0.3">
      <c r="B370" s="2"/>
      <c r="C370" s="61" t="s">
        <v>701</v>
      </c>
      <c r="D370" s="62" t="s">
        <v>704</v>
      </c>
      <c r="E370" s="63" t="s">
        <v>705</v>
      </c>
      <c r="F370" s="64">
        <f>+'COMUNAS - HOME DELIVERY 2026'!F370*1.1</f>
        <v>8651.9268000000011</v>
      </c>
      <c r="G370" s="65">
        <f>+'COMUNAS - HOME DELIVERY 2026'!G370*1.1</f>
        <v>9249.6096000000016</v>
      </c>
      <c r="H370" s="65">
        <f>+'COMUNAS - HOME DELIVERY 2026'!H370*1.1</f>
        <v>10167.418800000001</v>
      </c>
      <c r="I370" s="65">
        <f>+'COMUNAS - HOME DELIVERY 2026'!I370*1.1</f>
        <v>12294.216</v>
      </c>
      <c r="J370" s="65">
        <f>+'COMUNAS - HOME DELIVERY 2026'!J370*1.1</f>
        <v>15308.172000000002</v>
      </c>
      <c r="K370" s="65">
        <f>+'COMUNAS - HOME DELIVERY 2026'!K370*1.1</f>
        <v>20207.127600000003</v>
      </c>
      <c r="L370" s="65">
        <f>+'COMUNAS - HOME DELIVERY 2026'!L370*1.1</f>
        <v>24239.358</v>
      </c>
      <c r="M370" s="66">
        <f>+'COMUNAS - HOME DELIVERY 2026'!M370*1.1</f>
        <v>1094.9004000000002</v>
      </c>
      <c r="N370" s="67">
        <f>+'COMUNAS - HOME DELIVERY 2026'!N370*1.1</f>
        <v>902.48400000000015</v>
      </c>
      <c r="O370" s="60"/>
      <c r="P370" s="2"/>
      <c r="Q370" s="2"/>
      <c r="R370" s="2"/>
      <c r="S370" s="2"/>
      <c r="T370" s="2"/>
      <c r="U370" s="2"/>
      <c r="V370" s="2"/>
      <c r="W370" s="2"/>
      <c r="X370" s="2"/>
      <c r="Y370" s="38"/>
    </row>
    <row r="371" spans="2:25" ht="15.75" customHeight="1" x14ac:dyDescent="0.3">
      <c r="B371" s="2"/>
      <c r="C371" s="61" t="s">
        <v>701</v>
      </c>
      <c r="D371" s="62" t="s">
        <v>706</v>
      </c>
      <c r="E371" s="63" t="s">
        <v>707</v>
      </c>
      <c r="F371" s="64">
        <f>+'COMUNAS - HOME DELIVERY 2026'!F371*1.1</f>
        <v>8651.9268000000011</v>
      </c>
      <c r="G371" s="65">
        <f>+'COMUNAS - HOME DELIVERY 2026'!G371*1.1</f>
        <v>9249.6096000000016</v>
      </c>
      <c r="H371" s="65">
        <f>+'COMUNAS - HOME DELIVERY 2026'!H371*1.1</f>
        <v>10167.418800000001</v>
      </c>
      <c r="I371" s="65">
        <f>+'COMUNAS - HOME DELIVERY 2026'!I371*1.1</f>
        <v>12294.216</v>
      </c>
      <c r="J371" s="65">
        <f>+'COMUNAS - HOME DELIVERY 2026'!J371*1.1</f>
        <v>15308.172000000002</v>
      </c>
      <c r="K371" s="65">
        <f>+'COMUNAS - HOME DELIVERY 2026'!K371*1.1</f>
        <v>20207.127600000003</v>
      </c>
      <c r="L371" s="65">
        <f>+'COMUNAS - HOME DELIVERY 2026'!L371*1.1</f>
        <v>24239.358</v>
      </c>
      <c r="M371" s="66">
        <f>+'COMUNAS - HOME DELIVERY 2026'!M371*1.1</f>
        <v>1094.9004000000002</v>
      </c>
      <c r="N371" s="67">
        <f>+'COMUNAS - HOME DELIVERY 2026'!N371*1.1</f>
        <v>902.48400000000015</v>
      </c>
      <c r="O371" s="60"/>
      <c r="P371" s="2"/>
      <c r="Q371" s="2"/>
      <c r="R371" s="2"/>
      <c r="S371" s="2"/>
      <c r="T371" s="2"/>
      <c r="U371" s="2"/>
      <c r="V371" s="2"/>
      <c r="W371" s="2"/>
      <c r="X371" s="2"/>
      <c r="Y371" s="38"/>
    </row>
    <row r="372" spans="2:25" ht="15.75" customHeight="1" x14ac:dyDescent="0.3">
      <c r="B372" s="2"/>
      <c r="C372" s="61" t="s">
        <v>701</v>
      </c>
      <c r="D372" s="62" t="s">
        <v>708</v>
      </c>
      <c r="E372" s="63" t="s">
        <v>709</v>
      </c>
      <c r="F372" s="64">
        <f>+'COMUNAS - HOME DELIVERY 2026'!F372*1.1</f>
        <v>26040.920400000003</v>
      </c>
      <c r="G372" s="65">
        <f>+'COMUNAS - HOME DELIVERY 2026'!G372*1.1</f>
        <v>26858.2644</v>
      </c>
      <c r="H372" s="65">
        <f>+'COMUNAS - HOME DELIVERY 2026'!H372*1.1</f>
        <v>27837.374400000004</v>
      </c>
      <c r="I372" s="65">
        <f>+'COMUNAS - HOME DELIVERY 2026'!I372*1.1</f>
        <v>30100.3956</v>
      </c>
      <c r="J372" s="65">
        <f>+'COMUNAS - HOME DELIVERY 2026'!J372*1.1</f>
        <v>34120.706400000003</v>
      </c>
      <c r="K372" s="65">
        <f>+'COMUNAS - HOME DELIVERY 2026'!K372*1.1</f>
        <v>39588.397199999999</v>
      </c>
      <c r="L372" s="65">
        <f>+'COMUNAS - HOME DELIVERY 2026'!L372*1.1</f>
        <v>43952.673600000009</v>
      </c>
      <c r="M372" s="66">
        <f>+'COMUNAS - HOME DELIVERY 2026'!M372*1.1</f>
        <v>1145.9844000000003</v>
      </c>
      <c r="N372" s="67">
        <f>+'COMUNAS - HOME DELIVERY 2026'!N372*1.1</f>
        <v>951.86520000000007</v>
      </c>
      <c r="O372" s="60"/>
      <c r="P372" s="2"/>
      <c r="Q372" s="2"/>
      <c r="R372" s="2"/>
      <c r="S372" s="2"/>
      <c r="T372" s="2"/>
      <c r="U372" s="2"/>
      <c r="V372" s="2"/>
      <c r="W372" s="2"/>
      <c r="X372" s="2"/>
      <c r="Y372" s="38"/>
    </row>
    <row r="373" spans="2:25" ht="15.75" customHeight="1" x14ac:dyDescent="0.3">
      <c r="B373" s="2"/>
      <c r="C373" s="61" t="s">
        <v>701</v>
      </c>
      <c r="D373" s="62" t="s">
        <v>710</v>
      </c>
      <c r="E373" s="63" t="s">
        <v>711</v>
      </c>
      <c r="F373" s="64">
        <f>+'COMUNAS - HOME DELIVERY 2026'!F373*1.1</f>
        <v>9012.9204000000009</v>
      </c>
      <c r="G373" s="65">
        <f>+'COMUNAS - HOME DELIVERY 2026'!G373*1.1</f>
        <v>9830.2644</v>
      </c>
      <c r="H373" s="65">
        <f>+'COMUNAS - HOME DELIVERY 2026'!H373*1.1</f>
        <v>10809.374400000001</v>
      </c>
      <c r="I373" s="65">
        <f>+'COMUNAS - HOME DELIVERY 2026'!I373*1.1</f>
        <v>13072.395600000002</v>
      </c>
      <c r="J373" s="65">
        <f>+'COMUNAS - HOME DELIVERY 2026'!J373*1.1</f>
        <v>17092.706400000003</v>
      </c>
      <c r="K373" s="65">
        <f>+'COMUNAS - HOME DELIVERY 2026'!K373*1.1</f>
        <v>22560.397200000003</v>
      </c>
      <c r="L373" s="65">
        <f>+'COMUNAS - HOME DELIVERY 2026'!L373*1.1</f>
        <v>26924.673600000006</v>
      </c>
      <c r="M373" s="66">
        <f>+'COMUNAS - HOME DELIVERY 2026'!M373*1.1</f>
        <v>1145.9844000000003</v>
      </c>
      <c r="N373" s="67">
        <f>+'COMUNAS - HOME DELIVERY 2026'!N373*1.1</f>
        <v>951.86520000000007</v>
      </c>
      <c r="O373" s="60"/>
      <c r="P373" s="2"/>
      <c r="Q373" s="2"/>
      <c r="R373" s="2"/>
      <c r="S373" s="2"/>
      <c r="T373" s="2"/>
      <c r="U373" s="2"/>
      <c r="V373" s="2"/>
      <c r="W373" s="2"/>
      <c r="X373" s="2"/>
      <c r="Y373" s="38"/>
    </row>
    <row r="374" spans="2:25" ht="15.75" customHeight="1" x14ac:dyDescent="0.3">
      <c r="B374" s="2"/>
      <c r="C374" s="61" t="s">
        <v>701</v>
      </c>
      <c r="D374" s="62" t="s">
        <v>712</v>
      </c>
      <c r="E374" s="63" t="s">
        <v>713</v>
      </c>
      <c r="F374" s="64">
        <f>+'COMUNAS - HOME DELIVERY 2026'!F374*1.1</f>
        <v>9012.9204000000009</v>
      </c>
      <c r="G374" s="65">
        <f>+'COMUNAS - HOME DELIVERY 2026'!G374*1.1</f>
        <v>9830.2644</v>
      </c>
      <c r="H374" s="65">
        <f>+'COMUNAS - HOME DELIVERY 2026'!H374*1.1</f>
        <v>10809.374400000001</v>
      </c>
      <c r="I374" s="65">
        <f>+'COMUNAS - HOME DELIVERY 2026'!I374*1.1</f>
        <v>13072.395600000002</v>
      </c>
      <c r="J374" s="65">
        <f>+'COMUNAS - HOME DELIVERY 2026'!J374*1.1</f>
        <v>17092.706400000003</v>
      </c>
      <c r="K374" s="65">
        <f>+'COMUNAS - HOME DELIVERY 2026'!K374*1.1</f>
        <v>22560.397200000003</v>
      </c>
      <c r="L374" s="65">
        <f>+'COMUNAS - HOME DELIVERY 2026'!L374*1.1</f>
        <v>26924.673600000006</v>
      </c>
      <c r="M374" s="66">
        <f>+'COMUNAS - HOME DELIVERY 2026'!M374*1.1</f>
        <v>1145.9844000000003</v>
      </c>
      <c r="N374" s="67">
        <f>+'COMUNAS - HOME DELIVERY 2026'!N374*1.1</f>
        <v>951.86520000000007</v>
      </c>
      <c r="O374" s="60"/>
      <c r="P374" s="2"/>
      <c r="Q374" s="2"/>
      <c r="R374" s="2"/>
      <c r="S374" s="2"/>
      <c r="T374" s="2"/>
      <c r="U374" s="2"/>
      <c r="V374" s="2"/>
      <c r="W374" s="2"/>
      <c r="X374" s="2"/>
      <c r="Y374" s="38"/>
    </row>
    <row r="375" spans="2:25" ht="15.75" customHeight="1" x14ac:dyDescent="0.3">
      <c r="B375" s="2"/>
      <c r="C375" s="61" t="s">
        <v>701</v>
      </c>
      <c r="D375" s="62" t="s">
        <v>714</v>
      </c>
      <c r="E375" s="63" t="s">
        <v>715</v>
      </c>
      <c r="F375" s="64">
        <f>+'COMUNAS - HOME DELIVERY 2026'!F375*1.1</f>
        <v>8651.9268000000011</v>
      </c>
      <c r="G375" s="65">
        <f>+'COMUNAS - HOME DELIVERY 2026'!G375*1.1</f>
        <v>9249.6096000000016</v>
      </c>
      <c r="H375" s="65">
        <f>+'COMUNAS - HOME DELIVERY 2026'!H375*1.1</f>
        <v>10167.418800000001</v>
      </c>
      <c r="I375" s="65">
        <f>+'COMUNAS - HOME DELIVERY 2026'!I375*1.1</f>
        <v>12294.216</v>
      </c>
      <c r="J375" s="65">
        <f>+'COMUNAS - HOME DELIVERY 2026'!J375*1.1</f>
        <v>15308.172000000002</v>
      </c>
      <c r="K375" s="65">
        <f>+'COMUNAS - HOME DELIVERY 2026'!K375*1.1</f>
        <v>20207.127600000003</v>
      </c>
      <c r="L375" s="65">
        <f>+'COMUNAS - HOME DELIVERY 2026'!L375*1.1</f>
        <v>24239.358</v>
      </c>
      <c r="M375" s="66">
        <f>+'COMUNAS - HOME DELIVERY 2026'!M375*1.1</f>
        <v>1094.9004000000002</v>
      </c>
      <c r="N375" s="67">
        <f>+'COMUNAS - HOME DELIVERY 2026'!N375*1.1</f>
        <v>902.48400000000015</v>
      </c>
      <c r="O375" s="60"/>
      <c r="P375" s="2"/>
      <c r="Q375" s="2"/>
      <c r="R375" s="2"/>
      <c r="S375" s="2"/>
      <c r="T375" s="2"/>
      <c r="U375" s="2"/>
      <c r="V375" s="2"/>
      <c r="W375" s="2"/>
      <c r="X375" s="2"/>
      <c r="Y375" s="38"/>
    </row>
    <row r="376" spans="2:25" ht="15.75" customHeight="1" thickBot="1" x14ac:dyDescent="0.35">
      <c r="B376" s="2"/>
      <c r="C376" s="68" t="s">
        <v>701</v>
      </c>
      <c r="D376" s="69" t="s">
        <v>716</v>
      </c>
      <c r="E376" s="70" t="s">
        <v>717</v>
      </c>
      <c r="F376" s="71">
        <f>+'COMUNAS - HOME DELIVERY 2026'!F376*1.1</f>
        <v>8651.9268000000011</v>
      </c>
      <c r="G376" s="72">
        <f>+'COMUNAS - HOME DELIVERY 2026'!G376*1.1</f>
        <v>9249.6096000000016</v>
      </c>
      <c r="H376" s="72">
        <f>+'COMUNAS - HOME DELIVERY 2026'!H376*1.1</f>
        <v>10167.418800000001</v>
      </c>
      <c r="I376" s="72">
        <f>+'COMUNAS - HOME DELIVERY 2026'!I376*1.1</f>
        <v>12294.216</v>
      </c>
      <c r="J376" s="72">
        <f>+'COMUNAS - HOME DELIVERY 2026'!J376*1.1</f>
        <v>15308.172000000002</v>
      </c>
      <c r="K376" s="72">
        <f>+'COMUNAS - HOME DELIVERY 2026'!K376*1.1</f>
        <v>20207.127600000003</v>
      </c>
      <c r="L376" s="72">
        <f>+'COMUNAS - HOME DELIVERY 2026'!L376*1.1</f>
        <v>24239.358</v>
      </c>
      <c r="M376" s="73">
        <f>+'COMUNAS - HOME DELIVERY 2026'!M376*1.1</f>
        <v>1094.9004000000002</v>
      </c>
      <c r="N376" s="74">
        <f>+'COMUNAS - HOME DELIVERY 2026'!N376*1.1</f>
        <v>902.48400000000015</v>
      </c>
      <c r="O376" s="60"/>
      <c r="P376" s="2"/>
      <c r="Q376" s="2"/>
      <c r="R376" s="2"/>
      <c r="S376" s="2"/>
      <c r="T376" s="2"/>
      <c r="U376" s="2"/>
      <c r="V376" s="2"/>
      <c r="W376" s="2"/>
      <c r="X376" s="2"/>
      <c r="Y376" s="38"/>
    </row>
    <row r="377" spans="2:25" ht="15.75" customHeight="1" x14ac:dyDescent="0.3">
      <c r="B377" s="2"/>
      <c r="C377" s="53" t="s">
        <v>718</v>
      </c>
      <c r="D377" s="54" t="s">
        <v>719</v>
      </c>
      <c r="E377" s="55" t="s">
        <v>62</v>
      </c>
      <c r="F377" s="56">
        <f>+'COMUNAS - HOME DELIVERY 2026'!F377*1.1</f>
        <v>6746.4936000000007</v>
      </c>
      <c r="G377" s="57">
        <f>+'COMUNAS - HOME DELIVERY 2026'!G377*1.1</f>
        <v>7527.5112000000008</v>
      </c>
      <c r="H377" s="57">
        <f>+'COMUNAS - HOME DELIVERY 2026'!H377*1.1</f>
        <v>8524.216800000002</v>
      </c>
      <c r="I377" s="57">
        <f>+'COMUNAS - HOME DELIVERY 2026'!I377*1.1</f>
        <v>10231.557600000002</v>
      </c>
      <c r="J377" s="57">
        <f>+'COMUNAS - HOME DELIVERY 2026'!J377*1.1</f>
        <v>12726.727200000001</v>
      </c>
      <c r="K377" s="57">
        <f>+'COMUNAS - HOME DELIVERY 2026'!K377*1.1</f>
        <v>16938.319200000002</v>
      </c>
      <c r="L377" s="57">
        <f>+'COMUNAS - HOME DELIVERY 2026'!L377*1.1</f>
        <v>20110.068000000003</v>
      </c>
      <c r="M377" s="58">
        <f>+'COMUNAS - HOME DELIVERY 2026'!M377*1.1</f>
        <v>836.64240000000018</v>
      </c>
      <c r="N377" s="59">
        <f>+'COMUNAS - HOME DELIVERY 2026'!N377*1.1</f>
        <v>645.92880000000002</v>
      </c>
      <c r="O377" s="60"/>
      <c r="P377" s="2"/>
      <c r="Q377" s="2"/>
      <c r="R377" s="2"/>
      <c r="S377" s="2"/>
      <c r="T377" s="2"/>
      <c r="U377" s="2"/>
      <c r="V377" s="2"/>
      <c r="W377" s="2"/>
      <c r="X377" s="2"/>
      <c r="Y377" s="38"/>
    </row>
    <row r="378" spans="2:25" ht="15.75" customHeight="1" x14ac:dyDescent="0.3">
      <c r="B378" s="2"/>
      <c r="C378" s="61" t="s">
        <v>718</v>
      </c>
      <c r="D378" s="62" t="s">
        <v>720</v>
      </c>
      <c r="E378" s="63" t="s">
        <v>721</v>
      </c>
      <c r="F378" s="64">
        <f>+'COMUNAS - HOME DELIVERY 2026'!F378*1.1</f>
        <v>10119.740400000002</v>
      </c>
      <c r="G378" s="65">
        <f>+'COMUNAS - HOME DELIVERY 2026'!G378*1.1</f>
        <v>11291.266800000001</v>
      </c>
      <c r="H378" s="65">
        <f>+'COMUNAS - HOME DELIVERY 2026'!H378*1.1</f>
        <v>12786.325200000001</v>
      </c>
      <c r="I378" s="65">
        <f>+'COMUNAS - HOME DELIVERY 2026'!I378*1.1</f>
        <v>15347.3364</v>
      </c>
      <c r="J378" s="65">
        <f>+'COMUNAS - HOME DELIVERY 2026'!J378*1.1</f>
        <v>19090.090800000002</v>
      </c>
      <c r="K378" s="65">
        <f>+'COMUNAS - HOME DELIVERY 2026'!K378*1.1</f>
        <v>25407.478800000004</v>
      </c>
      <c r="L378" s="65">
        <f>+'COMUNAS - HOME DELIVERY 2026'!L378*1.1</f>
        <v>30165.102000000003</v>
      </c>
      <c r="M378" s="66">
        <f>+'COMUNAS - HOME DELIVERY 2026'!M378*1.1</f>
        <v>1254.9636</v>
      </c>
      <c r="N378" s="67">
        <f>+'COMUNAS - HOME DELIVERY 2026'!N378*1.1</f>
        <v>968.89320000000009</v>
      </c>
      <c r="O378" s="60"/>
      <c r="P378" s="2"/>
      <c r="Q378" s="2"/>
      <c r="R378" s="2"/>
      <c r="S378" s="2"/>
      <c r="T378" s="2"/>
      <c r="U378" s="2"/>
      <c r="V378" s="2"/>
      <c r="W378" s="2"/>
      <c r="X378" s="2"/>
      <c r="Y378" s="38"/>
    </row>
    <row r="379" spans="2:25" ht="15.75" customHeight="1" x14ac:dyDescent="0.3">
      <c r="B379" s="2"/>
      <c r="C379" s="61" t="s">
        <v>718</v>
      </c>
      <c r="D379" s="62" t="s">
        <v>722</v>
      </c>
      <c r="E379" s="63" t="s">
        <v>723</v>
      </c>
      <c r="F379" s="64">
        <f>+'COMUNAS - HOME DELIVERY 2026'!F379*1.1</f>
        <v>10119.740400000002</v>
      </c>
      <c r="G379" s="65">
        <f>+'COMUNAS - HOME DELIVERY 2026'!G379*1.1</f>
        <v>11291.266800000001</v>
      </c>
      <c r="H379" s="65">
        <f>+'COMUNAS - HOME DELIVERY 2026'!H379*1.1</f>
        <v>12786.325200000001</v>
      </c>
      <c r="I379" s="65">
        <f>+'COMUNAS - HOME DELIVERY 2026'!I379*1.1</f>
        <v>15347.3364</v>
      </c>
      <c r="J379" s="65">
        <f>+'COMUNAS - HOME DELIVERY 2026'!J379*1.1</f>
        <v>19090.090800000002</v>
      </c>
      <c r="K379" s="65">
        <f>+'COMUNAS - HOME DELIVERY 2026'!K379*1.1</f>
        <v>25407.478800000004</v>
      </c>
      <c r="L379" s="65">
        <f>+'COMUNAS - HOME DELIVERY 2026'!L379*1.1</f>
        <v>30165.102000000003</v>
      </c>
      <c r="M379" s="66">
        <f>+'COMUNAS - HOME DELIVERY 2026'!M379*1.1</f>
        <v>1254.9636</v>
      </c>
      <c r="N379" s="67">
        <f>+'COMUNAS - HOME DELIVERY 2026'!N379*1.1</f>
        <v>968.89320000000009</v>
      </c>
      <c r="O379" s="60"/>
      <c r="P379" s="2"/>
      <c r="Q379" s="2"/>
      <c r="R379" s="2"/>
      <c r="S379" s="2"/>
      <c r="T379" s="2"/>
      <c r="U379" s="2"/>
      <c r="V379" s="2"/>
      <c r="W379" s="2"/>
      <c r="X379" s="2"/>
      <c r="Y379" s="38"/>
    </row>
    <row r="380" spans="2:25" ht="15.75" customHeight="1" x14ac:dyDescent="0.3">
      <c r="B380" s="2"/>
      <c r="C380" s="61" t="s">
        <v>718</v>
      </c>
      <c r="D380" s="62" t="s">
        <v>724</v>
      </c>
      <c r="E380" s="63" t="s">
        <v>725</v>
      </c>
      <c r="F380" s="64">
        <f>+'COMUNAS - HOME DELIVERY 2026'!F380*1.1</f>
        <v>10119.740400000002</v>
      </c>
      <c r="G380" s="65">
        <f>+'COMUNAS - HOME DELIVERY 2026'!G380*1.1</f>
        <v>11291.266800000001</v>
      </c>
      <c r="H380" s="65">
        <f>+'COMUNAS - HOME DELIVERY 2026'!H380*1.1</f>
        <v>12786.325200000001</v>
      </c>
      <c r="I380" s="65">
        <f>+'COMUNAS - HOME DELIVERY 2026'!I380*1.1</f>
        <v>15347.3364</v>
      </c>
      <c r="J380" s="65">
        <f>+'COMUNAS - HOME DELIVERY 2026'!J380*1.1</f>
        <v>19090.090800000002</v>
      </c>
      <c r="K380" s="65">
        <f>+'COMUNAS - HOME DELIVERY 2026'!K380*1.1</f>
        <v>25407.478800000004</v>
      </c>
      <c r="L380" s="65">
        <f>+'COMUNAS - HOME DELIVERY 2026'!L380*1.1</f>
        <v>30165.102000000003</v>
      </c>
      <c r="M380" s="66">
        <f>+'COMUNAS - HOME DELIVERY 2026'!M380*1.1</f>
        <v>1254.9636</v>
      </c>
      <c r="N380" s="67">
        <f>+'COMUNAS - HOME DELIVERY 2026'!N380*1.1</f>
        <v>968.89320000000009</v>
      </c>
      <c r="O380" s="60"/>
      <c r="P380" s="2"/>
      <c r="Q380" s="2"/>
      <c r="R380" s="2"/>
      <c r="S380" s="2"/>
      <c r="T380" s="2"/>
      <c r="U380" s="2"/>
      <c r="V380" s="2"/>
      <c r="W380" s="2"/>
      <c r="X380" s="2"/>
      <c r="Y380" s="38"/>
    </row>
    <row r="381" spans="2:25" ht="15.75" customHeight="1" x14ac:dyDescent="0.3">
      <c r="B381" s="2"/>
      <c r="C381" s="61" t="s">
        <v>718</v>
      </c>
      <c r="D381" s="62" t="s">
        <v>726</v>
      </c>
      <c r="E381" s="63" t="s">
        <v>727</v>
      </c>
      <c r="F381" s="64">
        <f>+'COMUNAS - HOME DELIVERY 2026'!F381*1.1</f>
        <v>27147.740400000002</v>
      </c>
      <c r="G381" s="65">
        <f>+'COMUNAS - HOME DELIVERY 2026'!G381*1.1</f>
        <v>28319.266800000001</v>
      </c>
      <c r="H381" s="65">
        <f>+'COMUNAS - HOME DELIVERY 2026'!H381*1.1</f>
        <v>29814.325200000003</v>
      </c>
      <c r="I381" s="65">
        <f>+'COMUNAS - HOME DELIVERY 2026'!I381*1.1</f>
        <v>32375.336400000004</v>
      </c>
      <c r="J381" s="65">
        <f>+'COMUNAS - HOME DELIVERY 2026'!J381*1.1</f>
        <v>36118.090800000005</v>
      </c>
      <c r="K381" s="65">
        <f>+'COMUNAS - HOME DELIVERY 2026'!K381*1.1</f>
        <v>42435.478800000004</v>
      </c>
      <c r="L381" s="65">
        <f>+'COMUNAS - HOME DELIVERY 2026'!L381*1.1</f>
        <v>47193.102000000006</v>
      </c>
      <c r="M381" s="66">
        <f>+'COMUNAS - HOME DELIVERY 2026'!M381*1.1</f>
        <v>1254.9636</v>
      </c>
      <c r="N381" s="67">
        <f>+'COMUNAS - HOME DELIVERY 2026'!N381*1.1</f>
        <v>968.89320000000009</v>
      </c>
      <c r="O381" s="60"/>
      <c r="P381" s="2"/>
      <c r="Q381" s="2"/>
      <c r="R381" s="2"/>
      <c r="S381" s="2"/>
      <c r="T381" s="2"/>
      <c r="U381" s="2"/>
      <c r="V381" s="2"/>
      <c r="W381" s="2"/>
      <c r="X381" s="2"/>
      <c r="Y381" s="38"/>
    </row>
    <row r="382" spans="2:25" ht="15.75" customHeight="1" x14ac:dyDescent="0.3">
      <c r="B382" s="2"/>
      <c r="C382" s="61" t="s">
        <v>718</v>
      </c>
      <c r="D382" s="62" t="s">
        <v>728</v>
      </c>
      <c r="E382" s="63" t="s">
        <v>729</v>
      </c>
      <c r="F382" s="64">
        <f>+'COMUNAS - HOME DELIVERY 2026'!F382*1.1</f>
        <v>27147.740400000002</v>
      </c>
      <c r="G382" s="65">
        <f>+'COMUNAS - HOME DELIVERY 2026'!G382*1.1</f>
        <v>28319.266800000001</v>
      </c>
      <c r="H382" s="65">
        <f>+'COMUNAS - HOME DELIVERY 2026'!H382*1.1</f>
        <v>29814.325200000003</v>
      </c>
      <c r="I382" s="65">
        <f>+'COMUNAS - HOME DELIVERY 2026'!I382*1.1</f>
        <v>32375.336400000004</v>
      </c>
      <c r="J382" s="65">
        <f>+'COMUNAS - HOME DELIVERY 2026'!J382*1.1</f>
        <v>36118.090800000005</v>
      </c>
      <c r="K382" s="65">
        <f>+'COMUNAS - HOME DELIVERY 2026'!K382*1.1</f>
        <v>42435.478800000004</v>
      </c>
      <c r="L382" s="65">
        <f>+'COMUNAS - HOME DELIVERY 2026'!L382*1.1</f>
        <v>47193.102000000006</v>
      </c>
      <c r="M382" s="66">
        <f>+'COMUNAS - HOME DELIVERY 2026'!M382*1.1</f>
        <v>1254.9636</v>
      </c>
      <c r="N382" s="67">
        <f>+'COMUNAS - HOME DELIVERY 2026'!N382*1.1</f>
        <v>968.89320000000009</v>
      </c>
      <c r="O382" s="60"/>
      <c r="P382" s="2"/>
      <c r="Q382" s="2"/>
      <c r="R382" s="2"/>
      <c r="S382" s="2"/>
      <c r="T382" s="2"/>
      <c r="U382" s="2"/>
      <c r="V382" s="2"/>
      <c r="W382" s="2"/>
      <c r="X382" s="2"/>
      <c r="Y382" s="38"/>
    </row>
    <row r="383" spans="2:25" ht="15.75" customHeight="1" x14ac:dyDescent="0.3">
      <c r="B383" s="2"/>
      <c r="C383" s="61" t="s">
        <v>718</v>
      </c>
      <c r="D383" s="62" t="s">
        <v>730</v>
      </c>
      <c r="E383" s="63" t="s">
        <v>731</v>
      </c>
      <c r="F383" s="64">
        <f>+'COMUNAS - HOME DELIVERY 2026'!F383*1.1</f>
        <v>27147.740400000002</v>
      </c>
      <c r="G383" s="65">
        <f>+'COMUNAS - HOME DELIVERY 2026'!G383*1.1</f>
        <v>28319.266800000001</v>
      </c>
      <c r="H383" s="65">
        <f>+'COMUNAS - HOME DELIVERY 2026'!H383*1.1</f>
        <v>29814.325200000003</v>
      </c>
      <c r="I383" s="65">
        <f>+'COMUNAS - HOME DELIVERY 2026'!I383*1.1</f>
        <v>32375.336400000004</v>
      </c>
      <c r="J383" s="65">
        <f>+'COMUNAS - HOME DELIVERY 2026'!J383*1.1</f>
        <v>36118.090800000005</v>
      </c>
      <c r="K383" s="65">
        <f>+'COMUNAS - HOME DELIVERY 2026'!K383*1.1</f>
        <v>42435.478800000004</v>
      </c>
      <c r="L383" s="65">
        <f>+'COMUNAS - HOME DELIVERY 2026'!L383*1.1</f>
        <v>47193.102000000006</v>
      </c>
      <c r="M383" s="66">
        <f>+'COMUNAS - HOME DELIVERY 2026'!M383*1.1</f>
        <v>1254.9636</v>
      </c>
      <c r="N383" s="67">
        <f>+'COMUNAS - HOME DELIVERY 2026'!N383*1.1</f>
        <v>968.89320000000009</v>
      </c>
      <c r="O383" s="60"/>
      <c r="P383" s="2"/>
      <c r="Q383" s="2"/>
      <c r="R383" s="2"/>
      <c r="S383" s="2"/>
      <c r="T383" s="2"/>
      <c r="U383" s="2"/>
      <c r="V383" s="2"/>
      <c r="W383" s="2"/>
      <c r="X383" s="2"/>
      <c r="Y383" s="38"/>
    </row>
    <row r="384" spans="2:25" ht="15.75" customHeight="1" x14ac:dyDescent="0.3">
      <c r="B384" s="2"/>
      <c r="C384" s="61" t="s">
        <v>718</v>
      </c>
      <c r="D384" s="62" t="s">
        <v>732</v>
      </c>
      <c r="E384" s="63" t="s">
        <v>733</v>
      </c>
      <c r="F384" s="64">
        <f>+'COMUNAS - HOME DELIVERY 2026'!F384*1.1</f>
        <v>10119.740400000002</v>
      </c>
      <c r="G384" s="65">
        <f>+'COMUNAS - HOME DELIVERY 2026'!G384*1.1</f>
        <v>11291.266800000001</v>
      </c>
      <c r="H384" s="65">
        <f>+'COMUNAS - HOME DELIVERY 2026'!H384*1.1</f>
        <v>12786.325200000001</v>
      </c>
      <c r="I384" s="65">
        <f>+'COMUNAS - HOME DELIVERY 2026'!I384*1.1</f>
        <v>15347.3364</v>
      </c>
      <c r="J384" s="65">
        <f>+'COMUNAS - HOME DELIVERY 2026'!J384*1.1</f>
        <v>19090.090800000002</v>
      </c>
      <c r="K384" s="65">
        <f>+'COMUNAS - HOME DELIVERY 2026'!K384*1.1</f>
        <v>25407.478800000004</v>
      </c>
      <c r="L384" s="65">
        <f>+'COMUNAS - HOME DELIVERY 2026'!L384*1.1</f>
        <v>30165.102000000003</v>
      </c>
      <c r="M384" s="66">
        <f>+'COMUNAS - HOME DELIVERY 2026'!M384*1.1</f>
        <v>1254.9636</v>
      </c>
      <c r="N384" s="67">
        <f>+'COMUNAS - HOME DELIVERY 2026'!N384*1.1</f>
        <v>968.89320000000009</v>
      </c>
      <c r="O384" s="60"/>
      <c r="P384" s="2"/>
      <c r="Q384" s="2"/>
      <c r="R384" s="2"/>
      <c r="S384" s="2"/>
      <c r="T384" s="2"/>
      <c r="U384" s="2"/>
      <c r="V384" s="2"/>
      <c r="W384" s="2"/>
      <c r="X384" s="2"/>
      <c r="Y384" s="38"/>
    </row>
    <row r="385" spans="2:25" ht="15.75" customHeight="1" x14ac:dyDescent="0.3">
      <c r="B385" s="2"/>
      <c r="C385" s="61" t="s">
        <v>718</v>
      </c>
      <c r="D385" s="62" t="s">
        <v>734</v>
      </c>
      <c r="E385" s="63" t="s">
        <v>735</v>
      </c>
      <c r="F385" s="64">
        <f>+'COMUNAS - HOME DELIVERY 2026'!F385*1.1</f>
        <v>10119.740400000002</v>
      </c>
      <c r="G385" s="65">
        <f>+'COMUNAS - HOME DELIVERY 2026'!G385*1.1</f>
        <v>11291.266800000001</v>
      </c>
      <c r="H385" s="65">
        <f>+'COMUNAS - HOME DELIVERY 2026'!H385*1.1</f>
        <v>12786.325200000001</v>
      </c>
      <c r="I385" s="65">
        <f>+'COMUNAS - HOME DELIVERY 2026'!I385*1.1</f>
        <v>15347.3364</v>
      </c>
      <c r="J385" s="65">
        <f>+'COMUNAS - HOME DELIVERY 2026'!J385*1.1</f>
        <v>19090.090800000002</v>
      </c>
      <c r="K385" s="65">
        <f>+'COMUNAS - HOME DELIVERY 2026'!K385*1.1</f>
        <v>25407.478800000004</v>
      </c>
      <c r="L385" s="65">
        <f>+'COMUNAS - HOME DELIVERY 2026'!L385*1.1</f>
        <v>30165.102000000003</v>
      </c>
      <c r="M385" s="66">
        <f>+'COMUNAS - HOME DELIVERY 2026'!M385*1.1</f>
        <v>1254.9636</v>
      </c>
      <c r="N385" s="67">
        <f>+'COMUNAS - HOME DELIVERY 2026'!N385*1.1</f>
        <v>968.89320000000009</v>
      </c>
      <c r="O385" s="60"/>
      <c r="P385" s="2"/>
      <c r="Q385" s="2"/>
      <c r="R385" s="2"/>
      <c r="S385" s="2"/>
      <c r="T385" s="2"/>
      <c r="U385" s="2"/>
      <c r="V385" s="2"/>
      <c r="W385" s="2"/>
      <c r="X385" s="2"/>
      <c r="Y385" s="38"/>
    </row>
    <row r="386" spans="2:25" ht="15.75" customHeight="1" thickBot="1" x14ac:dyDescent="0.35">
      <c r="B386" s="2"/>
      <c r="C386" s="68" t="s">
        <v>718</v>
      </c>
      <c r="D386" s="69" t="s">
        <v>736</v>
      </c>
      <c r="E386" s="70" t="s">
        <v>737</v>
      </c>
      <c r="F386" s="71">
        <f>+'COMUNAS - HOME DELIVERY 2026'!F386*1.1</f>
        <v>10119.740400000002</v>
      </c>
      <c r="G386" s="72">
        <f>+'COMUNAS - HOME DELIVERY 2026'!G386*1.1</f>
        <v>11291.266800000001</v>
      </c>
      <c r="H386" s="72">
        <f>+'COMUNAS - HOME DELIVERY 2026'!H386*1.1</f>
        <v>12786.325200000001</v>
      </c>
      <c r="I386" s="72">
        <f>+'COMUNAS - HOME DELIVERY 2026'!I386*1.1</f>
        <v>15347.3364</v>
      </c>
      <c r="J386" s="72">
        <f>+'COMUNAS - HOME DELIVERY 2026'!J386*1.1</f>
        <v>19090.090800000002</v>
      </c>
      <c r="K386" s="72">
        <f>+'COMUNAS - HOME DELIVERY 2026'!K386*1.1</f>
        <v>25407.478800000004</v>
      </c>
      <c r="L386" s="72">
        <f>+'COMUNAS - HOME DELIVERY 2026'!L386*1.1</f>
        <v>30165.102000000003</v>
      </c>
      <c r="M386" s="73">
        <f>+'COMUNAS - HOME DELIVERY 2026'!M386*1.1</f>
        <v>1254.9636</v>
      </c>
      <c r="N386" s="74">
        <f>+'COMUNAS - HOME DELIVERY 2026'!N386*1.1</f>
        <v>968.89320000000009</v>
      </c>
      <c r="O386" s="60"/>
      <c r="P386" s="2"/>
      <c r="Q386" s="2"/>
      <c r="R386" s="2"/>
      <c r="S386" s="2"/>
      <c r="T386" s="2"/>
      <c r="U386" s="2"/>
      <c r="V386" s="2"/>
      <c r="W386" s="2"/>
      <c r="X386" s="2"/>
      <c r="Y386" s="38"/>
    </row>
    <row r="387" spans="2:25" ht="15.75" customHeight="1" x14ac:dyDescent="0.3">
      <c r="B387" s="2"/>
      <c r="C387" s="75" t="s">
        <v>738</v>
      </c>
      <c r="D387" s="76" t="s">
        <v>739</v>
      </c>
      <c r="E387" s="77" t="s">
        <v>64</v>
      </c>
      <c r="F387" s="64">
        <f>+'COMUNAS - HOME DELIVERY 2026'!F387*1.1</f>
        <v>6746.4936000000007</v>
      </c>
      <c r="G387" s="65">
        <f>+'COMUNAS - HOME DELIVERY 2026'!G387*1.1</f>
        <v>7527.5112000000008</v>
      </c>
      <c r="H387" s="65">
        <f>+'COMUNAS - HOME DELIVERY 2026'!H387*1.1</f>
        <v>8524.216800000002</v>
      </c>
      <c r="I387" s="65">
        <f>+'COMUNAS - HOME DELIVERY 2026'!I387*1.1</f>
        <v>10231.557600000002</v>
      </c>
      <c r="J387" s="65">
        <f>+'COMUNAS - HOME DELIVERY 2026'!J387*1.1</f>
        <v>12726.727200000001</v>
      </c>
      <c r="K387" s="65">
        <f>+'COMUNAS - HOME DELIVERY 2026'!K387*1.1</f>
        <v>16938.319200000002</v>
      </c>
      <c r="L387" s="65">
        <f>+'COMUNAS - HOME DELIVERY 2026'!L387*1.1</f>
        <v>20110.068000000003</v>
      </c>
      <c r="M387" s="66">
        <f>+'COMUNAS - HOME DELIVERY 2026'!M387*1.1</f>
        <v>836.64240000000018</v>
      </c>
      <c r="N387" s="67">
        <f>+'COMUNAS - HOME DELIVERY 2026'!N387*1.1</f>
        <v>645.92880000000002</v>
      </c>
      <c r="O387" s="60"/>
      <c r="P387" s="2"/>
      <c r="Q387" s="2"/>
      <c r="R387" s="2"/>
      <c r="S387" s="2"/>
      <c r="T387" s="2"/>
      <c r="U387" s="2"/>
      <c r="V387" s="2"/>
      <c r="W387" s="2"/>
      <c r="X387" s="2"/>
      <c r="Y387" s="38"/>
    </row>
    <row r="388" spans="2:25" ht="15.75" customHeight="1" x14ac:dyDescent="0.3">
      <c r="B388" s="2"/>
      <c r="C388" s="61" t="s">
        <v>738</v>
      </c>
      <c r="D388" s="62" t="s">
        <v>740</v>
      </c>
      <c r="E388" s="63" t="s">
        <v>741</v>
      </c>
      <c r="F388" s="64">
        <f>+'COMUNAS - HOME DELIVERY 2026'!F388*1.1</f>
        <v>27147.740400000002</v>
      </c>
      <c r="G388" s="65">
        <f>+'COMUNAS - HOME DELIVERY 2026'!G388*1.1</f>
        <v>28319.266800000001</v>
      </c>
      <c r="H388" s="65">
        <f>+'COMUNAS - HOME DELIVERY 2026'!H388*1.1</f>
        <v>29814.325200000003</v>
      </c>
      <c r="I388" s="65">
        <f>+'COMUNAS - HOME DELIVERY 2026'!I388*1.1</f>
        <v>32375.336400000004</v>
      </c>
      <c r="J388" s="65">
        <f>+'COMUNAS - HOME DELIVERY 2026'!J388*1.1</f>
        <v>36118.090800000005</v>
      </c>
      <c r="K388" s="65">
        <f>+'COMUNAS - HOME DELIVERY 2026'!K388*1.1</f>
        <v>42435.478800000004</v>
      </c>
      <c r="L388" s="65">
        <f>+'COMUNAS - HOME DELIVERY 2026'!L388*1.1</f>
        <v>47193.102000000006</v>
      </c>
      <c r="M388" s="66">
        <f>+'COMUNAS - HOME DELIVERY 2026'!M388*1.1</f>
        <v>1254.9636</v>
      </c>
      <c r="N388" s="67">
        <f>+'COMUNAS - HOME DELIVERY 2026'!N388*1.1</f>
        <v>968.89320000000009</v>
      </c>
      <c r="O388" s="60"/>
      <c r="P388" s="2"/>
      <c r="Q388" s="2"/>
      <c r="R388" s="2"/>
      <c r="S388" s="2"/>
      <c r="T388" s="2"/>
      <c r="U388" s="2"/>
      <c r="V388" s="2"/>
      <c r="W388" s="2"/>
      <c r="X388" s="2"/>
      <c r="Y388" s="38"/>
    </row>
    <row r="389" spans="2:25" ht="15.75" customHeight="1" x14ac:dyDescent="0.3">
      <c r="B389" s="2"/>
      <c r="C389" s="61" t="s">
        <v>738</v>
      </c>
      <c r="D389" s="62" t="s">
        <v>742</v>
      </c>
      <c r="E389" s="63" t="s">
        <v>743</v>
      </c>
      <c r="F389" s="64">
        <f>+'COMUNAS - HOME DELIVERY 2026'!F389*1.1</f>
        <v>10119.740400000002</v>
      </c>
      <c r="G389" s="65">
        <f>+'COMUNAS - HOME DELIVERY 2026'!G389*1.1</f>
        <v>11291.266800000001</v>
      </c>
      <c r="H389" s="65">
        <f>+'COMUNAS - HOME DELIVERY 2026'!H389*1.1</f>
        <v>12786.325200000001</v>
      </c>
      <c r="I389" s="65">
        <f>+'COMUNAS - HOME DELIVERY 2026'!I389*1.1</f>
        <v>15347.3364</v>
      </c>
      <c r="J389" s="65">
        <f>+'COMUNAS - HOME DELIVERY 2026'!J389*1.1</f>
        <v>19090.090800000002</v>
      </c>
      <c r="K389" s="65">
        <f>+'COMUNAS - HOME DELIVERY 2026'!K389*1.1</f>
        <v>25407.478800000004</v>
      </c>
      <c r="L389" s="65">
        <f>+'COMUNAS - HOME DELIVERY 2026'!L389*1.1</f>
        <v>30165.102000000003</v>
      </c>
      <c r="M389" s="66">
        <f>+'COMUNAS - HOME DELIVERY 2026'!M389*1.1</f>
        <v>1254.9636</v>
      </c>
      <c r="N389" s="67">
        <f>+'COMUNAS - HOME DELIVERY 2026'!N389*1.1</f>
        <v>968.89320000000009</v>
      </c>
      <c r="O389" s="60"/>
      <c r="P389" s="2"/>
      <c r="Q389" s="2"/>
      <c r="R389" s="2"/>
      <c r="S389" s="2"/>
      <c r="T389" s="2"/>
      <c r="U389" s="2"/>
      <c r="V389" s="2"/>
      <c r="W389" s="2"/>
      <c r="X389" s="2"/>
      <c r="Y389" s="38"/>
    </row>
    <row r="390" spans="2:25" ht="15.75" customHeight="1" x14ac:dyDescent="0.3">
      <c r="B390" s="2"/>
      <c r="C390" s="61" t="s">
        <v>738</v>
      </c>
      <c r="D390" s="62" t="s">
        <v>744</v>
      </c>
      <c r="E390" s="63" t="s">
        <v>745</v>
      </c>
      <c r="F390" s="64">
        <f>+'COMUNAS - HOME DELIVERY 2026'!F390*1.1</f>
        <v>27147.740400000002</v>
      </c>
      <c r="G390" s="65">
        <f>+'COMUNAS - HOME DELIVERY 2026'!G390*1.1</f>
        <v>28319.266800000001</v>
      </c>
      <c r="H390" s="65">
        <f>+'COMUNAS - HOME DELIVERY 2026'!H390*1.1</f>
        <v>29814.325200000003</v>
      </c>
      <c r="I390" s="65">
        <f>+'COMUNAS - HOME DELIVERY 2026'!I390*1.1</f>
        <v>32375.336400000004</v>
      </c>
      <c r="J390" s="65">
        <f>+'COMUNAS - HOME DELIVERY 2026'!J390*1.1</f>
        <v>36118.090800000005</v>
      </c>
      <c r="K390" s="65">
        <f>+'COMUNAS - HOME DELIVERY 2026'!K390*1.1</f>
        <v>42435.478800000004</v>
      </c>
      <c r="L390" s="65">
        <f>+'COMUNAS - HOME DELIVERY 2026'!L390*1.1</f>
        <v>47193.102000000006</v>
      </c>
      <c r="M390" s="66">
        <f>+'COMUNAS - HOME DELIVERY 2026'!M390*1.1</f>
        <v>1254.9636</v>
      </c>
      <c r="N390" s="67">
        <f>+'COMUNAS - HOME DELIVERY 2026'!N390*1.1</f>
        <v>968.89320000000009</v>
      </c>
      <c r="O390" s="60"/>
      <c r="P390" s="2"/>
      <c r="Q390" s="2"/>
      <c r="R390" s="2"/>
      <c r="S390" s="2"/>
      <c r="T390" s="2"/>
      <c r="U390" s="2"/>
      <c r="V390" s="2"/>
      <c r="W390" s="2"/>
      <c r="X390" s="2"/>
      <c r="Y390" s="38"/>
    </row>
    <row r="391" spans="2:25" ht="15.75" customHeight="1" x14ac:dyDescent="0.3">
      <c r="B391" s="2"/>
      <c r="C391" s="61" t="s">
        <v>738</v>
      </c>
      <c r="D391" s="62" t="s">
        <v>746</v>
      </c>
      <c r="E391" s="63" t="s">
        <v>747</v>
      </c>
      <c r="F391" s="64">
        <f>+'COMUNAS - HOME DELIVERY 2026'!F391*1.1</f>
        <v>27147.740400000002</v>
      </c>
      <c r="G391" s="65">
        <f>+'COMUNAS - HOME DELIVERY 2026'!G391*1.1</f>
        <v>28319.266800000001</v>
      </c>
      <c r="H391" s="65">
        <f>+'COMUNAS - HOME DELIVERY 2026'!H391*1.1</f>
        <v>29814.325200000003</v>
      </c>
      <c r="I391" s="65">
        <f>+'COMUNAS - HOME DELIVERY 2026'!I391*1.1</f>
        <v>32375.336400000004</v>
      </c>
      <c r="J391" s="65">
        <f>+'COMUNAS - HOME DELIVERY 2026'!J391*1.1</f>
        <v>36118.090800000005</v>
      </c>
      <c r="K391" s="65">
        <f>+'COMUNAS - HOME DELIVERY 2026'!K391*1.1</f>
        <v>42435.478800000004</v>
      </c>
      <c r="L391" s="65">
        <f>+'COMUNAS - HOME DELIVERY 2026'!L391*1.1</f>
        <v>47193.102000000006</v>
      </c>
      <c r="M391" s="66">
        <f>+'COMUNAS - HOME DELIVERY 2026'!M391*1.1</f>
        <v>1254.9636</v>
      </c>
      <c r="N391" s="67">
        <f>+'COMUNAS - HOME DELIVERY 2026'!N391*1.1</f>
        <v>968.89320000000009</v>
      </c>
      <c r="O391" s="60"/>
      <c r="P391" s="2"/>
      <c r="Q391" s="2"/>
      <c r="R391" s="2"/>
      <c r="S391" s="2"/>
      <c r="T391" s="2"/>
      <c r="U391" s="2"/>
      <c r="V391" s="2"/>
      <c r="W391" s="2"/>
      <c r="X391" s="2"/>
      <c r="Y391" s="38"/>
    </row>
    <row r="392" spans="2:25" ht="15.75" customHeight="1" x14ac:dyDescent="0.3">
      <c r="B392" s="2"/>
      <c r="C392" s="61" t="s">
        <v>738</v>
      </c>
      <c r="D392" s="62" t="s">
        <v>748</v>
      </c>
      <c r="E392" s="63" t="s">
        <v>749</v>
      </c>
      <c r="F392" s="64">
        <f>+'COMUNAS - HOME DELIVERY 2026'!F392*1.1</f>
        <v>27147.740400000002</v>
      </c>
      <c r="G392" s="65">
        <f>+'COMUNAS - HOME DELIVERY 2026'!G392*1.1</f>
        <v>28319.266800000001</v>
      </c>
      <c r="H392" s="65">
        <f>+'COMUNAS - HOME DELIVERY 2026'!H392*1.1</f>
        <v>29814.325200000003</v>
      </c>
      <c r="I392" s="65">
        <f>+'COMUNAS - HOME DELIVERY 2026'!I392*1.1</f>
        <v>32375.336400000004</v>
      </c>
      <c r="J392" s="65">
        <f>+'COMUNAS - HOME DELIVERY 2026'!J392*1.1</f>
        <v>36118.090800000005</v>
      </c>
      <c r="K392" s="65">
        <f>+'COMUNAS - HOME DELIVERY 2026'!K392*1.1</f>
        <v>42435.478800000004</v>
      </c>
      <c r="L392" s="65">
        <f>+'COMUNAS - HOME DELIVERY 2026'!L392*1.1</f>
        <v>47193.102000000006</v>
      </c>
      <c r="M392" s="66">
        <f>+'COMUNAS - HOME DELIVERY 2026'!M392*1.1</f>
        <v>1254.9636</v>
      </c>
      <c r="N392" s="67">
        <f>+'COMUNAS - HOME DELIVERY 2026'!N392*1.1</f>
        <v>968.89320000000009</v>
      </c>
      <c r="O392" s="60"/>
      <c r="P392" s="2"/>
      <c r="Q392" s="2"/>
      <c r="R392" s="2"/>
      <c r="S392" s="2"/>
      <c r="T392" s="2"/>
      <c r="U392" s="2"/>
      <c r="V392" s="2"/>
      <c r="W392" s="2"/>
      <c r="X392" s="2"/>
      <c r="Y392" s="38"/>
    </row>
    <row r="393" spans="2:25" ht="15.75" customHeight="1" x14ac:dyDescent="0.3">
      <c r="B393" s="2"/>
      <c r="C393" s="61" t="s">
        <v>738</v>
      </c>
      <c r="D393" s="62" t="s">
        <v>750</v>
      </c>
      <c r="E393" s="63" t="s">
        <v>751</v>
      </c>
      <c r="F393" s="64">
        <f>+'COMUNAS - HOME DELIVERY 2026'!F393*1.1</f>
        <v>27147.740400000002</v>
      </c>
      <c r="G393" s="65">
        <f>+'COMUNAS - HOME DELIVERY 2026'!G393*1.1</f>
        <v>28319.266800000001</v>
      </c>
      <c r="H393" s="65">
        <f>+'COMUNAS - HOME DELIVERY 2026'!H393*1.1</f>
        <v>29814.325200000003</v>
      </c>
      <c r="I393" s="65">
        <f>+'COMUNAS - HOME DELIVERY 2026'!I393*1.1</f>
        <v>32375.336400000004</v>
      </c>
      <c r="J393" s="65">
        <f>+'COMUNAS - HOME DELIVERY 2026'!J393*1.1</f>
        <v>36118.090800000005</v>
      </c>
      <c r="K393" s="65">
        <f>+'COMUNAS - HOME DELIVERY 2026'!K393*1.1</f>
        <v>42435.478800000004</v>
      </c>
      <c r="L393" s="65">
        <f>+'COMUNAS - HOME DELIVERY 2026'!L393*1.1</f>
        <v>47193.102000000006</v>
      </c>
      <c r="M393" s="66">
        <f>+'COMUNAS - HOME DELIVERY 2026'!M393*1.1</f>
        <v>1254.9636</v>
      </c>
      <c r="N393" s="67">
        <f>+'COMUNAS - HOME DELIVERY 2026'!N393*1.1</f>
        <v>968.89320000000009</v>
      </c>
      <c r="O393" s="60"/>
      <c r="P393" s="2"/>
      <c r="Q393" s="2"/>
      <c r="R393" s="2"/>
      <c r="S393" s="2"/>
      <c r="T393" s="2"/>
      <c r="U393" s="2"/>
      <c r="V393" s="2"/>
      <c r="W393" s="2"/>
      <c r="X393" s="2"/>
      <c r="Y393" s="38"/>
    </row>
    <row r="394" spans="2:25" ht="15.75" customHeight="1" x14ac:dyDescent="0.3">
      <c r="B394" s="2"/>
      <c r="C394" s="61" t="s">
        <v>738</v>
      </c>
      <c r="D394" s="62" t="s">
        <v>752</v>
      </c>
      <c r="E394" s="63" t="s">
        <v>753</v>
      </c>
      <c r="F394" s="64">
        <f>+'COMUNAS - HOME DELIVERY 2026'!F394*1.1</f>
        <v>10119.740400000002</v>
      </c>
      <c r="G394" s="65">
        <f>+'COMUNAS - HOME DELIVERY 2026'!G394*1.1</f>
        <v>11291.266800000001</v>
      </c>
      <c r="H394" s="65">
        <f>+'COMUNAS - HOME DELIVERY 2026'!H394*1.1</f>
        <v>12786.325200000001</v>
      </c>
      <c r="I394" s="65">
        <f>+'COMUNAS - HOME DELIVERY 2026'!I394*1.1</f>
        <v>15347.3364</v>
      </c>
      <c r="J394" s="65">
        <f>+'COMUNAS - HOME DELIVERY 2026'!J394*1.1</f>
        <v>19090.090800000002</v>
      </c>
      <c r="K394" s="65">
        <f>+'COMUNAS - HOME DELIVERY 2026'!K394*1.1</f>
        <v>25407.478800000004</v>
      </c>
      <c r="L394" s="65">
        <f>+'COMUNAS - HOME DELIVERY 2026'!L394*1.1</f>
        <v>30165.102000000003</v>
      </c>
      <c r="M394" s="66">
        <f>+'COMUNAS - HOME DELIVERY 2026'!M394*1.1</f>
        <v>1254.9636</v>
      </c>
      <c r="N394" s="67">
        <f>+'COMUNAS - HOME DELIVERY 2026'!N394*1.1</f>
        <v>968.89320000000009</v>
      </c>
      <c r="O394" s="60"/>
      <c r="P394" s="2"/>
      <c r="Q394" s="2"/>
      <c r="R394" s="2"/>
      <c r="S394" s="2"/>
      <c r="T394" s="2"/>
      <c r="U394" s="2"/>
      <c r="V394" s="2"/>
      <c r="W394" s="2"/>
      <c r="X394" s="2"/>
      <c r="Y394" s="38"/>
    </row>
    <row r="395" spans="2:25" ht="15.75" customHeight="1" x14ac:dyDescent="0.3">
      <c r="B395" s="2"/>
      <c r="C395" s="61" t="s">
        <v>738</v>
      </c>
      <c r="D395" s="62" t="s">
        <v>754</v>
      </c>
      <c r="E395" s="63" t="s">
        <v>755</v>
      </c>
      <c r="F395" s="64">
        <f>+'COMUNAS - HOME DELIVERY 2026'!F395*1.1</f>
        <v>27147.740400000002</v>
      </c>
      <c r="G395" s="65">
        <f>+'COMUNAS - HOME DELIVERY 2026'!G395*1.1</f>
        <v>28319.266800000001</v>
      </c>
      <c r="H395" s="65">
        <f>+'COMUNAS - HOME DELIVERY 2026'!H395*1.1</f>
        <v>29814.325200000003</v>
      </c>
      <c r="I395" s="65">
        <f>+'COMUNAS - HOME DELIVERY 2026'!I395*1.1</f>
        <v>32375.336400000004</v>
      </c>
      <c r="J395" s="65">
        <f>+'COMUNAS - HOME DELIVERY 2026'!J395*1.1</f>
        <v>36118.090800000005</v>
      </c>
      <c r="K395" s="65">
        <f>+'COMUNAS - HOME DELIVERY 2026'!K395*1.1</f>
        <v>42435.478800000004</v>
      </c>
      <c r="L395" s="65">
        <f>+'COMUNAS - HOME DELIVERY 2026'!L395*1.1</f>
        <v>47193.102000000006</v>
      </c>
      <c r="M395" s="66">
        <f>+'COMUNAS - HOME DELIVERY 2026'!M395*1.1</f>
        <v>1254.9636</v>
      </c>
      <c r="N395" s="67">
        <f>+'COMUNAS - HOME DELIVERY 2026'!N395*1.1</f>
        <v>968.89320000000009</v>
      </c>
      <c r="O395" s="60"/>
      <c r="P395" s="2"/>
      <c r="Q395" s="2"/>
      <c r="R395" s="2"/>
      <c r="S395" s="2"/>
      <c r="T395" s="2"/>
      <c r="U395" s="2"/>
      <c r="V395" s="2"/>
      <c r="W395" s="2"/>
      <c r="X395" s="2"/>
      <c r="Y395" s="38"/>
    </row>
    <row r="396" spans="2:25" ht="15.75" customHeight="1" x14ac:dyDescent="0.3">
      <c r="B396" s="2"/>
      <c r="C396" s="61" t="s">
        <v>738</v>
      </c>
      <c r="D396" s="62" t="s">
        <v>756</v>
      </c>
      <c r="E396" s="63" t="s">
        <v>757</v>
      </c>
      <c r="F396" s="64">
        <f>+'COMUNAS - HOME DELIVERY 2026'!F396*1.1</f>
        <v>10119.740400000002</v>
      </c>
      <c r="G396" s="65">
        <f>+'COMUNAS - HOME DELIVERY 2026'!G396*1.1</f>
        <v>11291.266800000001</v>
      </c>
      <c r="H396" s="65">
        <f>+'COMUNAS - HOME DELIVERY 2026'!H396*1.1</f>
        <v>12786.325200000001</v>
      </c>
      <c r="I396" s="65">
        <f>+'COMUNAS - HOME DELIVERY 2026'!I396*1.1</f>
        <v>15347.3364</v>
      </c>
      <c r="J396" s="65">
        <f>+'COMUNAS - HOME DELIVERY 2026'!J396*1.1</f>
        <v>19090.090800000002</v>
      </c>
      <c r="K396" s="65">
        <f>+'COMUNAS - HOME DELIVERY 2026'!K396*1.1</f>
        <v>25407.478800000004</v>
      </c>
      <c r="L396" s="65">
        <f>+'COMUNAS - HOME DELIVERY 2026'!L396*1.1</f>
        <v>30165.102000000003</v>
      </c>
      <c r="M396" s="66">
        <f>+'COMUNAS - HOME DELIVERY 2026'!M396*1.1</f>
        <v>1254.9636</v>
      </c>
      <c r="N396" s="67">
        <f>+'COMUNAS - HOME DELIVERY 2026'!N396*1.1</f>
        <v>968.89320000000009</v>
      </c>
      <c r="O396" s="60"/>
      <c r="P396" s="2"/>
      <c r="Q396" s="2"/>
      <c r="R396" s="2"/>
      <c r="S396" s="2"/>
      <c r="T396" s="2"/>
      <c r="U396" s="2"/>
      <c r="V396" s="2"/>
      <c r="W396" s="2"/>
      <c r="X396" s="2"/>
      <c r="Y396" s="38"/>
    </row>
    <row r="397" spans="2:25" ht="15.75" customHeight="1" thickBot="1" x14ac:dyDescent="0.35">
      <c r="B397" s="2"/>
      <c r="C397" s="68" t="s">
        <v>738</v>
      </c>
      <c r="D397" s="69" t="s">
        <v>758</v>
      </c>
      <c r="E397" s="70" t="s">
        <v>759</v>
      </c>
      <c r="F397" s="71">
        <f>+'COMUNAS - HOME DELIVERY 2026'!F397*1.1</f>
        <v>27147.740400000002</v>
      </c>
      <c r="G397" s="72">
        <f>+'COMUNAS - HOME DELIVERY 2026'!G397*1.1</f>
        <v>28319.266800000001</v>
      </c>
      <c r="H397" s="72">
        <f>+'COMUNAS - HOME DELIVERY 2026'!H397*1.1</f>
        <v>29814.325200000003</v>
      </c>
      <c r="I397" s="72">
        <f>+'COMUNAS - HOME DELIVERY 2026'!I397*1.1</f>
        <v>32375.336400000004</v>
      </c>
      <c r="J397" s="72">
        <f>+'COMUNAS - HOME DELIVERY 2026'!J397*1.1</f>
        <v>36118.090800000005</v>
      </c>
      <c r="K397" s="72">
        <f>+'COMUNAS - HOME DELIVERY 2026'!K397*1.1</f>
        <v>42435.478800000004</v>
      </c>
      <c r="L397" s="72">
        <f>+'COMUNAS - HOME DELIVERY 2026'!L397*1.1</f>
        <v>47193.102000000006</v>
      </c>
      <c r="M397" s="73">
        <f>+'COMUNAS - HOME DELIVERY 2026'!M397*1.1</f>
        <v>1254.9636</v>
      </c>
      <c r="N397" s="74">
        <f>+'COMUNAS - HOME DELIVERY 2026'!N397*1.1</f>
        <v>968.89320000000009</v>
      </c>
      <c r="O397" s="60"/>
      <c r="P397" s="2"/>
      <c r="Q397" s="2"/>
      <c r="R397" s="2"/>
      <c r="S397" s="2"/>
      <c r="T397" s="2"/>
      <c r="U397" s="2"/>
      <c r="V397" s="2"/>
      <c r="W397" s="2"/>
      <c r="X397" s="2"/>
      <c r="Y397" s="38"/>
    </row>
    <row r="398" spans="2:25" ht="15.75" customHeight="1" thickBot="1" x14ac:dyDescent="0.35">
      <c r="B398" s="2"/>
      <c r="C398" s="139"/>
      <c r="D398" s="139"/>
      <c r="E398" s="139"/>
      <c r="F398" s="139"/>
      <c r="G398" s="139"/>
      <c r="H398" s="139"/>
      <c r="I398" s="139"/>
      <c r="J398" s="139"/>
      <c r="K398" s="139"/>
      <c r="L398" s="139"/>
      <c r="M398" s="140"/>
      <c r="N398" s="141"/>
      <c r="O398" s="60"/>
      <c r="P398" s="2"/>
      <c r="Q398" s="2"/>
      <c r="R398" s="2"/>
      <c r="S398" s="2"/>
      <c r="T398" s="2"/>
      <c r="U398" s="2"/>
      <c r="V398" s="2"/>
      <c r="W398" s="2"/>
      <c r="X398" s="2"/>
      <c r="Y398" s="38"/>
    </row>
    <row r="399" spans="2:25" ht="15.75" customHeight="1" thickBot="1" x14ac:dyDescent="0.35">
      <c r="B399" s="2"/>
      <c r="C399" s="203" t="s">
        <v>760</v>
      </c>
      <c r="D399" s="170"/>
      <c r="E399" s="170"/>
      <c r="F399" s="170"/>
      <c r="G399" s="170"/>
      <c r="H399" s="170"/>
      <c r="I399" s="170"/>
      <c r="J399" s="170"/>
      <c r="K399" s="170"/>
      <c r="L399" s="170"/>
      <c r="M399" s="170"/>
      <c r="N399" s="171"/>
      <c r="O399" s="83"/>
      <c r="P399" s="2"/>
      <c r="Q399" s="2"/>
      <c r="R399" s="2"/>
      <c r="S399" s="2"/>
      <c r="T399" s="2"/>
      <c r="U399" s="2"/>
      <c r="V399" s="2"/>
      <c r="W399" s="2"/>
      <c r="X399" s="2"/>
      <c r="Y399" s="38"/>
    </row>
    <row r="400" spans="2:25" ht="15.75" customHeight="1" thickBot="1" x14ac:dyDescent="0.35">
      <c r="B400" s="2"/>
      <c r="C400" s="204" t="s">
        <v>70</v>
      </c>
      <c r="D400" s="205"/>
      <c r="E400" s="86" t="s">
        <v>9</v>
      </c>
      <c r="F400" s="86" t="s">
        <v>10</v>
      </c>
      <c r="G400" s="86" t="s">
        <v>11</v>
      </c>
      <c r="H400" s="86" t="s">
        <v>12</v>
      </c>
      <c r="I400" s="87" t="s">
        <v>13</v>
      </c>
      <c r="J400" s="87" t="s">
        <v>14</v>
      </c>
      <c r="K400" s="88" t="s">
        <v>15</v>
      </c>
      <c r="L400" s="50" t="s">
        <v>16</v>
      </c>
      <c r="M400" s="48" t="s">
        <v>17</v>
      </c>
      <c r="N400" s="89" t="s">
        <v>18</v>
      </c>
      <c r="O400" s="90"/>
      <c r="P400" s="2"/>
      <c r="Q400" s="2"/>
      <c r="R400" s="2"/>
      <c r="S400" s="2"/>
      <c r="T400" s="2"/>
      <c r="U400" s="2"/>
      <c r="V400" s="2"/>
      <c r="W400" s="2"/>
      <c r="X400" s="2"/>
      <c r="Y400" s="38"/>
    </row>
    <row r="401" spans="2:25" ht="15.75" customHeight="1" thickBot="1" x14ac:dyDescent="0.35">
      <c r="B401" s="2"/>
      <c r="C401" s="206" t="s">
        <v>761</v>
      </c>
      <c r="D401" s="207"/>
      <c r="E401" s="91" t="s">
        <v>762</v>
      </c>
      <c r="F401" s="92">
        <f>+'COMUNAS - HOME DELIVERY 2026'!F401*1.1</f>
        <v>3661.0200000000004</v>
      </c>
      <c r="G401" s="72">
        <f>+'COMUNAS - HOME DELIVERY 2026'!G401*1.1</f>
        <v>3797.2440000000001</v>
      </c>
      <c r="H401" s="72">
        <f>+'COMUNAS - HOME DELIVERY 2026'!H401*1.1</f>
        <v>4042.4472000000005</v>
      </c>
      <c r="I401" s="72">
        <f>+'COMUNAS - HOME DELIVERY 2026'!I401*1.1</f>
        <v>4401.1704000000009</v>
      </c>
      <c r="J401" s="72">
        <f>+'COMUNAS - HOME DELIVERY 2026'!J401*1.1</f>
        <v>5097.0480000000007</v>
      </c>
      <c r="K401" s="72">
        <f>+'COMUNAS - HOME DELIVERY 2026'!K401*1.1</f>
        <v>5543.1816000000008</v>
      </c>
      <c r="L401" s="72">
        <f>+'COMUNAS - HOME DELIVERY 2026'!L401*1.1</f>
        <v>6488.8032000000012</v>
      </c>
      <c r="M401" s="93">
        <f>+'COMUNAS - HOME DELIVERY 2026'!M401*1.1</f>
        <v>511.97520000000009</v>
      </c>
      <c r="N401" s="94">
        <f>+'COMUNAS - HOME DELIVERY 2026'!N401*1.1</f>
        <v>511.97520000000009</v>
      </c>
      <c r="O401" s="60"/>
      <c r="P401" s="2"/>
      <c r="Q401" s="2"/>
      <c r="R401" s="2"/>
      <c r="S401" s="2"/>
      <c r="T401" s="2"/>
      <c r="U401" s="2"/>
      <c r="V401" s="2"/>
      <c r="W401" s="2"/>
      <c r="X401" s="2"/>
      <c r="Y401" s="38"/>
    </row>
    <row r="402" spans="2:25" ht="15.75" customHeight="1" x14ac:dyDescent="0.3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38"/>
    </row>
    <row r="403" spans="2:25" ht="15.75" customHeight="1" x14ac:dyDescent="0.3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38"/>
    </row>
    <row r="404" spans="2:25" ht="15.75" customHeight="1" x14ac:dyDescent="0.3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38"/>
    </row>
    <row r="405" spans="2:25" ht="15.75" customHeight="1" x14ac:dyDescent="0.3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38"/>
    </row>
    <row r="406" spans="2:25" ht="15.75" customHeight="1" x14ac:dyDescent="0.3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38"/>
    </row>
    <row r="407" spans="2:25" ht="15.75" customHeight="1" x14ac:dyDescent="0.3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38"/>
    </row>
    <row r="408" spans="2:25" ht="15.75" customHeight="1" x14ac:dyDescent="0.3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38"/>
    </row>
    <row r="409" spans="2:25" ht="15.75" customHeight="1" x14ac:dyDescent="0.3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38"/>
    </row>
    <row r="410" spans="2:25" ht="15.75" customHeight="1" x14ac:dyDescent="0.3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38"/>
    </row>
    <row r="411" spans="2:25" ht="15.75" customHeight="1" x14ac:dyDescent="0.3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38"/>
    </row>
    <row r="412" spans="2:25" ht="15.75" customHeight="1" x14ac:dyDescent="0.3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38"/>
    </row>
    <row r="413" spans="2:25" ht="15.75" customHeight="1" x14ac:dyDescent="0.3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38"/>
    </row>
    <row r="414" spans="2:25" ht="15.75" customHeight="1" x14ac:dyDescent="0.3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38"/>
    </row>
    <row r="415" spans="2:25" ht="15.75" customHeight="1" x14ac:dyDescent="0.3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38"/>
    </row>
    <row r="416" spans="2:25" ht="15.75" customHeight="1" x14ac:dyDescent="0.3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38"/>
    </row>
    <row r="417" spans="2:25" ht="15.75" customHeight="1" x14ac:dyDescent="0.3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38"/>
    </row>
    <row r="418" spans="2:25" ht="15.75" customHeight="1" x14ac:dyDescent="0.3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38"/>
    </row>
    <row r="419" spans="2:25" ht="15.75" customHeight="1" x14ac:dyDescent="0.3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38"/>
    </row>
    <row r="420" spans="2:25" ht="15.75" customHeight="1" x14ac:dyDescent="0.3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38"/>
    </row>
    <row r="421" spans="2:25" ht="15.75" customHeight="1" x14ac:dyDescent="0.3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38"/>
    </row>
    <row r="422" spans="2:25" ht="15.75" customHeight="1" x14ac:dyDescent="0.3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38"/>
    </row>
    <row r="423" spans="2:25" ht="15.75" customHeight="1" x14ac:dyDescent="0.3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38"/>
    </row>
    <row r="424" spans="2:25" ht="15.75" customHeight="1" x14ac:dyDescent="0.3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38"/>
    </row>
    <row r="425" spans="2:25" ht="15.75" customHeight="1" x14ac:dyDescent="0.3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38"/>
    </row>
    <row r="426" spans="2:25" ht="15.75" customHeight="1" x14ac:dyDescent="0.3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38"/>
    </row>
    <row r="427" spans="2:25" ht="15.75" customHeight="1" x14ac:dyDescent="0.3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38"/>
    </row>
    <row r="428" spans="2:25" ht="15.75" customHeight="1" x14ac:dyDescent="0.3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38"/>
    </row>
    <row r="429" spans="2:25" ht="15.75" customHeight="1" x14ac:dyDescent="0.3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38"/>
    </row>
    <row r="430" spans="2:25" ht="15.75" customHeight="1" x14ac:dyDescent="0.3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38"/>
    </row>
    <row r="431" spans="2:25" ht="15.75" customHeight="1" x14ac:dyDescent="0.3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38"/>
    </row>
    <row r="432" spans="2:25" ht="15.75" customHeight="1" x14ac:dyDescent="0.3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38"/>
    </row>
    <row r="433" spans="2:25" ht="15.75" customHeight="1" x14ac:dyDescent="0.3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38"/>
    </row>
    <row r="434" spans="2:25" ht="15.75" customHeight="1" x14ac:dyDescent="0.3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38"/>
    </row>
    <row r="435" spans="2:25" ht="15.75" customHeight="1" x14ac:dyDescent="0.3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38"/>
    </row>
    <row r="436" spans="2:25" ht="15.75" customHeight="1" x14ac:dyDescent="0.3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38"/>
    </row>
    <row r="437" spans="2:25" ht="15.75" customHeight="1" x14ac:dyDescent="0.3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38"/>
    </row>
    <row r="438" spans="2:25" ht="15.75" customHeight="1" x14ac:dyDescent="0.3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38"/>
    </row>
    <row r="439" spans="2:25" ht="15.75" customHeight="1" x14ac:dyDescent="0.3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38"/>
    </row>
    <row r="440" spans="2:25" ht="15.75" customHeight="1" x14ac:dyDescent="0.3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38"/>
    </row>
    <row r="441" spans="2:25" ht="15.75" customHeight="1" x14ac:dyDescent="0.3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38"/>
    </row>
    <row r="442" spans="2:25" ht="15.75" customHeight="1" x14ac:dyDescent="0.3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38"/>
    </row>
    <row r="443" spans="2:25" ht="15.75" customHeight="1" x14ac:dyDescent="0.3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38"/>
    </row>
    <row r="444" spans="2:25" ht="15.75" customHeight="1" x14ac:dyDescent="0.3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38"/>
    </row>
    <row r="445" spans="2:25" ht="15.75" customHeight="1" x14ac:dyDescent="0.3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38"/>
    </row>
    <row r="446" spans="2:25" ht="15.75" customHeight="1" x14ac:dyDescent="0.3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38"/>
    </row>
    <row r="447" spans="2:25" ht="15.75" customHeight="1" x14ac:dyDescent="0.3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38"/>
    </row>
    <row r="448" spans="2:25" ht="15.75" customHeight="1" x14ac:dyDescent="0.3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38"/>
    </row>
    <row r="449" spans="2:25" ht="15.75" customHeight="1" x14ac:dyDescent="0.3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38"/>
    </row>
    <row r="450" spans="2:25" ht="15.75" customHeight="1" x14ac:dyDescent="0.3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38"/>
    </row>
    <row r="451" spans="2:25" ht="15.75" customHeight="1" x14ac:dyDescent="0.3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38"/>
    </row>
    <row r="452" spans="2:25" ht="15.75" customHeight="1" x14ac:dyDescent="0.3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38"/>
    </row>
    <row r="453" spans="2:25" ht="15.75" customHeight="1" x14ac:dyDescent="0.3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38"/>
    </row>
    <row r="454" spans="2:25" ht="15.75" customHeight="1" x14ac:dyDescent="0.3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38"/>
    </row>
    <row r="455" spans="2:25" ht="15.75" customHeight="1" x14ac:dyDescent="0.3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38"/>
    </row>
    <row r="456" spans="2:25" ht="15.75" customHeight="1" x14ac:dyDescent="0.3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38"/>
    </row>
    <row r="457" spans="2:25" ht="15.75" customHeight="1" x14ac:dyDescent="0.3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38"/>
    </row>
    <row r="458" spans="2:25" ht="15.75" customHeight="1" x14ac:dyDescent="0.3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38"/>
    </row>
    <row r="459" spans="2:25" ht="15.75" customHeight="1" x14ac:dyDescent="0.3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38"/>
    </row>
    <row r="460" spans="2:25" ht="15.75" customHeight="1" x14ac:dyDescent="0.3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38"/>
    </row>
    <row r="461" spans="2:25" ht="15.75" customHeight="1" x14ac:dyDescent="0.3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38"/>
    </row>
    <row r="462" spans="2:25" ht="15.75" customHeight="1" x14ac:dyDescent="0.3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38"/>
    </row>
    <row r="463" spans="2:25" ht="15.75" customHeight="1" x14ac:dyDescent="0.3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38"/>
    </row>
    <row r="464" spans="2:25" ht="15.75" customHeight="1" x14ac:dyDescent="0.3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38"/>
    </row>
    <row r="465" spans="2:25" ht="15.75" customHeight="1" x14ac:dyDescent="0.3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38"/>
    </row>
    <row r="466" spans="2:25" ht="15.75" customHeight="1" x14ac:dyDescent="0.3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38"/>
    </row>
    <row r="467" spans="2:25" ht="15.75" customHeight="1" x14ac:dyDescent="0.3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38"/>
    </row>
    <row r="468" spans="2:25" ht="15.75" customHeight="1" x14ac:dyDescent="0.3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38"/>
    </row>
    <row r="469" spans="2:25" ht="15.75" customHeight="1" x14ac:dyDescent="0.3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38"/>
    </row>
    <row r="470" spans="2:25" ht="15.75" customHeight="1" x14ac:dyDescent="0.3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38"/>
    </row>
    <row r="471" spans="2:25" ht="15.75" customHeight="1" x14ac:dyDescent="0.3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38"/>
    </row>
    <row r="472" spans="2:25" ht="15.75" customHeight="1" x14ac:dyDescent="0.3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38"/>
    </row>
    <row r="473" spans="2:25" ht="15.75" customHeight="1" x14ac:dyDescent="0.3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38"/>
    </row>
    <row r="474" spans="2:25" ht="15.75" customHeight="1" x14ac:dyDescent="0.3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38"/>
    </row>
    <row r="475" spans="2:25" ht="15.75" customHeight="1" x14ac:dyDescent="0.3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38"/>
    </row>
    <row r="476" spans="2:25" ht="15.75" customHeight="1" x14ac:dyDescent="0.3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38"/>
    </row>
    <row r="477" spans="2:25" ht="15.75" customHeight="1" x14ac:dyDescent="0.3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38"/>
    </row>
    <row r="478" spans="2:25" ht="15.75" customHeight="1" x14ac:dyDescent="0.3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38"/>
    </row>
    <row r="479" spans="2:25" ht="15.75" customHeight="1" x14ac:dyDescent="0.3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38"/>
    </row>
    <row r="480" spans="2:25" ht="15.75" customHeight="1" x14ac:dyDescent="0.3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38"/>
    </row>
    <row r="481" spans="2:25" ht="15.75" customHeight="1" x14ac:dyDescent="0.3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38"/>
    </row>
    <row r="482" spans="2:25" ht="15.75" customHeight="1" x14ac:dyDescent="0.3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38"/>
    </row>
    <row r="483" spans="2:25" ht="15.75" customHeight="1" x14ac:dyDescent="0.3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38"/>
    </row>
    <row r="484" spans="2:25" ht="15.75" customHeight="1" x14ac:dyDescent="0.3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38"/>
    </row>
    <row r="485" spans="2:25" ht="15.75" customHeight="1" x14ac:dyDescent="0.3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38"/>
    </row>
    <row r="486" spans="2:25" ht="15.75" customHeight="1" x14ac:dyDescent="0.3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38"/>
    </row>
    <row r="487" spans="2:25" ht="15.75" customHeight="1" x14ac:dyDescent="0.3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38"/>
    </row>
    <row r="488" spans="2:25" ht="15.75" customHeight="1" x14ac:dyDescent="0.3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38"/>
    </row>
    <row r="489" spans="2:25" ht="15.75" customHeight="1" x14ac:dyDescent="0.3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38"/>
    </row>
    <row r="490" spans="2:25" ht="15.75" customHeight="1" x14ac:dyDescent="0.3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38"/>
    </row>
    <row r="491" spans="2:25" ht="15.75" customHeight="1" x14ac:dyDescent="0.3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38"/>
    </row>
    <row r="492" spans="2:25" ht="15.75" customHeight="1" x14ac:dyDescent="0.3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38"/>
    </row>
    <row r="493" spans="2:25" ht="15.75" customHeight="1" x14ac:dyDescent="0.3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38"/>
    </row>
    <row r="494" spans="2:25" ht="15.75" customHeight="1" x14ac:dyDescent="0.3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38"/>
    </row>
    <row r="495" spans="2:25" ht="15.75" customHeight="1" x14ac:dyDescent="0.3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38"/>
    </row>
    <row r="496" spans="2:25" ht="15.75" customHeight="1" x14ac:dyDescent="0.3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38"/>
    </row>
    <row r="497" spans="2:25" ht="15.75" customHeight="1" x14ac:dyDescent="0.3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38"/>
    </row>
    <row r="498" spans="2:25" ht="15.75" customHeight="1" x14ac:dyDescent="0.3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38"/>
    </row>
    <row r="499" spans="2:25" ht="15.75" customHeight="1" x14ac:dyDescent="0.3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38"/>
    </row>
    <row r="500" spans="2:25" ht="15.75" customHeight="1" x14ac:dyDescent="0.3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38"/>
    </row>
    <row r="501" spans="2:25" ht="15.75" customHeight="1" x14ac:dyDescent="0.3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38"/>
    </row>
    <row r="502" spans="2:25" ht="15.75" customHeight="1" x14ac:dyDescent="0.3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38"/>
    </row>
    <row r="503" spans="2:25" ht="15.75" customHeight="1" x14ac:dyDescent="0.3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38"/>
    </row>
    <row r="504" spans="2:25" ht="15.75" customHeight="1" x14ac:dyDescent="0.3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38"/>
    </row>
    <row r="505" spans="2:25" ht="15.75" customHeight="1" x14ac:dyDescent="0.3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38"/>
    </row>
    <row r="506" spans="2:25" ht="15.75" customHeight="1" x14ac:dyDescent="0.3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38"/>
    </row>
    <row r="507" spans="2:25" ht="15.75" customHeight="1" x14ac:dyDescent="0.3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38"/>
    </row>
    <row r="508" spans="2:25" ht="15.75" customHeight="1" x14ac:dyDescent="0.3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38"/>
    </row>
    <row r="509" spans="2:25" ht="15.75" customHeight="1" x14ac:dyDescent="0.3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38"/>
    </row>
    <row r="510" spans="2:25" ht="15.75" customHeight="1" x14ac:dyDescent="0.3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38"/>
    </row>
    <row r="511" spans="2:25" ht="15.75" customHeight="1" x14ac:dyDescent="0.3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38"/>
    </row>
    <row r="512" spans="2:25" ht="15.75" customHeight="1" x14ac:dyDescent="0.3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38"/>
    </row>
    <row r="513" spans="2:25" ht="15.75" customHeight="1" x14ac:dyDescent="0.3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38"/>
    </row>
    <row r="514" spans="2:25" ht="15.75" customHeight="1" x14ac:dyDescent="0.3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38"/>
    </row>
    <row r="515" spans="2:25" ht="15.75" customHeight="1" x14ac:dyDescent="0.3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38"/>
    </row>
    <row r="516" spans="2:25" ht="15.75" customHeight="1" x14ac:dyDescent="0.3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38"/>
    </row>
    <row r="517" spans="2:25" ht="15.75" customHeight="1" x14ac:dyDescent="0.3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38"/>
    </row>
    <row r="518" spans="2:25" ht="15.75" customHeight="1" x14ac:dyDescent="0.3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38"/>
    </row>
    <row r="519" spans="2:25" ht="15.75" customHeight="1" x14ac:dyDescent="0.3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38"/>
    </row>
    <row r="520" spans="2:25" ht="15.75" customHeight="1" x14ac:dyDescent="0.3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38"/>
    </row>
    <row r="521" spans="2:25" ht="15.75" customHeight="1" x14ac:dyDescent="0.3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38"/>
    </row>
    <row r="522" spans="2:25" ht="15.75" customHeight="1" x14ac:dyDescent="0.3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38"/>
    </row>
    <row r="523" spans="2:25" ht="15.75" customHeight="1" x14ac:dyDescent="0.3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38"/>
    </row>
    <row r="524" spans="2:25" ht="15.75" customHeight="1" x14ac:dyDescent="0.3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38"/>
    </row>
    <row r="525" spans="2:25" ht="15.75" customHeight="1" x14ac:dyDescent="0.3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38"/>
    </row>
    <row r="526" spans="2:25" ht="15.75" customHeight="1" x14ac:dyDescent="0.3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38"/>
    </row>
    <row r="527" spans="2:25" ht="15.75" customHeight="1" x14ac:dyDescent="0.3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38"/>
    </row>
    <row r="528" spans="2:25" ht="15.75" customHeight="1" x14ac:dyDescent="0.3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38"/>
    </row>
    <row r="529" spans="2:25" ht="15.75" customHeight="1" x14ac:dyDescent="0.3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38"/>
    </row>
    <row r="530" spans="2:25" ht="15.75" customHeight="1" x14ac:dyDescent="0.3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38"/>
    </row>
    <row r="531" spans="2:25" ht="15.75" customHeight="1" x14ac:dyDescent="0.3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38"/>
    </row>
    <row r="532" spans="2:25" ht="15.75" customHeight="1" x14ac:dyDescent="0.3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38"/>
    </row>
    <row r="533" spans="2:25" ht="15.75" customHeight="1" x14ac:dyDescent="0.3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38"/>
    </row>
    <row r="534" spans="2:25" ht="15.75" customHeight="1" x14ac:dyDescent="0.3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38"/>
    </row>
    <row r="535" spans="2:25" ht="15.75" customHeight="1" x14ac:dyDescent="0.3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38"/>
    </row>
    <row r="536" spans="2:25" ht="15.75" customHeight="1" x14ac:dyDescent="0.3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38"/>
    </row>
    <row r="537" spans="2:25" ht="15.75" customHeight="1" x14ac:dyDescent="0.3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38"/>
    </row>
    <row r="538" spans="2:25" ht="15.75" customHeight="1" x14ac:dyDescent="0.3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38"/>
    </row>
    <row r="539" spans="2:25" ht="15.75" customHeight="1" x14ac:dyDescent="0.3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38"/>
    </row>
    <row r="540" spans="2:25" ht="15.75" customHeight="1" x14ac:dyDescent="0.3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38"/>
    </row>
    <row r="541" spans="2:25" ht="15.75" customHeight="1" x14ac:dyDescent="0.3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38"/>
    </row>
    <row r="542" spans="2:25" ht="15.75" customHeight="1" x14ac:dyDescent="0.3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38"/>
    </row>
    <row r="543" spans="2:25" ht="15.75" customHeight="1" x14ac:dyDescent="0.3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38"/>
    </row>
    <row r="544" spans="2:25" ht="15.75" customHeight="1" x14ac:dyDescent="0.3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38"/>
    </row>
    <row r="545" spans="2:25" ht="15.75" customHeight="1" x14ac:dyDescent="0.3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38"/>
    </row>
    <row r="546" spans="2:25" ht="15.75" customHeight="1" x14ac:dyDescent="0.3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38"/>
    </row>
    <row r="547" spans="2:25" ht="15.75" customHeight="1" x14ac:dyDescent="0.3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38"/>
    </row>
    <row r="548" spans="2:25" ht="15.75" customHeight="1" x14ac:dyDescent="0.3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38"/>
    </row>
    <row r="549" spans="2:25" ht="15.75" customHeight="1" x14ac:dyDescent="0.3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38"/>
    </row>
    <row r="550" spans="2:25" ht="15.75" customHeight="1" x14ac:dyDescent="0.3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38"/>
    </row>
    <row r="551" spans="2:25" ht="15.75" customHeight="1" x14ac:dyDescent="0.3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38"/>
    </row>
    <row r="552" spans="2:25" ht="15.75" customHeight="1" x14ac:dyDescent="0.3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38"/>
    </row>
    <row r="553" spans="2:25" ht="15.75" customHeight="1" x14ac:dyDescent="0.3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38"/>
    </row>
    <row r="554" spans="2:25" ht="15.75" customHeight="1" x14ac:dyDescent="0.3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38"/>
    </row>
    <row r="555" spans="2:25" ht="15.75" customHeight="1" x14ac:dyDescent="0.3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38"/>
    </row>
    <row r="556" spans="2:25" ht="15.75" customHeight="1" x14ac:dyDescent="0.3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38"/>
    </row>
    <row r="557" spans="2:25" ht="15.75" customHeight="1" x14ac:dyDescent="0.3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38"/>
    </row>
    <row r="558" spans="2:25" ht="15.75" customHeight="1" x14ac:dyDescent="0.3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38"/>
    </row>
    <row r="559" spans="2:25" ht="15.75" customHeight="1" x14ac:dyDescent="0.3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38"/>
    </row>
    <row r="560" spans="2:25" ht="15.75" customHeight="1" x14ac:dyDescent="0.3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38"/>
    </row>
    <row r="561" spans="2:25" ht="15.75" customHeight="1" x14ac:dyDescent="0.3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38"/>
    </row>
    <row r="562" spans="2:25" ht="15.75" customHeight="1" x14ac:dyDescent="0.3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38"/>
    </row>
    <row r="563" spans="2:25" ht="15.75" customHeight="1" x14ac:dyDescent="0.3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38"/>
    </row>
    <row r="564" spans="2:25" ht="15.75" customHeight="1" x14ac:dyDescent="0.3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38"/>
    </row>
    <row r="565" spans="2:25" ht="15.75" customHeight="1" x14ac:dyDescent="0.3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38"/>
    </row>
    <row r="566" spans="2:25" ht="15.75" customHeight="1" x14ac:dyDescent="0.3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38"/>
    </row>
    <row r="567" spans="2:25" ht="15.75" customHeight="1" x14ac:dyDescent="0.3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38"/>
    </row>
    <row r="568" spans="2:25" ht="15.75" customHeight="1" x14ac:dyDescent="0.3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38"/>
    </row>
    <row r="569" spans="2:25" ht="15.75" customHeight="1" x14ac:dyDescent="0.3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38"/>
    </row>
    <row r="570" spans="2:25" ht="15.75" customHeight="1" x14ac:dyDescent="0.3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38"/>
    </row>
    <row r="571" spans="2:25" ht="15.75" customHeight="1" x14ac:dyDescent="0.3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38"/>
    </row>
    <row r="572" spans="2:25" ht="15.75" customHeight="1" x14ac:dyDescent="0.3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38"/>
    </row>
    <row r="573" spans="2:25" ht="15.75" customHeight="1" x14ac:dyDescent="0.3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38"/>
    </row>
    <row r="574" spans="2:25" ht="15.75" customHeight="1" x14ac:dyDescent="0.3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38"/>
    </row>
    <row r="575" spans="2:25" ht="15.75" customHeight="1" x14ac:dyDescent="0.3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38"/>
    </row>
    <row r="576" spans="2:25" ht="15.75" customHeight="1" x14ac:dyDescent="0.3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38"/>
    </row>
    <row r="577" spans="2:25" ht="15.75" customHeight="1" x14ac:dyDescent="0.3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38"/>
    </row>
    <row r="578" spans="2:25" ht="15.75" customHeight="1" x14ac:dyDescent="0.3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38"/>
    </row>
    <row r="579" spans="2:25" ht="15.75" customHeight="1" x14ac:dyDescent="0.3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38"/>
    </row>
    <row r="580" spans="2:25" ht="15.75" customHeight="1" x14ac:dyDescent="0.3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38"/>
    </row>
    <row r="581" spans="2:25" ht="15.75" customHeight="1" x14ac:dyDescent="0.3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38"/>
    </row>
    <row r="582" spans="2:25" ht="15.75" customHeight="1" x14ac:dyDescent="0.3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38"/>
    </row>
    <row r="583" spans="2:25" ht="15.75" customHeight="1" x14ac:dyDescent="0.3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38"/>
    </row>
    <row r="584" spans="2:25" ht="15.75" customHeight="1" x14ac:dyDescent="0.3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38"/>
    </row>
    <row r="585" spans="2:25" ht="15.75" customHeight="1" x14ac:dyDescent="0.3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38"/>
    </row>
    <row r="586" spans="2:25" ht="15.75" customHeight="1" x14ac:dyDescent="0.3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38"/>
    </row>
    <row r="587" spans="2:25" ht="15.75" customHeight="1" x14ac:dyDescent="0.3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38"/>
    </row>
    <row r="588" spans="2:25" ht="15.75" customHeight="1" x14ac:dyDescent="0.3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38"/>
    </row>
    <row r="589" spans="2:25" ht="15.75" customHeight="1" x14ac:dyDescent="0.3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38"/>
    </row>
    <row r="590" spans="2:25" ht="15.75" customHeight="1" x14ac:dyDescent="0.3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38"/>
    </row>
    <row r="591" spans="2:25" ht="15.75" customHeight="1" x14ac:dyDescent="0.3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38"/>
    </row>
    <row r="592" spans="2:25" ht="15.75" customHeight="1" x14ac:dyDescent="0.3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38"/>
    </row>
    <row r="593" spans="2:25" ht="15.75" customHeight="1" x14ac:dyDescent="0.3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38"/>
    </row>
    <row r="594" spans="2:25" ht="15.75" customHeight="1" x14ac:dyDescent="0.3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38"/>
    </row>
    <row r="595" spans="2:25" ht="15.75" customHeight="1" x14ac:dyDescent="0.3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38"/>
    </row>
    <row r="596" spans="2:25" ht="15.75" customHeight="1" x14ac:dyDescent="0.3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38"/>
    </row>
    <row r="597" spans="2:25" ht="15.75" customHeight="1" x14ac:dyDescent="0.3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38"/>
    </row>
    <row r="598" spans="2:25" ht="15.75" customHeight="1" x14ac:dyDescent="0.3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38"/>
    </row>
    <row r="599" spans="2:25" ht="15.75" customHeight="1" x14ac:dyDescent="0.3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38"/>
    </row>
    <row r="600" spans="2:25" ht="15.75" customHeight="1" x14ac:dyDescent="0.3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38"/>
    </row>
    <row r="601" spans="2:25" ht="15.75" customHeight="1" x14ac:dyDescent="0.3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38"/>
    </row>
    <row r="602" spans="2:25" ht="15.75" customHeight="1" x14ac:dyDescent="0.3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38"/>
    </row>
    <row r="603" spans="2:25" ht="15.75" customHeight="1" x14ac:dyDescent="0.3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38"/>
    </row>
    <row r="604" spans="2:25" ht="15.75" customHeight="1" x14ac:dyDescent="0.3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38"/>
    </row>
    <row r="605" spans="2:25" ht="15.75" customHeight="1" x14ac:dyDescent="0.3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38"/>
    </row>
    <row r="606" spans="2:25" ht="15.75" customHeight="1" x14ac:dyDescent="0.3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38"/>
    </row>
    <row r="607" spans="2:25" ht="15.75" customHeight="1" x14ac:dyDescent="0.3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38"/>
    </row>
    <row r="608" spans="2:25" ht="15.75" customHeight="1" x14ac:dyDescent="0.3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38"/>
    </row>
    <row r="609" spans="2:25" ht="15.75" customHeight="1" x14ac:dyDescent="0.3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38"/>
    </row>
    <row r="610" spans="2:25" ht="15.75" customHeight="1" x14ac:dyDescent="0.3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38"/>
    </row>
    <row r="611" spans="2:25" ht="15.75" customHeight="1" x14ac:dyDescent="0.3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38"/>
    </row>
    <row r="612" spans="2:25" ht="15.75" customHeight="1" x14ac:dyDescent="0.3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38"/>
    </row>
    <row r="613" spans="2:25" ht="15.75" customHeight="1" x14ac:dyDescent="0.3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38"/>
    </row>
    <row r="614" spans="2:25" ht="15.75" customHeight="1" x14ac:dyDescent="0.3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38"/>
    </row>
    <row r="615" spans="2:25" ht="15.75" customHeight="1" x14ac:dyDescent="0.3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38"/>
    </row>
    <row r="616" spans="2:25" ht="15.75" customHeight="1" x14ac:dyDescent="0.3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38"/>
    </row>
    <row r="617" spans="2:25" ht="15.75" customHeight="1" x14ac:dyDescent="0.3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38"/>
    </row>
    <row r="618" spans="2:25" ht="15.75" customHeight="1" x14ac:dyDescent="0.3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38"/>
    </row>
    <row r="619" spans="2:25" ht="15.75" customHeight="1" x14ac:dyDescent="0.3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38"/>
    </row>
    <row r="620" spans="2:25" ht="15.75" customHeight="1" x14ac:dyDescent="0.3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38"/>
    </row>
    <row r="621" spans="2:25" ht="15.75" customHeight="1" x14ac:dyDescent="0.3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38"/>
    </row>
    <row r="622" spans="2:25" ht="15.75" customHeight="1" x14ac:dyDescent="0.3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38"/>
    </row>
    <row r="623" spans="2:25" ht="15.75" customHeight="1" x14ac:dyDescent="0.3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38"/>
    </row>
    <row r="624" spans="2:25" ht="15.75" customHeight="1" x14ac:dyDescent="0.3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38"/>
    </row>
    <row r="625" spans="2:25" ht="15.75" customHeight="1" x14ac:dyDescent="0.3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38"/>
    </row>
    <row r="626" spans="2:25" ht="15.75" customHeight="1" x14ac:dyDescent="0.3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38"/>
    </row>
    <row r="627" spans="2:25" ht="15.75" customHeight="1" x14ac:dyDescent="0.3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38"/>
    </row>
    <row r="628" spans="2:25" ht="15.75" customHeight="1" x14ac:dyDescent="0.3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38"/>
    </row>
    <row r="629" spans="2:25" ht="15.75" customHeight="1" x14ac:dyDescent="0.3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38"/>
    </row>
    <row r="630" spans="2:25" ht="15.75" customHeight="1" x14ac:dyDescent="0.3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38"/>
    </row>
    <row r="631" spans="2:25" ht="15.75" customHeight="1" x14ac:dyDescent="0.3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38"/>
    </row>
    <row r="632" spans="2:25" ht="15.75" customHeight="1" x14ac:dyDescent="0.3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38"/>
    </row>
    <row r="633" spans="2:25" ht="15.75" customHeight="1" x14ac:dyDescent="0.3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38"/>
    </row>
    <row r="634" spans="2:25" ht="15.75" customHeight="1" x14ac:dyDescent="0.3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38"/>
    </row>
    <row r="635" spans="2:25" ht="15.75" customHeight="1" x14ac:dyDescent="0.3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38"/>
    </row>
    <row r="636" spans="2:25" ht="15.75" customHeight="1" x14ac:dyDescent="0.3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38"/>
    </row>
    <row r="637" spans="2:25" ht="15.75" customHeight="1" x14ac:dyDescent="0.3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38"/>
    </row>
    <row r="638" spans="2:25" ht="15.75" customHeight="1" x14ac:dyDescent="0.3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38"/>
    </row>
    <row r="639" spans="2:25" ht="15.75" customHeight="1" x14ac:dyDescent="0.3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38"/>
    </row>
    <row r="640" spans="2:25" ht="15.75" customHeight="1" x14ac:dyDescent="0.3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38"/>
    </row>
    <row r="641" spans="2:25" ht="15.75" customHeight="1" x14ac:dyDescent="0.3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38"/>
    </row>
    <row r="642" spans="2:25" ht="15.75" customHeight="1" x14ac:dyDescent="0.3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38"/>
    </row>
    <row r="643" spans="2:25" ht="15.75" customHeight="1" x14ac:dyDescent="0.3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38"/>
    </row>
    <row r="644" spans="2:25" ht="15.75" customHeight="1" x14ac:dyDescent="0.3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38"/>
    </row>
    <row r="645" spans="2:25" ht="15.75" customHeight="1" x14ac:dyDescent="0.3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38"/>
    </row>
    <row r="646" spans="2:25" ht="15.75" customHeight="1" x14ac:dyDescent="0.3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38"/>
    </row>
    <row r="647" spans="2:25" ht="15.75" customHeight="1" x14ac:dyDescent="0.3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38"/>
    </row>
    <row r="648" spans="2:25" ht="15.75" customHeight="1" x14ac:dyDescent="0.3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38"/>
    </row>
    <row r="649" spans="2:25" ht="15.75" customHeight="1" x14ac:dyDescent="0.3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38"/>
    </row>
    <row r="650" spans="2:25" ht="15.75" customHeight="1" x14ac:dyDescent="0.3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38"/>
    </row>
    <row r="651" spans="2:25" ht="15.75" customHeight="1" x14ac:dyDescent="0.3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38"/>
    </row>
    <row r="652" spans="2:25" ht="15.75" customHeight="1" x14ac:dyDescent="0.3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38"/>
    </row>
    <row r="653" spans="2:25" ht="15.75" customHeight="1" x14ac:dyDescent="0.3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38"/>
    </row>
    <row r="654" spans="2:25" ht="15.75" customHeight="1" x14ac:dyDescent="0.3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38"/>
    </row>
    <row r="655" spans="2:25" ht="15.75" customHeight="1" x14ac:dyDescent="0.3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38"/>
    </row>
    <row r="656" spans="2:25" ht="15.75" customHeight="1" x14ac:dyDescent="0.3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38"/>
    </row>
    <row r="657" spans="2:25" ht="15.75" customHeight="1" x14ac:dyDescent="0.3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38"/>
    </row>
    <row r="658" spans="2:25" ht="15.75" customHeight="1" x14ac:dyDescent="0.3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38"/>
    </row>
    <row r="659" spans="2:25" ht="15.75" customHeight="1" x14ac:dyDescent="0.3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38"/>
    </row>
    <row r="660" spans="2:25" ht="15.75" customHeight="1" x14ac:dyDescent="0.3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38"/>
    </row>
    <row r="661" spans="2:25" ht="15.75" customHeight="1" x14ac:dyDescent="0.3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38"/>
    </row>
    <row r="662" spans="2:25" ht="15.75" customHeight="1" x14ac:dyDescent="0.3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38"/>
    </row>
    <row r="663" spans="2:25" ht="15.75" customHeight="1" x14ac:dyDescent="0.3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38"/>
    </row>
    <row r="664" spans="2:25" ht="15.75" customHeight="1" x14ac:dyDescent="0.3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38"/>
    </row>
    <row r="665" spans="2:25" ht="15.75" customHeight="1" x14ac:dyDescent="0.3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38"/>
    </row>
    <row r="666" spans="2:25" ht="15.75" customHeight="1" x14ac:dyDescent="0.3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38"/>
    </row>
    <row r="667" spans="2:25" ht="15.75" customHeight="1" x14ac:dyDescent="0.3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38"/>
    </row>
    <row r="668" spans="2:25" ht="15.75" customHeight="1" x14ac:dyDescent="0.3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38"/>
    </row>
    <row r="669" spans="2:25" ht="15.75" customHeight="1" x14ac:dyDescent="0.3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38"/>
    </row>
    <row r="670" spans="2:25" ht="15.75" customHeight="1" x14ac:dyDescent="0.3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38"/>
    </row>
    <row r="671" spans="2:25" ht="15.75" customHeight="1" x14ac:dyDescent="0.3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38"/>
    </row>
    <row r="672" spans="2:25" ht="15.75" customHeight="1" x14ac:dyDescent="0.3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38"/>
    </row>
    <row r="673" spans="2:25" ht="15.75" customHeight="1" x14ac:dyDescent="0.3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38"/>
    </row>
    <row r="674" spans="2:25" ht="15.75" customHeight="1" x14ac:dyDescent="0.3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38"/>
    </row>
    <row r="675" spans="2:25" ht="15.75" customHeight="1" x14ac:dyDescent="0.3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38"/>
    </row>
    <row r="676" spans="2:25" ht="15.75" customHeight="1" x14ac:dyDescent="0.3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38"/>
    </row>
    <row r="677" spans="2:25" ht="15.75" customHeight="1" x14ac:dyDescent="0.3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38"/>
    </row>
    <row r="678" spans="2:25" ht="15.75" customHeight="1" x14ac:dyDescent="0.3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38"/>
    </row>
    <row r="679" spans="2:25" ht="15.75" customHeight="1" x14ac:dyDescent="0.3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38"/>
    </row>
    <row r="680" spans="2:25" ht="15.75" customHeight="1" x14ac:dyDescent="0.3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38"/>
    </row>
    <row r="681" spans="2:25" ht="15.75" customHeight="1" x14ac:dyDescent="0.3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38"/>
    </row>
    <row r="682" spans="2:25" ht="15.75" customHeight="1" x14ac:dyDescent="0.3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38"/>
    </row>
    <row r="683" spans="2:25" ht="15.75" customHeight="1" x14ac:dyDescent="0.3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38"/>
    </row>
    <row r="684" spans="2:25" ht="15.75" customHeight="1" x14ac:dyDescent="0.3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38"/>
    </row>
    <row r="685" spans="2:25" ht="15.75" customHeight="1" x14ac:dyDescent="0.3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38"/>
    </row>
    <row r="686" spans="2:25" ht="15.75" customHeight="1" x14ac:dyDescent="0.3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38"/>
    </row>
    <row r="687" spans="2:25" ht="15.75" customHeight="1" x14ac:dyDescent="0.3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38"/>
    </row>
    <row r="688" spans="2:25" ht="15.75" customHeight="1" x14ac:dyDescent="0.3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38"/>
    </row>
    <row r="689" spans="2:25" ht="15.75" customHeight="1" x14ac:dyDescent="0.3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38"/>
    </row>
    <row r="690" spans="2:25" ht="15.75" customHeight="1" x14ac:dyDescent="0.3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38"/>
    </row>
    <row r="691" spans="2:25" ht="15.75" customHeight="1" x14ac:dyDescent="0.3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38"/>
    </row>
    <row r="692" spans="2:25" ht="15.75" customHeight="1" x14ac:dyDescent="0.3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38"/>
    </row>
    <row r="693" spans="2:25" ht="15.75" customHeight="1" x14ac:dyDescent="0.3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38"/>
    </row>
    <row r="694" spans="2:25" ht="15.75" customHeight="1" x14ac:dyDescent="0.3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38"/>
    </row>
    <row r="695" spans="2:25" ht="15.75" customHeight="1" x14ac:dyDescent="0.3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38"/>
    </row>
    <row r="696" spans="2:25" ht="15.75" customHeight="1" x14ac:dyDescent="0.3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38"/>
    </row>
    <row r="697" spans="2:25" ht="15.75" customHeight="1" x14ac:dyDescent="0.3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38"/>
    </row>
    <row r="698" spans="2:25" ht="15.75" customHeight="1" x14ac:dyDescent="0.3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38"/>
    </row>
    <row r="699" spans="2:25" ht="15.75" customHeight="1" x14ac:dyDescent="0.3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38"/>
    </row>
    <row r="700" spans="2:25" ht="15.75" customHeight="1" x14ac:dyDescent="0.3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38"/>
    </row>
    <row r="701" spans="2:25" ht="15.75" customHeight="1" x14ac:dyDescent="0.3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38"/>
    </row>
    <row r="702" spans="2:25" ht="15.75" customHeight="1" x14ac:dyDescent="0.3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38"/>
    </row>
    <row r="703" spans="2:25" ht="15.75" customHeight="1" x14ac:dyDescent="0.3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38"/>
    </row>
    <row r="704" spans="2:25" ht="15.75" customHeight="1" x14ac:dyDescent="0.3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38"/>
    </row>
    <row r="705" spans="2:25" ht="15.75" customHeight="1" x14ac:dyDescent="0.3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38"/>
    </row>
    <row r="706" spans="2:25" ht="15.75" customHeight="1" x14ac:dyDescent="0.3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38"/>
    </row>
    <row r="707" spans="2:25" ht="15.75" customHeight="1" x14ac:dyDescent="0.3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38"/>
    </row>
    <row r="708" spans="2:25" ht="15.75" customHeight="1" x14ac:dyDescent="0.3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38"/>
    </row>
    <row r="709" spans="2:25" ht="15.75" customHeight="1" x14ac:dyDescent="0.3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38"/>
    </row>
    <row r="710" spans="2:25" ht="15.75" customHeight="1" x14ac:dyDescent="0.3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38"/>
    </row>
    <row r="711" spans="2:25" ht="15.75" customHeight="1" x14ac:dyDescent="0.3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38"/>
    </row>
    <row r="712" spans="2:25" ht="15.75" customHeight="1" x14ac:dyDescent="0.3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38"/>
    </row>
    <row r="713" spans="2:25" ht="15.75" customHeight="1" x14ac:dyDescent="0.3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38"/>
    </row>
    <row r="714" spans="2:25" ht="15.75" customHeight="1" x14ac:dyDescent="0.3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38"/>
    </row>
    <row r="715" spans="2:25" ht="15.75" customHeight="1" x14ac:dyDescent="0.3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38"/>
    </row>
    <row r="716" spans="2:25" ht="15.75" customHeight="1" x14ac:dyDescent="0.3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38"/>
    </row>
    <row r="717" spans="2:25" ht="15.75" customHeight="1" x14ac:dyDescent="0.3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38"/>
    </row>
    <row r="718" spans="2:25" ht="15.75" customHeight="1" x14ac:dyDescent="0.3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38"/>
    </row>
    <row r="719" spans="2:25" ht="15.75" customHeight="1" x14ac:dyDescent="0.3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38"/>
    </row>
    <row r="720" spans="2:25" ht="15.75" customHeight="1" x14ac:dyDescent="0.3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38"/>
    </row>
    <row r="721" spans="2:25" ht="15.75" customHeight="1" x14ac:dyDescent="0.3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38"/>
    </row>
    <row r="722" spans="2:25" ht="15.75" customHeight="1" x14ac:dyDescent="0.3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38"/>
    </row>
    <row r="723" spans="2:25" ht="15.75" customHeight="1" x14ac:dyDescent="0.3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38"/>
    </row>
    <row r="724" spans="2:25" ht="15.75" customHeight="1" x14ac:dyDescent="0.3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38"/>
    </row>
    <row r="725" spans="2:25" ht="15.75" customHeight="1" x14ac:dyDescent="0.3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38"/>
    </row>
    <row r="726" spans="2:25" ht="15.75" customHeight="1" x14ac:dyDescent="0.3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38"/>
    </row>
    <row r="727" spans="2:25" ht="15.75" customHeight="1" x14ac:dyDescent="0.3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38"/>
    </row>
    <row r="728" spans="2:25" ht="15.75" customHeight="1" x14ac:dyDescent="0.3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38"/>
    </row>
    <row r="729" spans="2:25" ht="15.75" customHeight="1" x14ac:dyDescent="0.3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38"/>
    </row>
    <row r="730" spans="2:25" ht="15.75" customHeight="1" x14ac:dyDescent="0.3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38"/>
    </row>
    <row r="731" spans="2:25" ht="15.75" customHeight="1" x14ac:dyDescent="0.3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38"/>
    </row>
    <row r="732" spans="2:25" ht="15.75" customHeight="1" x14ac:dyDescent="0.3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38"/>
    </row>
    <row r="733" spans="2:25" ht="15.75" customHeight="1" x14ac:dyDescent="0.3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38"/>
    </row>
    <row r="734" spans="2:25" ht="15.75" customHeight="1" x14ac:dyDescent="0.3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38"/>
    </row>
    <row r="735" spans="2:25" ht="15.75" customHeight="1" x14ac:dyDescent="0.3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38"/>
    </row>
    <row r="736" spans="2:25" ht="15.75" customHeight="1" x14ac:dyDescent="0.3"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38"/>
    </row>
    <row r="737" spans="2:25" ht="15.75" customHeight="1" x14ac:dyDescent="0.3"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38"/>
    </row>
    <row r="738" spans="2:25" ht="15.75" customHeight="1" x14ac:dyDescent="0.3"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38"/>
    </row>
    <row r="739" spans="2:25" ht="15.75" customHeight="1" x14ac:dyDescent="0.3"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38"/>
    </row>
    <row r="740" spans="2:25" ht="15.75" customHeight="1" x14ac:dyDescent="0.3"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38"/>
    </row>
    <row r="741" spans="2:25" ht="15.75" customHeight="1" x14ac:dyDescent="0.3"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38"/>
    </row>
    <row r="742" spans="2:25" ht="15.75" customHeight="1" x14ac:dyDescent="0.3"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38"/>
    </row>
    <row r="743" spans="2:25" ht="15.75" customHeight="1" x14ac:dyDescent="0.3"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38"/>
    </row>
    <row r="744" spans="2:25" ht="15.75" customHeight="1" x14ac:dyDescent="0.3"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38"/>
    </row>
    <row r="745" spans="2:25" ht="15.75" customHeight="1" x14ac:dyDescent="0.3"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38"/>
    </row>
    <row r="746" spans="2:25" ht="15.75" customHeight="1" x14ac:dyDescent="0.3"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38"/>
    </row>
    <row r="747" spans="2:25" ht="15.75" customHeight="1" x14ac:dyDescent="0.3"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38"/>
    </row>
    <row r="748" spans="2:25" ht="15.75" customHeight="1" x14ac:dyDescent="0.3"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38"/>
    </row>
    <row r="749" spans="2:25" ht="15.75" customHeight="1" x14ac:dyDescent="0.3"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38"/>
    </row>
    <row r="750" spans="2:25" ht="15.75" customHeight="1" x14ac:dyDescent="0.3"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38"/>
    </row>
    <row r="751" spans="2:25" ht="15.75" customHeight="1" x14ac:dyDescent="0.3"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38"/>
    </row>
    <row r="752" spans="2:25" ht="15.75" customHeight="1" x14ac:dyDescent="0.3"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38"/>
    </row>
    <row r="753" spans="2:25" ht="15.75" customHeight="1" x14ac:dyDescent="0.3"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38"/>
    </row>
    <row r="754" spans="2:25" ht="15.75" customHeight="1" x14ac:dyDescent="0.3"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38"/>
    </row>
    <row r="755" spans="2:25" ht="15.75" customHeight="1" x14ac:dyDescent="0.3"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38"/>
    </row>
    <row r="756" spans="2:25" ht="15.75" customHeight="1" x14ac:dyDescent="0.3"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38"/>
    </row>
    <row r="757" spans="2:25" ht="15.75" customHeight="1" x14ac:dyDescent="0.3"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38"/>
    </row>
    <row r="758" spans="2:25" ht="15.75" customHeight="1" x14ac:dyDescent="0.3"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38"/>
    </row>
    <row r="759" spans="2:25" ht="15.75" customHeight="1" x14ac:dyDescent="0.3"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38"/>
    </row>
    <row r="760" spans="2:25" ht="15.75" customHeight="1" x14ac:dyDescent="0.3"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38"/>
    </row>
    <row r="761" spans="2:25" ht="15.75" customHeight="1" x14ac:dyDescent="0.3"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38"/>
    </row>
    <row r="762" spans="2:25" ht="15.75" customHeight="1" x14ac:dyDescent="0.3"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38"/>
    </row>
    <row r="763" spans="2:25" ht="15.75" customHeight="1" x14ac:dyDescent="0.3"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38"/>
    </row>
    <row r="764" spans="2:25" ht="15.75" customHeight="1" x14ac:dyDescent="0.3"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38"/>
    </row>
    <row r="765" spans="2:25" ht="15.75" customHeight="1" x14ac:dyDescent="0.3"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38"/>
    </row>
    <row r="766" spans="2:25" ht="15.75" customHeight="1" x14ac:dyDescent="0.3"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38"/>
    </row>
    <row r="767" spans="2:25" ht="15.75" customHeight="1" x14ac:dyDescent="0.3"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38"/>
    </row>
    <row r="768" spans="2:25" ht="15.75" customHeight="1" x14ac:dyDescent="0.3"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38"/>
    </row>
    <row r="769" spans="2:25" ht="15.75" customHeight="1" x14ac:dyDescent="0.3"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38"/>
    </row>
    <row r="770" spans="2:25" ht="15.75" customHeight="1" x14ac:dyDescent="0.3"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38"/>
    </row>
    <row r="771" spans="2:25" ht="15.75" customHeight="1" x14ac:dyDescent="0.3"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38"/>
    </row>
    <row r="772" spans="2:25" ht="15.75" customHeight="1" x14ac:dyDescent="0.3"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38"/>
    </row>
    <row r="773" spans="2:25" ht="15.75" customHeight="1" x14ac:dyDescent="0.3"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38"/>
    </row>
    <row r="774" spans="2:25" ht="15.75" customHeight="1" x14ac:dyDescent="0.3"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38"/>
    </row>
    <row r="775" spans="2:25" ht="15.75" customHeight="1" x14ac:dyDescent="0.3"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38"/>
    </row>
    <row r="776" spans="2:25" ht="15.75" customHeight="1" x14ac:dyDescent="0.3"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38"/>
    </row>
    <row r="777" spans="2:25" ht="15.75" customHeight="1" x14ac:dyDescent="0.3"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38"/>
    </row>
    <row r="778" spans="2:25" ht="15.75" customHeight="1" x14ac:dyDescent="0.3"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38"/>
    </row>
    <row r="779" spans="2:25" ht="15.75" customHeight="1" x14ac:dyDescent="0.3"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38"/>
    </row>
    <row r="780" spans="2:25" ht="15.75" customHeight="1" x14ac:dyDescent="0.3"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38"/>
    </row>
    <row r="781" spans="2:25" ht="15.75" customHeight="1" x14ac:dyDescent="0.3"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38"/>
    </row>
    <row r="782" spans="2:25" ht="15.75" customHeight="1" x14ac:dyDescent="0.3"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38"/>
    </row>
    <row r="783" spans="2:25" ht="15.75" customHeight="1" x14ac:dyDescent="0.3"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38"/>
    </row>
    <row r="784" spans="2:25" ht="15.75" customHeight="1" x14ac:dyDescent="0.3"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38"/>
    </row>
    <row r="785" spans="2:25" ht="15.75" customHeight="1" x14ac:dyDescent="0.3"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38"/>
    </row>
    <row r="786" spans="2:25" ht="15.75" customHeight="1" x14ac:dyDescent="0.3"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38"/>
    </row>
    <row r="787" spans="2:25" ht="15.75" customHeight="1" x14ac:dyDescent="0.3"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38"/>
    </row>
    <row r="788" spans="2:25" ht="15.75" customHeight="1" x14ac:dyDescent="0.3"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38"/>
    </row>
    <row r="789" spans="2:25" ht="15.75" customHeight="1" x14ac:dyDescent="0.3"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38"/>
    </row>
    <row r="790" spans="2:25" ht="15.75" customHeight="1" x14ac:dyDescent="0.3"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38"/>
    </row>
    <row r="791" spans="2:25" ht="15.75" customHeight="1" x14ac:dyDescent="0.3"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38"/>
    </row>
    <row r="792" spans="2:25" ht="15.75" customHeight="1" x14ac:dyDescent="0.3"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38"/>
    </row>
    <row r="793" spans="2:25" ht="15.75" customHeight="1" x14ac:dyDescent="0.3"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38"/>
    </row>
    <row r="794" spans="2:25" ht="15.75" customHeight="1" x14ac:dyDescent="0.3"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38"/>
    </row>
    <row r="795" spans="2:25" ht="15.75" customHeight="1" x14ac:dyDescent="0.3"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38"/>
    </row>
    <row r="796" spans="2:25" ht="15.75" customHeight="1" x14ac:dyDescent="0.3"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38"/>
    </row>
    <row r="797" spans="2:25" ht="15.75" customHeight="1" x14ac:dyDescent="0.3"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38"/>
    </row>
    <row r="798" spans="2:25" ht="15.75" customHeight="1" x14ac:dyDescent="0.3"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38"/>
    </row>
    <row r="799" spans="2:25" ht="15.75" customHeight="1" x14ac:dyDescent="0.3"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38"/>
    </row>
    <row r="800" spans="2:25" ht="15.75" customHeight="1" x14ac:dyDescent="0.3"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38"/>
    </row>
    <row r="801" spans="2:25" ht="15.75" customHeight="1" x14ac:dyDescent="0.3"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38"/>
    </row>
    <row r="802" spans="2:25" ht="15.75" customHeight="1" x14ac:dyDescent="0.3"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38"/>
    </row>
    <row r="803" spans="2:25" ht="15.75" customHeight="1" x14ac:dyDescent="0.3"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38"/>
    </row>
    <row r="804" spans="2:25" ht="15.75" customHeight="1" x14ac:dyDescent="0.3"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38"/>
    </row>
    <row r="805" spans="2:25" ht="15.75" customHeight="1" x14ac:dyDescent="0.3"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38"/>
    </row>
    <row r="806" spans="2:25" ht="15.75" customHeight="1" x14ac:dyDescent="0.3"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38"/>
    </row>
    <row r="807" spans="2:25" ht="15.75" customHeight="1" x14ac:dyDescent="0.3"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38"/>
    </row>
    <row r="808" spans="2:25" ht="15.75" customHeight="1" x14ac:dyDescent="0.3"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38"/>
    </row>
    <row r="809" spans="2:25" ht="15.75" customHeight="1" x14ac:dyDescent="0.3"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38"/>
    </row>
    <row r="810" spans="2:25" ht="15.75" customHeight="1" x14ac:dyDescent="0.3"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38"/>
    </row>
    <row r="811" spans="2:25" ht="15.75" customHeight="1" x14ac:dyDescent="0.3"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38"/>
    </row>
    <row r="812" spans="2:25" ht="15.75" customHeight="1" x14ac:dyDescent="0.3"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38"/>
    </row>
    <row r="813" spans="2:25" ht="15.75" customHeight="1" x14ac:dyDescent="0.3"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38"/>
    </row>
    <row r="814" spans="2:25" ht="15.75" customHeight="1" x14ac:dyDescent="0.3"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38"/>
    </row>
    <row r="815" spans="2:25" ht="15.75" customHeight="1" x14ac:dyDescent="0.3"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38"/>
    </row>
    <row r="816" spans="2:25" ht="15.75" customHeight="1" x14ac:dyDescent="0.3"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38"/>
    </row>
    <row r="817" spans="2:25" ht="15.75" customHeight="1" x14ac:dyDescent="0.3"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38"/>
    </row>
    <row r="818" spans="2:25" ht="15.75" customHeight="1" x14ac:dyDescent="0.3"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38"/>
    </row>
    <row r="819" spans="2:25" ht="15.75" customHeight="1" x14ac:dyDescent="0.3"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38"/>
    </row>
    <row r="820" spans="2:25" ht="15.75" customHeight="1" x14ac:dyDescent="0.3"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38"/>
    </row>
    <row r="821" spans="2:25" ht="15.75" customHeight="1" x14ac:dyDescent="0.3"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38"/>
    </row>
    <row r="822" spans="2:25" ht="15.75" customHeight="1" x14ac:dyDescent="0.3"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38"/>
    </row>
    <row r="823" spans="2:25" ht="15.75" customHeight="1" x14ac:dyDescent="0.3"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38"/>
    </row>
    <row r="824" spans="2:25" ht="15.75" customHeight="1" x14ac:dyDescent="0.3"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38"/>
    </row>
    <row r="825" spans="2:25" ht="15.75" customHeight="1" x14ac:dyDescent="0.3"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38"/>
    </row>
    <row r="826" spans="2:25" ht="15.75" customHeight="1" x14ac:dyDescent="0.3"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38"/>
    </row>
    <row r="827" spans="2:25" ht="15.75" customHeight="1" x14ac:dyDescent="0.3"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38"/>
    </row>
    <row r="828" spans="2:25" ht="15.75" customHeight="1" x14ac:dyDescent="0.3"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38"/>
    </row>
    <row r="829" spans="2:25" ht="15.75" customHeight="1" x14ac:dyDescent="0.3"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38"/>
    </row>
    <row r="830" spans="2:25" ht="15.75" customHeight="1" x14ac:dyDescent="0.3"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38"/>
    </row>
    <row r="831" spans="2:25" ht="15.75" customHeight="1" x14ac:dyDescent="0.3"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38"/>
    </row>
    <row r="832" spans="2:25" ht="15.75" customHeight="1" x14ac:dyDescent="0.3"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38"/>
    </row>
    <row r="833" spans="2:25" ht="15.75" customHeight="1" x14ac:dyDescent="0.3"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38"/>
    </row>
    <row r="834" spans="2:25" ht="15.75" customHeight="1" x14ac:dyDescent="0.3"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38"/>
    </row>
    <row r="835" spans="2:25" ht="15.75" customHeight="1" x14ac:dyDescent="0.3"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38"/>
    </row>
    <row r="836" spans="2:25" ht="15.75" customHeight="1" x14ac:dyDescent="0.3"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38"/>
    </row>
    <row r="837" spans="2:25" ht="15.75" customHeight="1" x14ac:dyDescent="0.3"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38"/>
    </row>
    <row r="838" spans="2:25" ht="15.75" customHeight="1" x14ac:dyDescent="0.3"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38"/>
    </row>
    <row r="839" spans="2:25" ht="15.75" customHeight="1" x14ac:dyDescent="0.3"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38"/>
    </row>
    <row r="840" spans="2:25" ht="15.75" customHeight="1" x14ac:dyDescent="0.3"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38"/>
    </row>
    <row r="841" spans="2:25" ht="15.75" customHeight="1" x14ac:dyDescent="0.3"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38"/>
    </row>
    <row r="842" spans="2:25" ht="15.75" customHeight="1" x14ac:dyDescent="0.3"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38"/>
    </row>
    <row r="843" spans="2:25" ht="15.75" customHeight="1" x14ac:dyDescent="0.3"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38"/>
    </row>
    <row r="844" spans="2:25" ht="15.75" customHeight="1" x14ac:dyDescent="0.3"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38"/>
    </row>
    <row r="845" spans="2:25" ht="15.75" customHeight="1" x14ac:dyDescent="0.3"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38"/>
    </row>
    <row r="846" spans="2:25" ht="15.75" customHeight="1" x14ac:dyDescent="0.3"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38"/>
    </row>
    <row r="847" spans="2:25" ht="15.75" customHeight="1" x14ac:dyDescent="0.3"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38"/>
    </row>
    <row r="848" spans="2:25" ht="15.75" customHeight="1" x14ac:dyDescent="0.3"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38"/>
    </row>
    <row r="849" spans="2:25" ht="15.75" customHeight="1" x14ac:dyDescent="0.3"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38"/>
    </row>
    <row r="850" spans="2:25" ht="15.75" customHeight="1" x14ac:dyDescent="0.3"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38"/>
    </row>
    <row r="851" spans="2:25" ht="15.75" customHeight="1" x14ac:dyDescent="0.3"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38"/>
    </row>
    <row r="852" spans="2:25" ht="15.75" customHeight="1" x14ac:dyDescent="0.3"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38"/>
    </row>
    <row r="853" spans="2:25" ht="15.75" customHeight="1" x14ac:dyDescent="0.3"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38"/>
    </row>
    <row r="854" spans="2:25" ht="15.75" customHeight="1" x14ac:dyDescent="0.3"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38"/>
    </row>
    <row r="855" spans="2:25" ht="15.75" customHeight="1" x14ac:dyDescent="0.3"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38"/>
    </row>
    <row r="856" spans="2:25" ht="15.75" customHeight="1" x14ac:dyDescent="0.3"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38"/>
    </row>
    <row r="857" spans="2:25" ht="15.75" customHeight="1" x14ac:dyDescent="0.3"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38"/>
    </row>
    <row r="858" spans="2:25" ht="15.75" customHeight="1" x14ac:dyDescent="0.3"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38"/>
    </row>
    <row r="859" spans="2:25" ht="15.75" customHeight="1" x14ac:dyDescent="0.3"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38"/>
    </row>
    <row r="860" spans="2:25" ht="15.75" customHeight="1" x14ac:dyDescent="0.3"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38"/>
    </row>
    <row r="861" spans="2:25" ht="15.75" customHeight="1" x14ac:dyDescent="0.3"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38"/>
    </row>
    <row r="862" spans="2:25" ht="15.75" customHeight="1" x14ac:dyDescent="0.3"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38"/>
    </row>
    <row r="863" spans="2:25" ht="15.75" customHeight="1" x14ac:dyDescent="0.3"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38"/>
    </row>
    <row r="864" spans="2:25" ht="15.75" customHeight="1" x14ac:dyDescent="0.3"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38"/>
    </row>
    <row r="865" spans="2:25" ht="15.75" customHeight="1" x14ac:dyDescent="0.3"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38"/>
    </row>
    <row r="866" spans="2:25" ht="15.75" customHeight="1" x14ac:dyDescent="0.3"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38"/>
    </row>
    <row r="867" spans="2:25" ht="15.75" customHeight="1" x14ac:dyDescent="0.3"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38"/>
    </row>
    <row r="868" spans="2:25" ht="15.75" customHeight="1" x14ac:dyDescent="0.3"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38"/>
    </row>
    <row r="869" spans="2:25" ht="15.75" customHeight="1" x14ac:dyDescent="0.3"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38"/>
    </row>
    <row r="870" spans="2:25" ht="15.75" customHeight="1" x14ac:dyDescent="0.3"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38"/>
    </row>
    <row r="871" spans="2:25" ht="15.75" customHeight="1" x14ac:dyDescent="0.3"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38"/>
    </row>
    <row r="872" spans="2:25" ht="15.75" customHeight="1" x14ac:dyDescent="0.3"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38"/>
    </row>
    <row r="873" spans="2:25" ht="15.75" customHeight="1" x14ac:dyDescent="0.3"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38"/>
    </row>
    <row r="874" spans="2:25" ht="15.75" customHeight="1" x14ac:dyDescent="0.3"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38"/>
    </row>
    <row r="875" spans="2:25" ht="15.75" customHeight="1" x14ac:dyDescent="0.3"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38"/>
    </row>
    <row r="876" spans="2:25" ht="15.75" customHeight="1" x14ac:dyDescent="0.3"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38"/>
    </row>
    <row r="877" spans="2:25" ht="15.75" customHeight="1" x14ac:dyDescent="0.3"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38"/>
    </row>
    <row r="878" spans="2:25" ht="15.75" customHeight="1" x14ac:dyDescent="0.3"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38"/>
    </row>
    <row r="879" spans="2:25" ht="15.75" customHeight="1" x14ac:dyDescent="0.3"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38"/>
    </row>
    <row r="880" spans="2:25" ht="15.75" customHeight="1" x14ac:dyDescent="0.3"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38"/>
    </row>
    <row r="881" spans="2:25" ht="15.75" customHeight="1" x14ac:dyDescent="0.3"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38"/>
    </row>
    <row r="882" spans="2:25" ht="15.75" customHeight="1" x14ac:dyDescent="0.3"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38"/>
    </row>
    <row r="883" spans="2:25" ht="15.75" customHeight="1" x14ac:dyDescent="0.3"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38"/>
    </row>
    <row r="884" spans="2:25" ht="15.75" customHeight="1" x14ac:dyDescent="0.3"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38"/>
    </row>
    <row r="885" spans="2:25" ht="15.75" customHeight="1" x14ac:dyDescent="0.3"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38"/>
    </row>
    <row r="886" spans="2:25" ht="15.75" customHeight="1" x14ac:dyDescent="0.3"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38"/>
    </row>
    <row r="887" spans="2:25" ht="15.75" customHeight="1" x14ac:dyDescent="0.3"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38"/>
    </row>
    <row r="888" spans="2:25" ht="15.75" customHeight="1" x14ac:dyDescent="0.3"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38"/>
    </row>
    <row r="889" spans="2:25" ht="15.75" customHeight="1" x14ac:dyDescent="0.3"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38"/>
    </row>
    <row r="890" spans="2:25" ht="15.75" customHeight="1" x14ac:dyDescent="0.3"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38"/>
    </row>
    <row r="891" spans="2:25" ht="15.75" customHeight="1" x14ac:dyDescent="0.3"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38"/>
    </row>
    <row r="892" spans="2:25" ht="15.75" customHeight="1" x14ac:dyDescent="0.3"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38"/>
    </row>
    <row r="893" spans="2:25" ht="15.75" customHeight="1" x14ac:dyDescent="0.3"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38"/>
    </row>
    <row r="894" spans="2:25" ht="15.75" customHeight="1" x14ac:dyDescent="0.3"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38"/>
    </row>
    <row r="895" spans="2:25" ht="15.75" customHeight="1" x14ac:dyDescent="0.3"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38"/>
    </row>
    <row r="896" spans="2:25" ht="15.75" customHeight="1" x14ac:dyDescent="0.3"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38"/>
    </row>
    <row r="897" spans="2:25" ht="15.75" customHeight="1" x14ac:dyDescent="0.3"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38"/>
    </row>
    <row r="898" spans="2:25" ht="15.75" customHeight="1" x14ac:dyDescent="0.3"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38"/>
    </row>
    <row r="899" spans="2:25" ht="15.75" customHeight="1" x14ac:dyDescent="0.3"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38"/>
    </row>
    <row r="900" spans="2:25" ht="15.75" customHeight="1" x14ac:dyDescent="0.3"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38"/>
    </row>
    <row r="901" spans="2:25" ht="15.75" customHeight="1" x14ac:dyDescent="0.3"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38"/>
    </row>
    <row r="902" spans="2:25" ht="15.75" customHeight="1" x14ac:dyDescent="0.3"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38"/>
    </row>
    <row r="903" spans="2:25" ht="15.75" customHeight="1" x14ac:dyDescent="0.3"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38"/>
    </row>
    <row r="904" spans="2:25" ht="15.75" customHeight="1" x14ac:dyDescent="0.3"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38"/>
    </row>
    <row r="905" spans="2:25" ht="15.75" customHeight="1" x14ac:dyDescent="0.3"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38"/>
    </row>
    <row r="906" spans="2:25" ht="15.75" customHeight="1" x14ac:dyDescent="0.3"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38"/>
    </row>
    <row r="907" spans="2:25" ht="15.75" customHeight="1" x14ac:dyDescent="0.3"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38"/>
    </row>
    <row r="908" spans="2:25" ht="15.75" customHeight="1" x14ac:dyDescent="0.3"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38"/>
    </row>
    <row r="909" spans="2:25" ht="15.75" customHeight="1" x14ac:dyDescent="0.3"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38"/>
    </row>
    <row r="910" spans="2:25" ht="15.75" customHeight="1" x14ac:dyDescent="0.3"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38"/>
    </row>
    <row r="911" spans="2:25" ht="15.75" customHeight="1" x14ac:dyDescent="0.3"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38"/>
    </row>
    <row r="912" spans="2:25" ht="15.75" customHeight="1" x14ac:dyDescent="0.3"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38"/>
    </row>
    <row r="913" spans="2:25" ht="15.75" customHeight="1" x14ac:dyDescent="0.3"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38"/>
    </row>
    <row r="914" spans="2:25" ht="15.75" customHeight="1" x14ac:dyDescent="0.3"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38"/>
    </row>
    <row r="915" spans="2:25" ht="15.75" customHeight="1" x14ac:dyDescent="0.3"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38"/>
    </row>
    <row r="916" spans="2:25" ht="15.75" customHeight="1" x14ac:dyDescent="0.3"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38"/>
    </row>
    <row r="917" spans="2:25" ht="15.75" customHeight="1" x14ac:dyDescent="0.3"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38"/>
    </row>
    <row r="918" spans="2:25" ht="15.75" customHeight="1" x14ac:dyDescent="0.3"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38"/>
    </row>
    <row r="919" spans="2:25" ht="15.75" customHeight="1" x14ac:dyDescent="0.3"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38"/>
    </row>
    <row r="920" spans="2:25" ht="15.75" customHeight="1" x14ac:dyDescent="0.3"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38"/>
    </row>
    <row r="921" spans="2:25" ht="15.75" customHeight="1" x14ac:dyDescent="0.3"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38"/>
    </row>
    <row r="922" spans="2:25" ht="15.75" customHeight="1" x14ac:dyDescent="0.3"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38"/>
    </row>
    <row r="923" spans="2:25" ht="15.75" customHeight="1" x14ac:dyDescent="0.3"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38"/>
    </row>
    <row r="924" spans="2:25" ht="15.75" customHeight="1" x14ac:dyDescent="0.3"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38"/>
    </row>
    <row r="925" spans="2:25" ht="15.75" customHeight="1" x14ac:dyDescent="0.3"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38"/>
    </row>
    <row r="926" spans="2:25" ht="15.75" customHeight="1" x14ac:dyDescent="0.3"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38"/>
    </row>
    <row r="927" spans="2:25" ht="15.75" customHeight="1" x14ac:dyDescent="0.3"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38"/>
    </row>
    <row r="928" spans="2:25" ht="15.75" customHeight="1" x14ac:dyDescent="0.3"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38"/>
    </row>
    <row r="929" spans="2:25" ht="15.75" customHeight="1" x14ac:dyDescent="0.3"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38"/>
    </row>
    <row r="930" spans="2:25" ht="15.75" customHeight="1" x14ac:dyDescent="0.3"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38"/>
    </row>
    <row r="931" spans="2:25" ht="15.75" customHeight="1" x14ac:dyDescent="0.3"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38"/>
    </row>
    <row r="932" spans="2:25" ht="15.75" customHeight="1" x14ac:dyDescent="0.3"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38"/>
    </row>
    <row r="933" spans="2:25" ht="15.75" customHeight="1" x14ac:dyDescent="0.3"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38"/>
    </row>
    <row r="934" spans="2:25" ht="15.75" customHeight="1" x14ac:dyDescent="0.3"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38"/>
    </row>
    <row r="935" spans="2:25" ht="15.75" customHeight="1" x14ac:dyDescent="0.3"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38"/>
    </row>
    <row r="936" spans="2:25" ht="15.75" customHeight="1" x14ac:dyDescent="0.3"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38"/>
    </row>
    <row r="937" spans="2:25" ht="15.75" customHeight="1" x14ac:dyDescent="0.3"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38"/>
    </row>
    <row r="938" spans="2:25" ht="15.75" customHeight="1" x14ac:dyDescent="0.3"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38"/>
    </row>
    <row r="939" spans="2:25" ht="15.75" customHeight="1" x14ac:dyDescent="0.3"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38"/>
    </row>
    <row r="940" spans="2:25" ht="15.75" customHeight="1" x14ac:dyDescent="0.3"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38"/>
    </row>
    <row r="941" spans="2:25" ht="15.75" customHeight="1" x14ac:dyDescent="0.3"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38"/>
    </row>
    <row r="942" spans="2:25" ht="15.75" customHeight="1" x14ac:dyDescent="0.3"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38"/>
    </row>
    <row r="943" spans="2:25" ht="15.75" customHeight="1" x14ac:dyDescent="0.3"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38"/>
    </row>
    <row r="944" spans="2:25" ht="15.75" customHeight="1" x14ac:dyDescent="0.3"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38"/>
    </row>
    <row r="945" spans="2:25" ht="15.75" customHeight="1" x14ac:dyDescent="0.3"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38"/>
    </row>
    <row r="946" spans="2:25" ht="15.75" customHeight="1" x14ac:dyDescent="0.3"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38"/>
    </row>
    <row r="947" spans="2:25" ht="15.75" customHeight="1" x14ac:dyDescent="0.3"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38"/>
    </row>
    <row r="948" spans="2:25" ht="15.75" customHeight="1" x14ac:dyDescent="0.3"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38"/>
    </row>
    <row r="949" spans="2:25" ht="15.75" customHeight="1" x14ac:dyDescent="0.3"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38"/>
    </row>
    <row r="950" spans="2:25" ht="15.75" customHeight="1" x14ac:dyDescent="0.3"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38"/>
    </row>
    <row r="951" spans="2:25" ht="15.75" customHeight="1" x14ac:dyDescent="0.3"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38"/>
    </row>
    <row r="952" spans="2:25" ht="15.75" customHeight="1" x14ac:dyDescent="0.3"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38"/>
    </row>
    <row r="953" spans="2:25" ht="15.75" customHeight="1" x14ac:dyDescent="0.3"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38"/>
    </row>
    <row r="954" spans="2:25" ht="15.75" customHeight="1" x14ac:dyDescent="0.3"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38"/>
    </row>
    <row r="955" spans="2:25" ht="15.75" customHeight="1" x14ac:dyDescent="0.3"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38"/>
    </row>
    <row r="956" spans="2:25" ht="15.75" customHeight="1" x14ac:dyDescent="0.3"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38"/>
    </row>
    <row r="957" spans="2:25" ht="15.75" customHeight="1" x14ac:dyDescent="0.3"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38"/>
    </row>
    <row r="958" spans="2:25" ht="15.75" customHeight="1" x14ac:dyDescent="0.3"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38"/>
    </row>
    <row r="959" spans="2:25" ht="15.75" customHeight="1" x14ac:dyDescent="0.3"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38"/>
    </row>
    <row r="960" spans="2:25" ht="15.75" customHeight="1" x14ac:dyDescent="0.3"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38"/>
    </row>
    <row r="961" spans="2:25" ht="15.75" customHeight="1" x14ac:dyDescent="0.3"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38"/>
    </row>
    <row r="962" spans="2:25" ht="15.75" customHeight="1" x14ac:dyDescent="0.3"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38"/>
    </row>
    <row r="963" spans="2:25" ht="15.75" customHeight="1" x14ac:dyDescent="0.3"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38"/>
    </row>
    <row r="964" spans="2:25" ht="15.75" customHeight="1" x14ac:dyDescent="0.3"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38"/>
    </row>
    <row r="965" spans="2:25" ht="15.75" customHeight="1" x14ac:dyDescent="0.3"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38"/>
    </row>
    <row r="966" spans="2:25" ht="15.75" customHeight="1" x14ac:dyDescent="0.3"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38"/>
    </row>
    <row r="967" spans="2:25" ht="15.75" customHeight="1" x14ac:dyDescent="0.3"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38"/>
    </row>
    <row r="968" spans="2:25" ht="15.75" customHeight="1" x14ac:dyDescent="0.3"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38"/>
    </row>
    <row r="969" spans="2:25" ht="15.75" customHeight="1" x14ac:dyDescent="0.3"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38"/>
    </row>
    <row r="970" spans="2:25" ht="15.75" customHeight="1" x14ac:dyDescent="0.3"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38"/>
    </row>
    <row r="971" spans="2:25" ht="15.75" customHeight="1" x14ac:dyDescent="0.3"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38"/>
    </row>
    <row r="972" spans="2:25" ht="15.75" customHeight="1" x14ac:dyDescent="0.3"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38"/>
    </row>
    <row r="973" spans="2:25" ht="15.75" customHeight="1" x14ac:dyDescent="0.3"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38"/>
    </row>
    <row r="974" spans="2:25" ht="15.75" customHeight="1" x14ac:dyDescent="0.3"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38"/>
    </row>
    <row r="975" spans="2:25" ht="15.75" customHeight="1" x14ac:dyDescent="0.3"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38"/>
    </row>
    <row r="976" spans="2:25" ht="15.75" customHeight="1" x14ac:dyDescent="0.3"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38"/>
    </row>
    <row r="977" spans="2:25" ht="15.75" customHeight="1" x14ac:dyDescent="0.3"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38"/>
    </row>
    <row r="978" spans="2:25" ht="15.75" customHeight="1" x14ac:dyDescent="0.3"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38"/>
    </row>
    <row r="979" spans="2:25" ht="15.75" customHeight="1" x14ac:dyDescent="0.3"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38"/>
    </row>
    <row r="980" spans="2:25" ht="15.75" customHeight="1" x14ac:dyDescent="0.3"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38"/>
    </row>
    <row r="981" spans="2:25" ht="15.75" customHeight="1" x14ac:dyDescent="0.3"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38"/>
    </row>
    <row r="982" spans="2:25" ht="15.75" customHeight="1" x14ac:dyDescent="0.3"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38"/>
    </row>
    <row r="983" spans="2:25" ht="15.75" customHeight="1" x14ac:dyDescent="0.3"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38"/>
    </row>
    <row r="984" spans="2:25" ht="15.75" customHeight="1" x14ac:dyDescent="0.3"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38"/>
    </row>
    <row r="985" spans="2:25" ht="15.75" customHeight="1" x14ac:dyDescent="0.3"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38"/>
    </row>
    <row r="986" spans="2:25" ht="15.75" customHeight="1" x14ac:dyDescent="0.3"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38"/>
    </row>
    <row r="987" spans="2:25" ht="15.75" customHeight="1" x14ac:dyDescent="0.3"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38"/>
    </row>
    <row r="988" spans="2:25" ht="15.75" customHeight="1" x14ac:dyDescent="0.3"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38"/>
    </row>
    <row r="989" spans="2:25" ht="15.75" customHeight="1" x14ac:dyDescent="0.3"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38"/>
    </row>
    <row r="990" spans="2:25" ht="15.75" customHeight="1" x14ac:dyDescent="0.3"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38"/>
    </row>
    <row r="991" spans="2:25" ht="15.75" customHeight="1" x14ac:dyDescent="0.3"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38"/>
    </row>
    <row r="992" spans="2:25" ht="15.75" customHeight="1" x14ac:dyDescent="0.3"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38"/>
    </row>
    <row r="993" spans="2:25" ht="15.75" customHeight="1" x14ac:dyDescent="0.3"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38"/>
    </row>
    <row r="994" spans="2:25" ht="15.75" customHeight="1" x14ac:dyDescent="0.3"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38"/>
    </row>
    <row r="995" spans="2:25" ht="15.75" customHeight="1" x14ac:dyDescent="0.3"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38"/>
    </row>
    <row r="996" spans="2:25" ht="15.75" customHeight="1" x14ac:dyDescent="0.3"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38"/>
    </row>
    <row r="997" spans="2:25" ht="15.75" customHeight="1" x14ac:dyDescent="0.3"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38"/>
    </row>
    <row r="998" spans="2:25" ht="15.75" customHeight="1" x14ac:dyDescent="0.3"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38"/>
    </row>
    <row r="999" spans="2:25" ht="15.75" customHeight="1" x14ac:dyDescent="0.3"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38"/>
    </row>
  </sheetData>
  <mergeCells count="7">
    <mergeCell ref="C401:D401"/>
    <mergeCell ref="C2:N2"/>
    <mergeCell ref="C3:N3"/>
    <mergeCell ref="C311:D311"/>
    <mergeCell ref="C355:N355"/>
    <mergeCell ref="C399:N399"/>
    <mergeCell ref="C400:D40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E66F9-2B30-4483-B48A-8B71CF79FCC4}">
  <dimension ref="B1:L34"/>
  <sheetViews>
    <sheetView tabSelected="1" workbookViewId="0">
      <selection activeCell="O18" sqref="O18"/>
    </sheetView>
  </sheetViews>
  <sheetFormatPr baseColWidth="10" defaultRowHeight="14.4" x14ac:dyDescent="0.3"/>
  <cols>
    <col min="1" max="1" width="3.77734375" customWidth="1"/>
    <col min="2" max="2" width="15.44140625" customWidth="1"/>
    <col min="3" max="3" width="7.33203125" hidden="1" customWidth="1"/>
    <col min="6" max="6" width="18.88671875" customWidth="1"/>
    <col min="7" max="7" width="25.6640625" bestFit="1" customWidth="1"/>
    <col min="8" max="8" width="11.88671875" bestFit="1" customWidth="1"/>
    <col min="9" max="9" width="12.77734375" bestFit="1" customWidth="1"/>
    <col min="10" max="10" width="15.77734375" customWidth="1"/>
  </cols>
  <sheetData>
    <row r="1" spans="2:12" x14ac:dyDescent="0.3">
      <c r="B1" s="212" t="s">
        <v>825</v>
      </c>
      <c r="C1" s="212"/>
      <c r="D1" s="212"/>
    </row>
    <row r="2" spans="2:12" x14ac:dyDescent="0.3">
      <c r="B2" s="212"/>
      <c r="C2" s="212"/>
      <c r="D2" s="212"/>
    </row>
    <row r="3" spans="2:12" x14ac:dyDescent="0.3">
      <c r="B3" s="144"/>
      <c r="C3" s="144"/>
      <c r="D3" s="144"/>
    </row>
    <row r="4" spans="2:12" x14ac:dyDescent="0.3">
      <c r="B4" s="134" t="s">
        <v>844</v>
      </c>
      <c r="C4" s="2"/>
    </row>
    <row r="5" spans="2:12" x14ac:dyDescent="0.3">
      <c r="B5" s="78" t="s">
        <v>539</v>
      </c>
      <c r="C5" s="79" t="s">
        <v>540</v>
      </c>
      <c r="D5" s="79" t="s">
        <v>812</v>
      </c>
      <c r="F5" s="138" t="s">
        <v>818</v>
      </c>
      <c r="G5" s="138" t="s">
        <v>819</v>
      </c>
      <c r="H5" s="138" t="s">
        <v>821</v>
      </c>
      <c r="I5" s="138" t="s">
        <v>822</v>
      </c>
      <c r="J5" s="138" t="s">
        <v>823</v>
      </c>
    </row>
    <row r="6" spans="2:12" x14ac:dyDescent="0.3">
      <c r="B6" s="132">
        <f>226*19*12</f>
        <v>51528</v>
      </c>
      <c r="C6" s="132">
        <v>4000</v>
      </c>
      <c r="D6" s="130"/>
      <c r="F6" s="216"/>
      <c r="G6" t="str">
        <f>+B14</f>
        <v>Telón 60"</v>
      </c>
      <c r="H6" s="137" t="str">
        <f>IFERROR(VLOOKUP($F$6,'COMUNAS - HOME DELIVERY 2026(2)'!$E$6:$L$353,5,FALSE),"Por Definir")</f>
        <v>Por Definir</v>
      </c>
      <c r="I6" s="142" t="str">
        <f>IFERROR(H6*1.19,"Por Definir")</f>
        <v>Por Definir</v>
      </c>
      <c r="J6" s="142" t="str">
        <f>IFERROR(CEILING(I6,1000+1000)-10,"Por Definir")</f>
        <v>Por Definir</v>
      </c>
      <c r="K6" s="217" t="s">
        <v>824</v>
      </c>
      <c r="L6" s="217"/>
    </row>
    <row r="7" spans="2:12" x14ac:dyDescent="0.3">
      <c r="B7" s="133">
        <f>B6/C6</f>
        <v>12.882</v>
      </c>
      <c r="C7" s="131" t="s">
        <v>813</v>
      </c>
      <c r="D7" s="130">
        <v>9</v>
      </c>
      <c r="F7" s="214"/>
      <c r="G7" t="str">
        <f>+B9</f>
        <v>Telón 100"</v>
      </c>
      <c r="H7" s="137" t="str">
        <f>IFERROR(VLOOKUP($F$6,'COMUNAS - HOME DELIVERY 2026(2)'!$E$6:$L$353,6,FALSE),"Por Definir")</f>
        <v>Por Definir</v>
      </c>
      <c r="I7" s="142" t="str">
        <f t="shared" ref="I7:I8" si="0">IFERROR(H7*1.19,"Por Definir")</f>
        <v>Por Definir</v>
      </c>
      <c r="J7" s="142" t="str">
        <f t="shared" ref="J7:J8" si="1">IFERROR(CEILING(I7,1000+1000)-10,"Por Definir")</f>
        <v>Por Definir</v>
      </c>
    </row>
    <row r="8" spans="2:12" ht="14.4" customHeight="1" x14ac:dyDescent="0.3">
      <c r="B8" s="2"/>
      <c r="C8" s="2"/>
      <c r="F8" s="214"/>
      <c r="G8" t="str">
        <f>+B4</f>
        <v>Telón 100" + Trípode / Eléctrico</v>
      </c>
      <c r="H8" s="137" t="str">
        <f>IFERROR(VLOOKUP($F$6,'COMUNAS - HOME DELIVERY 2026(2)'!$E$6:$L$353,7,FALSE),"Por Definir")</f>
        <v>Por Definir</v>
      </c>
      <c r="I8" s="142" t="str">
        <f t="shared" si="0"/>
        <v>Por Definir</v>
      </c>
      <c r="J8" s="142" t="str">
        <f t="shared" si="1"/>
        <v>Por Definir</v>
      </c>
    </row>
    <row r="9" spans="2:12" ht="14.4" customHeight="1" x14ac:dyDescent="0.3">
      <c r="B9" s="135" t="s">
        <v>817</v>
      </c>
      <c r="C9" s="2"/>
      <c r="F9" s="215" t="s">
        <v>826</v>
      </c>
    </row>
    <row r="10" spans="2:12" ht="14.4" customHeight="1" x14ac:dyDescent="0.3">
      <c r="B10" s="78" t="s">
        <v>539</v>
      </c>
      <c r="C10" s="79" t="s">
        <v>540</v>
      </c>
      <c r="D10" s="79" t="s">
        <v>812</v>
      </c>
      <c r="F10" s="215"/>
      <c r="I10" s="168"/>
    </row>
    <row r="11" spans="2:12" ht="14.4" customHeight="1" x14ac:dyDescent="0.3">
      <c r="B11" s="131">
        <f>226*13*11</f>
        <v>32318</v>
      </c>
      <c r="C11" s="132">
        <v>4000</v>
      </c>
      <c r="D11" s="130"/>
      <c r="F11" s="215"/>
    </row>
    <row r="12" spans="2:12" ht="14.4" customHeight="1" x14ac:dyDescent="0.3">
      <c r="B12" s="133">
        <f>B11/C11</f>
        <v>8.0794999999999995</v>
      </c>
      <c r="C12" s="148" t="s">
        <v>814</v>
      </c>
      <c r="D12" s="149">
        <v>8</v>
      </c>
      <c r="F12" s="215"/>
    </row>
    <row r="13" spans="2:12" ht="15.6" x14ac:dyDescent="0.3">
      <c r="F13" s="143"/>
    </row>
    <row r="14" spans="2:12" x14ac:dyDescent="0.3">
      <c r="B14" s="135" t="s">
        <v>816</v>
      </c>
      <c r="C14" s="2"/>
    </row>
    <row r="15" spans="2:12" x14ac:dyDescent="0.3">
      <c r="B15" s="78" t="s">
        <v>539</v>
      </c>
      <c r="C15" s="79" t="s">
        <v>540</v>
      </c>
      <c r="D15" s="79" t="s">
        <v>812</v>
      </c>
    </row>
    <row r="16" spans="2:12" x14ac:dyDescent="0.3">
      <c r="B16" s="131">
        <f>143*13*11</f>
        <v>20449</v>
      </c>
      <c r="C16" s="132">
        <v>4000</v>
      </c>
      <c r="D16" s="130"/>
    </row>
    <row r="17" spans="2:12" x14ac:dyDescent="0.3">
      <c r="B17" s="150">
        <f>B16/C16</f>
        <v>5.1122500000000004</v>
      </c>
      <c r="C17" s="151" t="s">
        <v>815</v>
      </c>
      <c r="D17" s="149">
        <v>5</v>
      </c>
    </row>
    <row r="19" spans="2:12" x14ac:dyDescent="0.3">
      <c r="B19" s="147"/>
      <c r="C19" s="147"/>
      <c r="D19" s="147"/>
      <c r="E19" s="147"/>
      <c r="F19" s="147"/>
      <c r="G19" s="147"/>
      <c r="H19" s="147"/>
      <c r="I19" s="147"/>
      <c r="J19" s="147"/>
      <c r="K19" s="147"/>
      <c r="L19" s="147"/>
    </row>
    <row r="21" spans="2:12" x14ac:dyDescent="0.3">
      <c r="B21" s="135" t="s">
        <v>827</v>
      </c>
      <c r="C21" s="2"/>
    </row>
    <row r="22" spans="2:12" x14ac:dyDescent="0.3">
      <c r="B22" s="78" t="s">
        <v>539</v>
      </c>
      <c r="C22" s="79" t="s">
        <v>540</v>
      </c>
      <c r="D22" s="79" t="s">
        <v>812</v>
      </c>
      <c r="F22" s="138" t="s">
        <v>818</v>
      </c>
      <c r="G22" s="138" t="s">
        <v>819</v>
      </c>
      <c r="H22" s="138" t="s">
        <v>821</v>
      </c>
      <c r="I22" s="138" t="s">
        <v>822</v>
      </c>
      <c r="J22" s="138" t="s">
        <v>823</v>
      </c>
    </row>
    <row r="23" spans="2:12" x14ac:dyDescent="0.3">
      <c r="B23" s="131">
        <f>110.1*20.5*55</f>
        <v>124137.74999999999</v>
      </c>
      <c r="C23" s="132">
        <v>4000</v>
      </c>
      <c r="D23" s="130"/>
      <c r="F23" s="213"/>
      <c r="G23" t="str">
        <f>+B21</f>
        <v>Chimenea 40"</v>
      </c>
      <c r="H23" s="137" t="str">
        <f>IFERROR(VLOOKUP($F$23,'COMUNAS - HOME DELIVERY 2026(2)'!$E$6:$N$353,8,FALSE)+((B24-20)*VLOOKUP(F23,'COMUNAS - HOME DELIVERY 2026(2)'!$E$6:$N$353,9,FALSE)),"Por Definir")</f>
        <v>Por Definir</v>
      </c>
      <c r="I23" s="142" t="str">
        <f>IFERROR(H23*1.19,"Por Definir")</f>
        <v>Por Definir</v>
      </c>
      <c r="J23" s="142" t="str">
        <f>IFERROR(CEILING(I23,1000+1000)-10,"Por Definir")</f>
        <v>Por Definir</v>
      </c>
    </row>
    <row r="24" spans="2:12" x14ac:dyDescent="0.3">
      <c r="B24" s="133">
        <f>B23/C23</f>
        <v>31.034437499999996</v>
      </c>
      <c r="C24" s="131" t="s">
        <v>813</v>
      </c>
      <c r="D24" s="130">
        <v>19.5</v>
      </c>
      <c r="F24" s="214"/>
      <c r="G24" t="str">
        <f>+B26</f>
        <v>Chimenea 50"</v>
      </c>
      <c r="H24" s="137" t="str">
        <f>IFERROR(VLOOKUP($F$23,'COMUNAS - HOME DELIVERY 2026(2)'!$E$6:$N$353,8,FALSE)+((B29-20)*VLOOKUP($F$23,'COMUNAS - HOME DELIVERY 2026(2)'!$E$6:$N$353,9,FALSE)),"Por Definir")</f>
        <v>Por Definir</v>
      </c>
      <c r="I24" s="142" t="str">
        <f t="shared" ref="I24:I25" si="2">IFERROR(H24*1.19,"Por Definir")</f>
        <v>Por Definir</v>
      </c>
      <c r="J24" s="142" t="str">
        <f t="shared" ref="J24:J25" si="3">IFERROR(CEILING(I24,1000+1000)-10,"Por Definir")</f>
        <v>Por Definir</v>
      </c>
    </row>
    <row r="25" spans="2:12" x14ac:dyDescent="0.3">
      <c r="F25" s="214"/>
      <c r="G25" t="str">
        <f>+B31</f>
        <v>Chimenea 60"</v>
      </c>
      <c r="H25" s="137" t="str">
        <f>IFERROR(VLOOKUP($F$23,'COMUNAS - HOME DELIVERY 2026(2)'!$E$6:$N$353,8,FALSE)+((B34-20)*VLOOKUP($F$23,'COMUNAS - HOME DELIVERY 2026(2)'!$E$6:$N$353,9,FALSE)),"Por Definir")</f>
        <v>Por Definir</v>
      </c>
      <c r="I25" s="142" t="str">
        <f t="shared" si="2"/>
        <v>Por Definir</v>
      </c>
      <c r="J25" s="142" t="str">
        <f t="shared" si="3"/>
        <v>Por Definir</v>
      </c>
    </row>
    <row r="26" spans="2:12" x14ac:dyDescent="0.3">
      <c r="B26" s="135" t="s">
        <v>828</v>
      </c>
      <c r="C26" s="2"/>
      <c r="F26" s="215" t="s">
        <v>826</v>
      </c>
    </row>
    <row r="27" spans="2:12" x14ac:dyDescent="0.3">
      <c r="B27" s="78" t="s">
        <v>539</v>
      </c>
      <c r="C27" s="79" t="s">
        <v>540</v>
      </c>
      <c r="D27" s="79" t="s">
        <v>812</v>
      </c>
      <c r="F27" s="215"/>
    </row>
    <row r="28" spans="2:12" x14ac:dyDescent="0.3">
      <c r="B28" s="145">
        <f>136.8*20.5*55</f>
        <v>154242</v>
      </c>
      <c r="C28" s="132">
        <v>4000</v>
      </c>
      <c r="D28" s="130"/>
      <c r="F28" s="215"/>
    </row>
    <row r="29" spans="2:12" x14ac:dyDescent="0.3">
      <c r="B29" s="133">
        <f>B28/C28</f>
        <v>38.560499999999998</v>
      </c>
      <c r="C29" s="131" t="s">
        <v>813</v>
      </c>
      <c r="D29" s="130">
        <v>24.5</v>
      </c>
      <c r="F29" s="215"/>
    </row>
    <row r="31" spans="2:12" x14ac:dyDescent="0.3">
      <c r="B31" s="135" t="s">
        <v>829</v>
      </c>
      <c r="C31" s="2"/>
    </row>
    <row r="32" spans="2:12" x14ac:dyDescent="0.3">
      <c r="B32" s="78" t="s">
        <v>539</v>
      </c>
      <c r="C32" s="79" t="s">
        <v>540</v>
      </c>
      <c r="D32" s="79" t="s">
        <v>812</v>
      </c>
    </row>
    <row r="33" spans="2:4" x14ac:dyDescent="0.3">
      <c r="B33" s="131">
        <f>160.9*22.2*55</f>
        <v>196458.9</v>
      </c>
      <c r="C33" s="132">
        <v>4000</v>
      </c>
      <c r="D33" s="130"/>
    </row>
    <row r="34" spans="2:4" x14ac:dyDescent="0.3">
      <c r="B34" s="133">
        <f>B33/C33</f>
        <v>49.114725</v>
      </c>
      <c r="C34" s="131" t="s">
        <v>813</v>
      </c>
      <c r="D34" s="130">
        <v>30.5</v>
      </c>
    </row>
  </sheetData>
  <mergeCells count="6">
    <mergeCell ref="B1:D2"/>
    <mergeCell ref="F23:F25"/>
    <mergeCell ref="F26:F29"/>
    <mergeCell ref="F6:F8"/>
    <mergeCell ref="K6:L6"/>
    <mergeCell ref="F9:F1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CC9AD-CB42-4550-B7D5-76F887C0AC61}">
  <dimension ref="A1:U22"/>
  <sheetViews>
    <sheetView zoomScale="110" zoomScaleNormal="110" workbookViewId="0">
      <selection activeCell="O9" sqref="O9"/>
    </sheetView>
  </sheetViews>
  <sheetFormatPr baseColWidth="10" defaultRowHeight="14.4" x14ac:dyDescent="0.3"/>
  <cols>
    <col min="1" max="1" width="2.33203125" customWidth="1"/>
    <col min="2" max="2" width="15.77734375" customWidth="1"/>
    <col min="3" max="5" width="18.33203125" customWidth="1"/>
    <col min="6" max="14" width="11.5546875" hidden="1" customWidth="1"/>
  </cols>
  <sheetData>
    <row r="1" spans="1:21" ht="12.6" customHeight="1" x14ac:dyDescent="0.3"/>
    <row r="2" spans="1:21" x14ac:dyDescent="0.3">
      <c r="B2" s="157" t="s">
        <v>834</v>
      </c>
      <c r="C2" s="160"/>
      <c r="D2" s="158" t="s">
        <v>843</v>
      </c>
    </row>
    <row r="3" spans="1:21" x14ac:dyDescent="0.3">
      <c r="B3" s="157" t="s">
        <v>835</v>
      </c>
      <c r="C3" s="160"/>
      <c r="D3" s="158" t="s">
        <v>842</v>
      </c>
    </row>
    <row r="4" spans="1:21" x14ac:dyDescent="0.3">
      <c r="B4" s="157" t="s">
        <v>836</v>
      </c>
      <c r="C4" s="160"/>
      <c r="D4" s="158" t="s">
        <v>842</v>
      </c>
      <c r="F4" s="130">
        <v>0</v>
      </c>
      <c r="G4" s="130">
        <v>0.5</v>
      </c>
      <c r="H4" s="130">
        <v>1.5</v>
      </c>
      <c r="I4" s="130">
        <v>3</v>
      </c>
      <c r="J4" s="130">
        <v>6</v>
      </c>
      <c r="K4" s="130">
        <v>10</v>
      </c>
      <c r="L4" s="130">
        <v>16</v>
      </c>
      <c r="M4" s="130">
        <v>20</v>
      </c>
      <c r="N4" s="130">
        <v>50</v>
      </c>
    </row>
    <row r="5" spans="1:21" x14ac:dyDescent="0.3">
      <c r="B5" s="157" t="s">
        <v>837</v>
      </c>
      <c r="C5" s="160"/>
      <c r="D5" s="158" t="s">
        <v>842</v>
      </c>
      <c r="F5" s="130">
        <v>2</v>
      </c>
      <c r="G5" s="130">
        <v>3</v>
      </c>
      <c r="H5" s="130">
        <v>4</v>
      </c>
      <c r="I5" s="130">
        <v>5</v>
      </c>
      <c r="J5" s="130">
        <v>6</v>
      </c>
      <c r="K5" s="130">
        <v>7</v>
      </c>
      <c r="L5" s="130">
        <v>8</v>
      </c>
      <c r="M5" s="130">
        <v>9</v>
      </c>
      <c r="N5" s="130">
        <v>10</v>
      </c>
    </row>
    <row r="7" spans="1:21" x14ac:dyDescent="0.3">
      <c r="B7" s="164" t="s">
        <v>818</v>
      </c>
      <c r="C7" s="167"/>
      <c r="D7" s="166" t="s">
        <v>841</v>
      </c>
    </row>
    <row r="9" spans="1:21" x14ac:dyDescent="0.3">
      <c r="B9" s="159" t="s">
        <v>833</v>
      </c>
      <c r="C9" s="160">
        <f>+C2</f>
        <v>0</v>
      </c>
      <c r="U9" s="165"/>
    </row>
    <row r="10" spans="1:21" x14ac:dyDescent="0.3">
      <c r="B10" s="159" t="s">
        <v>838</v>
      </c>
      <c r="C10" s="163">
        <f>(C3*C4*C5)/4000</f>
        <v>0</v>
      </c>
      <c r="L10" s="161"/>
    </row>
    <row r="12" spans="1:21" x14ac:dyDescent="0.3">
      <c r="A12" s="218" t="s">
        <v>832</v>
      </c>
      <c r="B12" s="218"/>
    </row>
    <row r="13" spans="1:21" x14ac:dyDescent="0.3">
      <c r="B13" s="138" t="s">
        <v>818</v>
      </c>
      <c r="C13" s="138" t="s">
        <v>821</v>
      </c>
      <c r="D13" s="138" t="s">
        <v>822</v>
      </c>
      <c r="E13" s="138" t="s">
        <v>823</v>
      </c>
    </row>
    <row r="14" spans="1:21" x14ac:dyDescent="0.3">
      <c r="B14" s="221">
        <f>+C7</f>
        <v>0</v>
      </c>
      <c r="C14" s="222" t="str">
        <f>IFERROR(IF(C9&lt;20,VLOOKUP($B$14,'COMUNAS - HOME DELIVERY 2026(2)'!$E$6:$N$353,LOOKUP(C9,F4:N4,F5:N5),FALSE),
VLOOKUP($B$14,'COMUNAS - HOME DELIVERY 2026(2)'!$E$6:$N$353,LOOKUP(C9,F4:N4,F5:N5)-1,FALSE)+(C9-20)*VLOOKUP(B14,'COMUNAS - HOME DELIVERY 2026(2)'!$E$6:$N$353,9,FALSE)),"Por definir")</f>
        <v>Por definir</v>
      </c>
      <c r="D14" s="224" t="str">
        <f>IFERROR((C14*1.19)/(1-10%),"Por Definir")</f>
        <v>Por Definir</v>
      </c>
      <c r="E14" s="224" t="str">
        <f>IFERROR(CEILING(D14,1000+1000)-10,"Por Definir")</f>
        <v>Por Definir</v>
      </c>
      <c r="K14" s="161"/>
      <c r="O14" s="219" t="s">
        <v>840</v>
      </c>
    </row>
    <row r="15" spans="1:21" x14ac:dyDescent="0.3">
      <c r="B15" s="214"/>
      <c r="C15" s="223"/>
      <c r="D15" s="225"/>
      <c r="E15" s="225"/>
      <c r="K15" s="161"/>
      <c r="O15" s="220"/>
    </row>
    <row r="16" spans="1:21" x14ac:dyDescent="0.3">
      <c r="B16" s="214"/>
      <c r="C16" s="223"/>
      <c r="D16" s="225"/>
      <c r="E16" s="225"/>
      <c r="O16" s="220"/>
    </row>
    <row r="18" spans="1:15" x14ac:dyDescent="0.3">
      <c r="A18" s="218" t="s">
        <v>839</v>
      </c>
      <c r="B18" s="218"/>
    </row>
    <row r="19" spans="1:15" x14ac:dyDescent="0.3">
      <c r="B19" s="138" t="s">
        <v>818</v>
      </c>
      <c r="C19" s="138" t="s">
        <v>821</v>
      </c>
      <c r="D19" s="138" t="s">
        <v>822</v>
      </c>
      <c r="E19" s="138" t="s">
        <v>823</v>
      </c>
    </row>
    <row r="20" spans="1:15" x14ac:dyDescent="0.3">
      <c r="B20" s="221">
        <f>+B14</f>
        <v>0</v>
      </c>
      <c r="C20" s="222" t="str">
        <f>IFERROR(IF(C10&lt;20,VLOOKUP($B$20,'COMUNAS - HOME DELIVERY 2026(2)'!$E$6:$N$353,LOOKUP(C10,F4:N4,F5:N5),FALSE),
VLOOKUP($B$20,'COMUNAS - HOME DELIVERY 2026(2)'!$E$6:$N$353,LOOKUP(C10,F4:N4,F5:N5)-1,FALSE)+(C10-20)*VLOOKUP(B20,'COMUNAS - HOME DELIVERY 2026(2)'!$E$6:$N$353,9,FALSE)),"Por definir")</f>
        <v>Por definir</v>
      </c>
      <c r="D20" s="224" t="str">
        <f>IFERROR((C20*1.19)/(1-10%),"Por Definir")</f>
        <v>Por Definir</v>
      </c>
      <c r="E20" s="224" t="str">
        <f>IFERROR(CEILING(D20,1000+1000)-10,"Por Definir")</f>
        <v>Por Definir</v>
      </c>
      <c r="O20" s="219" t="s">
        <v>840</v>
      </c>
    </row>
    <row r="21" spans="1:15" x14ac:dyDescent="0.3">
      <c r="B21" s="214"/>
      <c r="C21" s="223"/>
      <c r="D21" s="225"/>
      <c r="E21" s="225"/>
      <c r="O21" s="220"/>
    </row>
    <row r="22" spans="1:15" x14ac:dyDescent="0.3">
      <c r="B22" s="214"/>
      <c r="C22" s="223"/>
      <c r="D22" s="225"/>
      <c r="E22" s="225"/>
      <c r="O22" s="220"/>
    </row>
  </sheetData>
  <mergeCells count="12">
    <mergeCell ref="A12:B12"/>
    <mergeCell ref="O14:O16"/>
    <mergeCell ref="O20:O22"/>
    <mergeCell ref="B20:B22"/>
    <mergeCell ref="C14:C16"/>
    <mergeCell ref="C20:C22"/>
    <mergeCell ref="D20:D22"/>
    <mergeCell ref="E20:E22"/>
    <mergeCell ref="B14:B16"/>
    <mergeCell ref="D14:D16"/>
    <mergeCell ref="E14:E16"/>
    <mergeCell ref="A18:B18"/>
  </mergeCells>
  <conditionalFormatting sqref="C9">
    <cfRule type="expression" dxfId="3" priority="4">
      <formula>$C$9&gt;$C$10</formula>
    </cfRule>
  </conditionalFormatting>
  <conditionalFormatting sqref="C10">
    <cfRule type="expression" dxfId="2" priority="3">
      <formula>$C$10&gt;$C$9</formula>
    </cfRule>
  </conditionalFormatting>
  <conditionalFormatting sqref="O14">
    <cfRule type="expression" dxfId="1" priority="2">
      <formula>$C$9&gt;$C$10</formula>
    </cfRule>
  </conditionalFormatting>
  <conditionalFormatting sqref="O20">
    <cfRule type="expression" dxfId="0" priority="1">
      <formula>$C$10&gt;$C$9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T1000"/>
  <sheetViews>
    <sheetView showGridLines="0" workbookViewId="0"/>
  </sheetViews>
  <sheetFormatPr baseColWidth="10" defaultColWidth="12.6640625" defaultRowHeight="15" customHeight="1" x14ac:dyDescent="0.3"/>
  <cols>
    <col min="1" max="1" width="10.6640625" customWidth="1"/>
    <col min="2" max="2" width="27.77734375" customWidth="1"/>
    <col min="3" max="3" width="23.77734375" customWidth="1"/>
    <col min="4" max="20" width="11.33203125" customWidth="1"/>
    <col min="21" max="26" width="10.6640625" customWidth="1"/>
  </cols>
  <sheetData>
    <row r="1" spans="2:20" ht="14.4" x14ac:dyDescent="0.3">
      <c r="B1" s="1" t="s">
        <v>763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2:20" ht="14.4" x14ac:dyDescent="0.3">
      <c r="B2" s="228"/>
      <c r="C2" s="170"/>
      <c r="D2" s="170"/>
      <c r="E2" s="170"/>
      <c r="F2" s="170"/>
      <c r="G2" s="170"/>
      <c r="H2" s="170"/>
      <c r="I2" s="170"/>
      <c r="J2" s="170"/>
      <c r="K2" s="171"/>
      <c r="L2" s="2"/>
      <c r="M2" s="2"/>
      <c r="N2" s="2"/>
      <c r="O2" s="2"/>
      <c r="P2" s="2"/>
      <c r="Q2" s="2"/>
      <c r="R2" s="2"/>
      <c r="S2" s="2"/>
      <c r="T2" s="2"/>
    </row>
    <row r="3" spans="2:20" ht="23.4" x14ac:dyDescent="0.3">
      <c r="B3" s="229" t="s">
        <v>1</v>
      </c>
      <c r="C3" s="194"/>
      <c r="D3" s="194"/>
      <c r="E3" s="194"/>
      <c r="F3" s="194"/>
      <c r="G3" s="194"/>
      <c r="H3" s="194"/>
      <c r="I3" s="194"/>
      <c r="J3" s="194"/>
      <c r="K3" s="195"/>
      <c r="L3" s="2"/>
      <c r="M3" s="2"/>
      <c r="N3" s="2"/>
      <c r="O3" s="2"/>
      <c r="P3" s="2"/>
      <c r="Q3" s="2"/>
      <c r="R3" s="2"/>
      <c r="S3" s="2"/>
      <c r="T3" s="2"/>
    </row>
    <row r="4" spans="2:20" ht="14.4" x14ac:dyDescent="0.3">
      <c r="B4" s="230"/>
      <c r="C4" s="197"/>
      <c r="D4" s="197"/>
      <c r="E4" s="197"/>
      <c r="F4" s="197"/>
      <c r="G4" s="197"/>
      <c r="H4" s="197"/>
      <c r="I4" s="197"/>
      <c r="J4" s="197"/>
      <c r="K4" s="198"/>
      <c r="L4" s="2"/>
      <c r="M4" s="2"/>
      <c r="N4" s="2"/>
      <c r="O4" s="2"/>
      <c r="P4" s="2"/>
      <c r="Q4" s="2"/>
      <c r="R4" s="2"/>
      <c r="S4" s="2"/>
      <c r="T4" s="2"/>
    </row>
    <row r="5" spans="2:20" ht="14.4" x14ac:dyDescent="0.3">
      <c r="B5" s="4" t="s">
        <v>2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2:20" ht="34.799999999999997" x14ac:dyDescent="0.3">
      <c r="B6" s="199" t="s">
        <v>764</v>
      </c>
      <c r="C6" s="200"/>
      <c r="D6" s="200"/>
      <c r="E6" s="200"/>
      <c r="F6" s="200"/>
      <c r="G6" s="200"/>
      <c r="H6" s="200"/>
      <c r="I6" s="200"/>
      <c r="J6" s="200"/>
      <c r="K6" s="201"/>
      <c r="L6" s="2"/>
      <c r="M6" s="2"/>
      <c r="N6" s="2"/>
      <c r="O6" s="2"/>
      <c r="P6" s="2"/>
      <c r="Q6" s="2"/>
      <c r="R6" s="2"/>
      <c r="S6" s="2"/>
      <c r="T6" s="2"/>
    </row>
    <row r="7" spans="2:20" ht="28.8" x14ac:dyDescent="0.3">
      <c r="B7" s="202" t="s">
        <v>765</v>
      </c>
      <c r="C7" s="194"/>
      <c r="D7" s="194"/>
      <c r="E7" s="194"/>
      <c r="F7" s="194"/>
      <c r="G7" s="194"/>
      <c r="H7" s="194"/>
      <c r="I7" s="194"/>
      <c r="J7" s="194"/>
      <c r="K7" s="195"/>
      <c r="L7" s="2"/>
      <c r="M7" s="2"/>
      <c r="N7" s="2"/>
      <c r="O7" s="2"/>
      <c r="P7" s="2"/>
      <c r="Q7" s="2"/>
      <c r="R7" s="2"/>
      <c r="S7" s="2"/>
      <c r="T7" s="2"/>
    </row>
    <row r="8" spans="2:20" ht="24" x14ac:dyDescent="0.7">
      <c r="B8" s="95" t="s">
        <v>6</v>
      </c>
      <c r="C8" s="226" t="s">
        <v>7</v>
      </c>
      <c r="D8" s="173"/>
      <c r="E8" s="173"/>
      <c r="F8" s="173"/>
      <c r="G8" s="173"/>
      <c r="H8" s="173"/>
      <c r="I8" s="173"/>
      <c r="J8" s="173"/>
      <c r="K8" s="174"/>
      <c r="L8" s="2"/>
      <c r="M8" s="5" t="s">
        <v>5</v>
      </c>
      <c r="N8" s="2"/>
      <c r="O8" s="2"/>
      <c r="P8" s="2"/>
      <c r="Q8" s="2"/>
      <c r="R8" s="2"/>
      <c r="S8" s="2"/>
      <c r="T8" s="2"/>
    </row>
    <row r="9" spans="2:20" ht="20.399999999999999" x14ac:dyDescent="0.7">
      <c r="B9" s="8" t="s">
        <v>9</v>
      </c>
      <c r="C9" s="9" t="s">
        <v>10</v>
      </c>
      <c r="D9" s="9" t="s">
        <v>11</v>
      </c>
      <c r="E9" s="9" t="s">
        <v>12</v>
      </c>
      <c r="F9" s="10" t="s">
        <v>13</v>
      </c>
      <c r="G9" s="10" t="s">
        <v>14</v>
      </c>
      <c r="H9" s="11" t="s">
        <v>15</v>
      </c>
      <c r="I9" s="11" t="s">
        <v>16</v>
      </c>
      <c r="J9" s="9" t="s">
        <v>17</v>
      </c>
      <c r="K9" s="12" t="s">
        <v>18</v>
      </c>
      <c r="L9" s="2"/>
      <c r="M9" s="7" t="s">
        <v>8</v>
      </c>
      <c r="N9" s="2"/>
      <c r="O9" s="2"/>
      <c r="P9" s="2"/>
      <c r="Q9" s="2"/>
      <c r="R9" s="2"/>
      <c r="S9" s="2"/>
      <c r="T9" s="2"/>
    </row>
    <row r="10" spans="2:20" ht="20.399999999999999" x14ac:dyDescent="0.7">
      <c r="B10" s="14" t="s">
        <v>20</v>
      </c>
      <c r="C10" s="15">
        <v>4181</v>
      </c>
      <c r="D10" s="15">
        <v>4658</v>
      </c>
      <c r="E10" s="15">
        <v>5357</v>
      </c>
      <c r="F10" s="15">
        <v>5816</v>
      </c>
      <c r="G10" s="15">
        <v>7544</v>
      </c>
      <c r="H10" s="15">
        <v>9631</v>
      </c>
      <c r="I10" s="15">
        <v>11243</v>
      </c>
      <c r="J10" s="16">
        <v>681</v>
      </c>
      <c r="K10" s="17">
        <v>559</v>
      </c>
      <c r="L10" s="2"/>
      <c r="M10" s="7" t="s">
        <v>21</v>
      </c>
      <c r="N10" s="2"/>
      <c r="O10" s="2"/>
      <c r="P10" s="2"/>
      <c r="Q10" s="2"/>
      <c r="R10" s="2"/>
      <c r="S10" s="2"/>
      <c r="T10" s="2"/>
    </row>
    <row r="11" spans="2:20" ht="20.399999999999999" x14ac:dyDescent="0.7">
      <c r="B11" s="14" t="s">
        <v>22</v>
      </c>
      <c r="C11" s="15">
        <v>3886</v>
      </c>
      <c r="D11" s="15">
        <v>4333</v>
      </c>
      <c r="E11" s="15">
        <v>4989</v>
      </c>
      <c r="F11" s="15">
        <v>5419</v>
      </c>
      <c r="G11" s="15">
        <v>6926</v>
      </c>
      <c r="H11" s="15">
        <v>8856</v>
      </c>
      <c r="I11" s="15">
        <v>10350</v>
      </c>
      <c r="J11" s="16">
        <v>671</v>
      </c>
      <c r="K11" s="17">
        <v>549</v>
      </c>
      <c r="L11" s="2"/>
      <c r="M11" s="7" t="s">
        <v>23</v>
      </c>
      <c r="N11" s="2"/>
      <c r="O11" s="2"/>
      <c r="P11" s="2"/>
      <c r="Q11" s="2"/>
      <c r="R11" s="2"/>
      <c r="S11" s="2"/>
      <c r="T11" s="2"/>
    </row>
    <row r="12" spans="2:20" ht="20.399999999999999" x14ac:dyDescent="0.7">
      <c r="B12" s="14" t="s">
        <v>24</v>
      </c>
      <c r="C12" s="15">
        <v>3886</v>
      </c>
      <c r="D12" s="15">
        <v>4333</v>
      </c>
      <c r="E12" s="15">
        <v>4989</v>
      </c>
      <c r="F12" s="15">
        <v>5419</v>
      </c>
      <c r="G12" s="15">
        <v>6926</v>
      </c>
      <c r="H12" s="15">
        <v>8856</v>
      </c>
      <c r="I12" s="15">
        <v>10350</v>
      </c>
      <c r="J12" s="16">
        <v>671</v>
      </c>
      <c r="K12" s="17">
        <v>549</v>
      </c>
      <c r="L12" s="2"/>
      <c r="M12" s="7" t="s">
        <v>766</v>
      </c>
      <c r="N12" s="2"/>
      <c r="O12" s="2"/>
      <c r="P12" s="2"/>
      <c r="Q12" s="2"/>
      <c r="R12" s="2"/>
      <c r="S12" s="2"/>
      <c r="T12" s="2"/>
    </row>
    <row r="13" spans="2:20" ht="20.399999999999999" x14ac:dyDescent="0.7">
      <c r="B13" s="14" t="s">
        <v>26</v>
      </c>
      <c r="C13" s="15">
        <v>3325</v>
      </c>
      <c r="D13" s="15">
        <v>3551</v>
      </c>
      <c r="E13" s="15">
        <v>4294</v>
      </c>
      <c r="F13" s="15">
        <v>4820</v>
      </c>
      <c r="G13" s="15">
        <v>6227</v>
      </c>
      <c r="H13" s="15">
        <v>8026</v>
      </c>
      <c r="I13" s="15">
        <v>9286</v>
      </c>
      <c r="J13" s="16">
        <v>563</v>
      </c>
      <c r="K13" s="17">
        <v>473</v>
      </c>
      <c r="L13" s="2"/>
      <c r="M13" s="96" t="s">
        <v>2</v>
      </c>
      <c r="N13" s="2"/>
      <c r="O13" s="2"/>
      <c r="P13" s="2"/>
      <c r="Q13" s="2"/>
      <c r="R13" s="2"/>
      <c r="S13" s="2"/>
      <c r="T13" s="2"/>
    </row>
    <row r="14" spans="2:20" ht="20.399999999999999" x14ac:dyDescent="0.7">
      <c r="B14" s="14" t="s">
        <v>28</v>
      </c>
      <c r="C14" s="15">
        <v>3287</v>
      </c>
      <c r="D14" s="15">
        <v>3510</v>
      </c>
      <c r="E14" s="15">
        <v>4245</v>
      </c>
      <c r="F14" s="15">
        <v>4767</v>
      </c>
      <c r="G14" s="15">
        <v>6160</v>
      </c>
      <c r="H14" s="15">
        <v>7942</v>
      </c>
      <c r="I14" s="15">
        <v>9193</v>
      </c>
      <c r="J14" s="16">
        <v>561</v>
      </c>
      <c r="K14" s="17">
        <v>471</v>
      </c>
      <c r="L14" s="2"/>
      <c r="M14" s="96" t="s">
        <v>2</v>
      </c>
      <c r="N14" s="2"/>
      <c r="O14" s="2"/>
      <c r="P14" s="2"/>
      <c r="Q14" s="2"/>
      <c r="R14" s="2"/>
      <c r="S14" s="2"/>
      <c r="T14" s="2"/>
    </row>
    <row r="15" spans="2:20" ht="20.399999999999999" x14ac:dyDescent="0.7">
      <c r="B15" s="18" t="s">
        <v>30</v>
      </c>
      <c r="C15" s="19">
        <v>2411</v>
      </c>
      <c r="D15" s="19">
        <v>2603</v>
      </c>
      <c r="E15" s="19">
        <v>3089</v>
      </c>
      <c r="F15" s="19">
        <v>3557</v>
      </c>
      <c r="G15" s="19">
        <v>4659</v>
      </c>
      <c r="H15" s="19">
        <v>5650</v>
      </c>
      <c r="I15" s="19">
        <v>6556</v>
      </c>
      <c r="J15" s="20">
        <v>405</v>
      </c>
      <c r="K15" s="21">
        <v>336</v>
      </c>
      <c r="L15" s="2"/>
      <c r="M15" s="97" t="s">
        <v>767</v>
      </c>
      <c r="N15" s="98"/>
      <c r="O15" s="98"/>
      <c r="P15" s="98"/>
      <c r="Q15" s="98"/>
      <c r="R15" s="98"/>
      <c r="S15" s="99"/>
      <c r="T15" s="99"/>
    </row>
    <row r="16" spans="2:20" ht="20.399999999999999" x14ac:dyDescent="0.7">
      <c r="B16" s="100" t="s">
        <v>32</v>
      </c>
      <c r="C16" s="101">
        <v>2400</v>
      </c>
      <c r="D16" s="101">
        <v>2604</v>
      </c>
      <c r="E16" s="101">
        <v>2991</v>
      </c>
      <c r="F16" s="101">
        <v>3454</v>
      </c>
      <c r="G16" s="101">
        <v>4251</v>
      </c>
      <c r="H16" s="101">
        <v>5163</v>
      </c>
      <c r="I16" s="101">
        <v>6082</v>
      </c>
      <c r="J16" s="102">
        <v>381</v>
      </c>
      <c r="K16" s="103">
        <v>305</v>
      </c>
      <c r="L16" s="2"/>
      <c r="M16" s="7" t="s">
        <v>768</v>
      </c>
      <c r="N16" s="2"/>
      <c r="O16" s="2"/>
      <c r="P16" s="2"/>
      <c r="Q16" s="2"/>
      <c r="R16" s="2"/>
      <c r="S16" s="2"/>
      <c r="T16" s="2"/>
    </row>
    <row r="17" spans="2:20" ht="20.399999999999999" x14ac:dyDescent="0.7">
      <c r="B17" s="14" t="s">
        <v>34</v>
      </c>
      <c r="C17" s="15">
        <v>3233</v>
      </c>
      <c r="D17" s="15">
        <v>3478</v>
      </c>
      <c r="E17" s="15">
        <v>4097</v>
      </c>
      <c r="F17" s="15">
        <v>4696</v>
      </c>
      <c r="G17" s="15">
        <v>6104</v>
      </c>
      <c r="H17" s="15">
        <v>7368</v>
      </c>
      <c r="I17" s="15">
        <v>8523</v>
      </c>
      <c r="J17" s="16">
        <v>516</v>
      </c>
      <c r="K17" s="17">
        <v>428</v>
      </c>
      <c r="L17" s="2"/>
      <c r="M17" s="13" t="s">
        <v>769</v>
      </c>
      <c r="N17" s="2"/>
      <c r="O17" s="2"/>
      <c r="P17" s="2"/>
      <c r="Q17" s="2"/>
      <c r="R17" s="2"/>
      <c r="S17" s="2"/>
      <c r="T17" s="2"/>
    </row>
    <row r="18" spans="2:20" ht="20.399999999999999" x14ac:dyDescent="0.7">
      <c r="B18" s="14" t="s">
        <v>36</v>
      </c>
      <c r="C18" s="15">
        <v>3287</v>
      </c>
      <c r="D18" s="15">
        <v>3510</v>
      </c>
      <c r="E18" s="15">
        <v>4245</v>
      </c>
      <c r="F18" s="15">
        <v>4767</v>
      </c>
      <c r="G18" s="15">
        <v>6160</v>
      </c>
      <c r="H18" s="15">
        <v>7942</v>
      </c>
      <c r="I18" s="15">
        <v>9193</v>
      </c>
      <c r="J18" s="16">
        <v>561</v>
      </c>
      <c r="K18" s="17">
        <v>471</v>
      </c>
      <c r="L18" s="2"/>
      <c r="M18" s="7" t="s">
        <v>770</v>
      </c>
      <c r="N18" s="2"/>
      <c r="O18" s="2"/>
      <c r="P18" s="2"/>
      <c r="Q18" s="2"/>
      <c r="R18" s="2"/>
      <c r="S18" s="2"/>
      <c r="T18" s="2"/>
    </row>
    <row r="19" spans="2:20" ht="20.399999999999999" x14ac:dyDescent="0.3">
      <c r="B19" s="14" t="s">
        <v>38</v>
      </c>
      <c r="C19" s="15">
        <v>3443</v>
      </c>
      <c r="D19" s="15">
        <v>3723</v>
      </c>
      <c r="E19" s="15">
        <v>4457</v>
      </c>
      <c r="F19" s="15">
        <v>4933</v>
      </c>
      <c r="G19" s="15">
        <v>6464</v>
      </c>
      <c r="H19" s="15">
        <v>8400</v>
      </c>
      <c r="I19" s="15">
        <v>9684</v>
      </c>
      <c r="J19" s="16">
        <v>571</v>
      </c>
      <c r="K19" s="17">
        <v>486</v>
      </c>
      <c r="L19" s="2"/>
      <c r="M19" s="2"/>
      <c r="N19" s="2"/>
      <c r="O19" s="2"/>
      <c r="P19" s="2"/>
      <c r="Q19" s="2"/>
      <c r="R19" s="2"/>
      <c r="S19" s="2"/>
      <c r="T19" s="2"/>
    </row>
    <row r="20" spans="2:20" ht="20.399999999999999" x14ac:dyDescent="0.7">
      <c r="B20" s="14" t="s">
        <v>40</v>
      </c>
      <c r="C20" s="15">
        <v>3443</v>
      </c>
      <c r="D20" s="15">
        <v>3723</v>
      </c>
      <c r="E20" s="15">
        <v>4457</v>
      </c>
      <c r="F20" s="15">
        <v>4933</v>
      </c>
      <c r="G20" s="15">
        <v>6464</v>
      </c>
      <c r="H20" s="15">
        <v>8400</v>
      </c>
      <c r="I20" s="15">
        <v>9684</v>
      </c>
      <c r="J20" s="16">
        <v>571</v>
      </c>
      <c r="K20" s="17">
        <v>486</v>
      </c>
      <c r="L20" s="2"/>
      <c r="M20" s="5" t="s">
        <v>771</v>
      </c>
      <c r="N20" s="2"/>
      <c r="O20" s="2"/>
      <c r="P20" s="2"/>
      <c r="Q20" s="2"/>
      <c r="R20" s="2"/>
      <c r="S20" s="2"/>
      <c r="T20" s="2"/>
    </row>
    <row r="21" spans="2:20" ht="15.75" customHeight="1" x14ac:dyDescent="0.3">
      <c r="B21" s="14" t="s">
        <v>41</v>
      </c>
      <c r="C21" s="15">
        <v>3931</v>
      </c>
      <c r="D21" s="15">
        <v>4236</v>
      </c>
      <c r="E21" s="15">
        <v>4882</v>
      </c>
      <c r="F21" s="15">
        <v>5356</v>
      </c>
      <c r="G21" s="15">
        <v>6801</v>
      </c>
      <c r="H21" s="15">
        <v>8617</v>
      </c>
      <c r="I21" s="15">
        <v>10142</v>
      </c>
      <c r="J21" s="16">
        <v>690</v>
      </c>
      <c r="K21" s="17">
        <v>556</v>
      </c>
      <c r="L21" s="2"/>
      <c r="M21" s="227" t="s">
        <v>772</v>
      </c>
      <c r="N21" s="179"/>
      <c r="O21" s="179"/>
      <c r="P21" s="179"/>
      <c r="Q21" s="179"/>
      <c r="R21" s="179"/>
      <c r="S21" s="179"/>
      <c r="T21" s="179"/>
    </row>
    <row r="22" spans="2:20" ht="15.75" customHeight="1" x14ac:dyDescent="0.3">
      <c r="B22" s="14" t="s">
        <v>43</v>
      </c>
      <c r="C22" s="15">
        <v>3931</v>
      </c>
      <c r="D22" s="15">
        <v>4236</v>
      </c>
      <c r="E22" s="15">
        <v>4882</v>
      </c>
      <c r="F22" s="15">
        <v>5356</v>
      </c>
      <c r="G22" s="15">
        <v>6801</v>
      </c>
      <c r="H22" s="15">
        <v>8617</v>
      </c>
      <c r="I22" s="15">
        <v>10142</v>
      </c>
      <c r="J22" s="16">
        <v>690</v>
      </c>
      <c r="K22" s="17">
        <v>556</v>
      </c>
      <c r="L22" s="2"/>
      <c r="M22" s="179"/>
      <c r="N22" s="179"/>
      <c r="O22" s="179"/>
      <c r="P22" s="179"/>
      <c r="Q22" s="179"/>
      <c r="R22" s="179"/>
      <c r="S22" s="179"/>
      <c r="T22" s="179"/>
    </row>
    <row r="23" spans="2:20" ht="15.75" customHeight="1" x14ac:dyDescent="0.3">
      <c r="B23" s="14" t="s">
        <v>44</v>
      </c>
      <c r="C23" s="15">
        <v>4090</v>
      </c>
      <c r="D23" s="15">
        <v>4407</v>
      </c>
      <c r="E23" s="15">
        <v>5077</v>
      </c>
      <c r="F23" s="15">
        <v>5565</v>
      </c>
      <c r="G23" s="15">
        <v>7047</v>
      </c>
      <c r="H23" s="15">
        <v>8901</v>
      </c>
      <c r="I23" s="15">
        <v>10441</v>
      </c>
      <c r="J23" s="16">
        <v>693</v>
      </c>
      <c r="K23" s="17">
        <v>564</v>
      </c>
      <c r="L23" s="2"/>
      <c r="M23" s="179"/>
      <c r="N23" s="179"/>
      <c r="O23" s="179"/>
      <c r="P23" s="179"/>
      <c r="Q23" s="179"/>
      <c r="R23" s="179"/>
      <c r="S23" s="179"/>
      <c r="T23" s="179"/>
    </row>
    <row r="24" spans="2:20" ht="15.75" customHeight="1" x14ac:dyDescent="0.3">
      <c r="B24" s="14" t="s">
        <v>47</v>
      </c>
      <c r="C24" s="15">
        <v>4263</v>
      </c>
      <c r="D24" s="15">
        <v>4508</v>
      </c>
      <c r="E24" s="15">
        <v>5202</v>
      </c>
      <c r="F24" s="15">
        <v>5663</v>
      </c>
      <c r="G24" s="15">
        <v>7302</v>
      </c>
      <c r="H24" s="15">
        <v>9198</v>
      </c>
      <c r="I24" s="15">
        <v>10747</v>
      </c>
      <c r="J24" s="16">
        <v>696</v>
      </c>
      <c r="K24" s="17">
        <v>568</v>
      </c>
      <c r="L24" s="2"/>
      <c r="M24" s="2"/>
      <c r="N24" s="2"/>
      <c r="O24" s="2"/>
      <c r="P24" s="2"/>
      <c r="Q24" s="2"/>
      <c r="R24" s="2"/>
      <c r="S24" s="2"/>
      <c r="T24" s="2"/>
    </row>
    <row r="25" spans="2:20" ht="15.75" customHeight="1" x14ac:dyDescent="0.3">
      <c r="B25" s="14" t="s">
        <v>48</v>
      </c>
      <c r="C25" s="15">
        <v>4631</v>
      </c>
      <c r="D25" s="15">
        <v>4982</v>
      </c>
      <c r="E25" s="15">
        <v>5706</v>
      </c>
      <c r="F25" s="15">
        <v>6051</v>
      </c>
      <c r="G25" s="15">
        <v>8019</v>
      </c>
      <c r="H25" s="15">
        <v>9745</v>
      </c>
      <c r="I25" s="15">
        <v>11326</v>
      </c>
      <c r="J25" s="16">
        <v>705</v>
      </c>
      <c r="K25" s="17">
        <v>588</v>
      </c>
      <c r="L25" s="2"/>
      <c r="M25" s="2"/>
      <c r="N25" s="2"/>
      <c r="O25" s="2"/>
      <c r="P25" s="2"/>
      <c r="Q25" s="2"/>
      <c r="R25" s="2"/>
      <c r="S25" s="2"/>
      <c r="T25" s="2"/>
    </row>
    <row r="26" spans="2:20" ht="15.75" customHeight="1" x14ac:dyDescent="0.3">
      <c r="B26" s="14" t="s">
        <v>49</v>
      </c>
      <c r="C26" s="15">
        <v>4631</v>
      </c>
      <c r="D26" s="15">
        <v>4982</v>
      </c>
      <c r="E26" s="15">
        <v>5706</v>
      </c>
      <c r="F26" s="15">
        <v>6051</v>
      </c>
      <c r="G26" s="15">
        <v>8019</v>
      </c>
      <c r="H26" s="15">
        <v>9745</v>
      </c>
      <c r="I26" s="15">
        <v>11326</v>
      </c>
      <c r="J26" s="16">
        <v>705</v>
      </c>
      <c r="K26" s="17">
        <v>588</v>
      </c>
      <c r="L26" s="2"/>
      <c r="M26" s="2"/>
      <c r="N26" s="2"/>
      <c r="O26" s="2"/>
      <c r="P26" s="2"/>
      <c r="Q26" s="2"/>
      <c r="R26" s="2"/>
      <c r="S26" s="2"/>
      <c r="T26" s="2"/>
    </row>
    <row r="27" spans="2:20" ht="15.75" customHeight="1" x14ac:dyDescent="0.3">
      <c r="B27" s="14" t="s">
        <v>50</v>
      </c>
      <c r="C27" s="15">
        <v>4514</v>
      </c>
      <c r="D27" s="15">
        <v>4855</v>
      </c>
      <c r="E27" s="15">
        <v>5564</v>
      </c>
      <c r="F27" s="15">
        <v>5965</v>
      </c>
      <c r="G27" s="15">
        <v>7797</v>
      </c>
      <c r="H27" s="15">
        <v>9536</v>
      </c>
      <c r="I27" s="15">
        <v>11118</v>
      </c>
      <c r="J27" s="16">
        <v>700</v>
      </c>
      <c r="K27" s="17">
        <v>575</v>
      </c>
      <c r="L27" s="2"/>
      <c r="M27" s="2"/>
      <c r="N27" s="2"/>
      <c r="O27" s="2"/>
      <c r="P27" s="2"/>
      <c r="Q27" s="2"/>
      <c r="R27" s="2"/>
      <c r="S27" s="2"/>
      <c r="T27" s="2"/>
    </row>
    <row r="28" spans="2:20" ht="15.75" customHeight="1" x14ac:dyDescent="0.3">
      <c r="B28" s="18" t="s">
        <v>53</v>
      </c>
      <c r="C28" s="19">
        <v>5110</v>
      </c>
      <c r="D28" s="19">
        <v>5769</v>
      </c>
      <c r="E28" s="19">
        <v>6653</v>
      </c>
      <c r="F28" s="19">
        <v>7634</v>
      </c>
      <c r="G28" s="19">
        <v>9190</v>
      </c>
      <c r="H28" s="19">
        <v>11699</v>
      </c>
      <c r="I28" s="19">
        <v>14521</v>
      </c>
      <c r="J28" s="20">
        <v>727</v>
      </c>
      <c r="K28" s="21">
        <v>594</v>
      </c>
      <c r="L28" s="2"/>
      <c r="M28" s="2"/>
      <c r="N28" s="2"/>
      <c r="O28" s="2"/>
      <c r="P28" s="2"/>
      <c r="Q28" s="2"/>
      <c r="R28" s="2"/>
      <c r="S28" s="2"/>
      <c r="T28" s="2"/>
    </row>
    <row r="29" spans="2:20" ht="15.75" customHeight="1" x14ac:dyDescent="0.3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2:20" ht="15.75" customHeight="1" x14ac:dyDescent="0.3">
      <c r="B30" s="169" t="s">
        <v>54</v>
      </c>
      <c r="C30" s="170"/>
      <c r="D30" s="170"/>
      <c r="E30" s="170"/>
      <c r="F30" s="170"/>
      <c r="G30" s="170"/>
      <c r="H30" s="170"/>
      <c r="I30" s="170"/>
      <c r="J30" s="170"/>
      <c r="K30" s="171"/>
      <c r="L30" s="2"/>
      <c r="M30" s="2"/>
      <c r="N30" s="2"/>
      <c r="O30" s="2"/>
      <c r="P30" s="2"/>
      <c r="Q30" s="2"/>
      <c r="R30" s="2"/>
      <c r="S30" s="2"/>
      <c r="T30" s="2"/>
    </row>
    <row r="31" spans="2:20" ht="15.75" customHeight="1" x14ac:dyDescent="0.3">
      <c r="B31" s="8" t="s">
        <v>9</v>
      </c>
      <c r="C31" s="9" t="s">
        <v>10</v>
      </c>
      <c r="D31" s="9" t="s">
        <v>11</v>
      </c>
      <c r="E31" s="9" t="s">
        <v>12</v>
      </c>
      <c r="F31" s="10" t="s">
        <v>13</v>
      </c>
      <c r="G31" s="10" t="s">
        <v>14</v>
      </c>
      <c r="H31" s="11" t="s">
        <v>15</v>
      </c>
      <c r="I31" s="11" t="s">
        <v>16</v>
      </c>
      <c r="J31" s="9" t="s">
        <v>17</v>
      </c>
      <c r="K31" s="12" t="s">
        <v>18</v>
      </c>
      <c r="L31" s="2"/>
      <c r="M31" s="2"/>
      <c r="N31" s="2"/>
      <c r="O31" s="2"/>
      <c r="P31" s="2"/>
      <c r="Q31" s="2"/>
      <c r="R31" s="2"/>
      <c r="S31" s="2"/>
      <c r="T31" s="2"/>
    </row>
    <row r="32" spans="2:20" ht="15.75" customHeight="1" x14ac:dyDescent="0.3">
      <c r="B32" s="14" t="s">
        <v>57</v>
      </c>
      <c r="C32" s="15">
        <v>5765</v>
      </c>
      <c r="D32" s="15">
        <v>6630</v>
      </c>
      <c r="E32" s="15">
        <v>7345</v>
      </c>
      <c r="F32" s="15">
        <v>8998</v>
      </c>
      <c r="G32" s="15">
        <v>11940</v>
      </c>
      <c r="H32" s="15">
        <v>18195</v>
      </c>
      <c r="I32" s="15">
        <v>21699</v>
      </c>
      <c r="J32" s="16">
        <v>856</v>
      </c>
      <c r="K32" s="17">
        <v>703</v>
      </c>
      <c r="L32" s="2"/>
      <c r="M32" s="2"/>
      <c r="N32" s="2"/>
      <c r="O32" s="2"/>
      <c r="P32" s="2"/>
      <c r="Q32" s="2"/>
      <c r="R32" s="2"/>
      <c r="S32" s="2"/>
      <c r="T32" s="2"/>
    </row>
    <row r="33" spans="2:20" ht="15.75" customHeight="1" x14ac:dyDescent="0.3">
      <c r="B33" s="14" t="s">
        <v>58</v>
      </c>
      <c r="C33" s="15">
        <v>5473</v>
      </c>
      <c r="D33" s="15">
        <v>6159</v>
      </c>
      <c r="E33" s="15">
        <v>6828</v>
      </c>
      <c r="F33" s="15">
        <v>8374</v>
      </c>
      <c r="G33" s="15">
        <v>11123</v>
      </c>
      <c r="H33" s="15">
        <v>16132</v>
      </c>
      <c r="I33" s="15">
        <v>19362</v>
      </c>
      <c r="J33" s="16">
        <v>840</v>
      </c>
      <c r="K33" s="17">
        <v>671</v>
      </c>
      <c r="L33" s="2"/>
      <c r="M33" s="2"/>
      <c r="N33" s="2"/>
      <c r="O33" s="2"/>
      <c r="P33" s="2"/>
      <c r="Q33" s="2"/>
      <c r="R33" s="2"/>
      <c r="S33" s="2"/>
      <c r="T33" s="2"/>
    </row>
    <row r="34" spans="2:20" ht="15.75" customHeight="1" x14ac:dyDescent="0.3">
      <c r="B34" s="14" t="s">
        <v>59</v>
      </c>
      <c r="C34" s="15">
        <v>5473</v>
      </c>
      <c r="D34" s="15">
        <v>6159</v>
      </c>
      <c r="E34" s="15">
        <v>6828</v>
      </c>
      <c r="F34" s="15">
        <v>8374</v>
      </c>
      <c r="G34" s="15">
        <v>11123</v>
      </c>
      <c r="H34" s="15">
        <v>16132</v>
      </c>
      <c r="I34" s="15">
        <v>19362</v>
      </c>
      <c r="J34" s="16">
        <v>840</v>
      </c>
      <c r="K34" s="17">
        <v>671</v>
      </c>
      <c r="L34" s="2"/>
      <c r="M34" s="2"/>
      <c r="N34" s="2"/>
      <c r="O34" s="2"/>
      <c r="P34" s="2"/>
      <c r="Q34" s="2"/>
      <c r="R34" s="2"/>
      <c r="S34" s="2"/>
      <c r="T34" s="2"/>
    </row>
    <row r="35" spans="2:20" ht="15.75" customHeight="1" x14ac:dyDescent="0.3">
      <c r="B35" s="18" t="s">
        <v>60</v>
      </c>
      <c r="C35" s="19">
        <v>5231</v>
      </c>
      <c r="D35" s="19">
        <v>5761</v>
      </c>
      <c r="E35" s="19">
        <v>6389</v>
      </c>
      <c r="F35" s="19">
        <v>7843</v>
      </c>
      <c r="G35" s="19">
        <v>9904</v>
      </c>
      <c r="H35" s="19">
        <v>14391</v>
      </c>
      <c r="I35" s="19">
        <v>17376</v>
      </c>
      <c r="J35" s="20">
        <v>804</v>
      </c>
      <c r="K35" s="21">
        <v>636</v>
      </c>
      <c r="L35" s="2"/>
      <c r="M35" s="2"/>
      <c r="N35" s="2"/>
      <c r="O35" s="2"/>
      <c r="P35" s="2"/>
      <c r="Q35" s="2"/>
      <c r="R35" s="2"/>
      <c r="S35" s="2"/>
      <c r="T35" s="2"/>
    </row>
    <row r="36" spans="2:20" ht="15.75" customHeight="1" x14ac:dyDescent="0.3">
      <c r="B36" s="14" t="s">
        <v>62</v>
      </c>
      <c r="C36" s="15">
        <v>6214</v>
      </c>
      <c r="D36" s="15">
        <v>7157</v>
      </c>
      <c r="E36" s="15">
        <v>8179</v>
      </c>
      <c r="F36" s="15">
        <v>9930</v>
      </c>
      <c r="G36" s="15">
        <v>12488</v>
      </c>
      <c r="H36" s="15">
        <v>20118</v>
      </c>
      <c r="I36" s="15">
        <v>23992</v>
      </c>
      <c r="J36" s="16">
        <v>918</v>
      </c>
      <c r="K36" s="17">
        <v>683</v>
      </c>
      <c r="L36" s="2"/>
      <c r="M36" s="2"/>
      <c r="N36" s="2"/>
      <c r="O36" s="2"/>
      <c r="P36" s="2"/>
      <c r="Q36" s="2"/>
      <c r="R36" s="2"/>
      <c r="S36" s="2"/>
      <c r="T36" s="2"/>
    </row>
    <row r="37" spans="2:20" ht="15.75" customHeight="1" x14ac:dyDescent="0.3">
      <c r="B37" s="18" t="s">
        <v>64</v>
      </c>
      <c r="C37" s="19">
        <v>6214</v>
      </c>
      <c r="D37" s="19">
        <v>7157</v>
      </c>
      <c r="E37" s="19">
        <v>8179</v>
      </c>
      <c r="F37" s="19">
        <v>9930</v>
      </c>
      <c r="G37" s="19">
        <v>12488</v>
      </c>
      <c r="H37" s="19">
        <v>20118</v>
      </c>
      <c r="I37" s="19">
        <v>23992</v>
      </c>
      <c r="J37" s="20">
        <v>918</v>
      </c>
      <c r="K37" s="21">
        <v>683</v>
      </c>
      <c r="L37" s="2"/>
      <c r="M37" s="2"/>
      <c r="N37" s="2"/>
      <c r="O37" s="2"/>
      <c r="P37" s="2"/>
      <c r="Q37" s="2"/>
      <c r="R37" s="2"/>
      <c r="S37" s="2"/>
      <c r="T37" s="2"/>
    </row>
    <row r="38" spans="2:20" ht="15.75" customHeight="1" x14ac:dyDescent="0.3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2:20" ht="15.75" customHeight="1" x14ac:dyDescent="0.3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2:20" ht="15.75" customHeight="1" x14ac:dyDescent="0.3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spans="2:20" ht="15.75" customHeight="1" x14ac:dyDescent="0.3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spans="2:20" ht="15.75" customHeight="1" x14ac:dyDescent="0.3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spans="2:20" ht="15.75" customHeight="1" x14ac:dyDescent="0.3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spans="2:20" ht="15.75" customHeight="1" x14ac:dyDescent="0.3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spans="2:20" ht="15.75" customHeight="1" x14ac:dyDescent="0.3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spans="2:20" ht="15.75" customHeight="1" x14ac:dyDescent="0.3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spans="2:20" ht="15.75" customHeight="1" x14ac:dyDescent="0.3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spans="2:20" ht="15.75" customHeight="1" x14ac:dyDescent="0.3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spans="2:20" ht="15.75" customHeight="1" x14ac:dyDescent="0.3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spans="2:20" ht="15.75" customHeight="1" x14ac:dyDescent="0.3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spans="2:20" ht="15.75" customHeight="1" x14ac:dyDescent="0.3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spans="2:20" ht="15.75" customHeight="1" x14ac:dyDescent="0.3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spans="2:20" ht="15.75" customHeight="1" x14ac:dyDescent="0.3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spans="2:20" ht="15.75" customHeight="1" x14ac:dyDescent="0.3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spans="2:20" ht="15.75" customHeight="1" x14ac:dyDescent="0.3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spans="2:20" ht="15.75" customHeight="1" x14ac:dyDescent="0.3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spans="2:20" ht="15.75" customHeight="1" x14ac:dyDescent="0.3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spans="2:20" ht="15.75" customHeight="1" x14ac:dyDescent="0.3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spans="2:20" ht="15.75" customHeight="1" x14ac:dyDescent="0.3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spans="2:20" ht="15.75" customHeight="1" x14ac:dyDescent="0.3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spans="2:20" ht="15.75" customHeight="1" x14ac:dyDescent="0.3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spans="2:20" ht="15.75" customHeight="1" x14ac:dyDescent="0.3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spans="2:20" ht="15.75" customHeight="1" x14ac:dyDescent="0.3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spans="2:20" ht="15.75" customHeight="1" x14ac:dyDescent="0.3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spans="2:20" ht="15.75" customHeight="1" x14ac:dyDescent="0.3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spans="2:20" ht="15.75" customHeight="1" x14ac:dyDescent="0.3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spans="2:20" ht="15.75" customHeight="1" x14ac:dyDescent="0.3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spans="2:20" ht="15.75" customHeight="1" x14ac:dyDescent="0.3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spans="2:20" ht="15.75" customHeight="1" x14ac:dyDescent="0.3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spans="2:20" ht="15.75" customHeight="1" x14ac:dyDescent="0.3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spans="2:20" ht="15.75" customHeight="1" x14ac:dyDescent="0.3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spans="2:20" ht="15.75" customHeight="1" x14ac:dyDescent="0.3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spans="2:20" ht="15.75" customHeight="1" x14ac:dyDescent="0.3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spans="2:20" ht="15.75" customHeight="1" x14ac:dyDescent="0.3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spans="2:20" ht="15.75" customHeight="1" x14ac:dyDescent="0.3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spans="2:20" ht="15.75" customHeight="1" x14ac:dyDescent="0.3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spans="2:20" ht="15.75" customHeight="1" x14ac:dyDescent="0.3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spans="2:20" ht="15.75" customHeight="1" x14ac:dyDescent="0.3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spans="2:20" ht="15.75" customHeight="1" x14ac:dyDescent="0.3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spans="2:20" ht="15.75" customHeight="1" x14ac:dyDescent="0.3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spans="2:20" ht="15.75" customHeight="1" x14ac:dyDescent="0.3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spans="2:20" ht="15.75" customHeight="1" x14ac:dyDescent="0.3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spans="2:20" ht="15.75" customHeight="1" x14ac:dyDescent="0.3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spans="2:20" ht="15.75" customHeight="1" x14ac:dyDescent="0.3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spans="2:20" ht="15.75" customHeight="1" x14ac:dyDescent="0.3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spans="2:20" ht="15.75" customHeight="1" x14ac:dyDescent="0.3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spans="2:20" ht="15.75" customHeight="1" x14ac:dyDescent="0.3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spans="2:20" ht="15.75" customHeight="1" x14ac:dyDescent="0.3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spans="2:20" ht="15.75" customHeight="1" x14ac:dyDescent="0.3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spans="2:20" ht="15.75" customHeight="1" x14ac:dyDescent="0.3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spans="2:20" ht="15.75" customHeight="1" x14ac:dyDescent="0.3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spans="2:20" ht="15.75" customHeight="1" x14ac:dyDescent="0.3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spans="2:20" ht="15.75" customHeight="1" x14ac:dyDescent="0.3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2:20" ht="15.75" customHeight="1" x14ac:dyDescent="0.3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spans="2:20" ht="15.75" customHeight="1" x14ac:dyDescent="0.3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spans="2:20" ht="15.75" customHeight="1" x14ac:dyDescent="0.3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spans="2:20" ht="15.75" customHeight="1" x14ac:dyDescent="0.3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spans="2:20" ht="15.75" customHeight="1" x14ac:dyDescent="0.3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spans="2:20" ht="15.75" customHeight="1" x14ac:dyDescent="0.3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spans="2:20" ht="15.75" customHeight="1" x14ac:dyDescent="0.3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spans="2:20" ht="15.75" customHeight="1" x14ac:dyDescent="0.3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spans="2:20" ht="15.75" customHeight="1" x14ac:dyDescent="0.3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spans="2:20" ht="15.75" customHeight="1" x14ac:dyDescent="0.3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spans="2:20" ht="15.75" customHeight="1" x14ac:dyDescent="0.3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 spans="2:20" ht="15.75" customHeight="1" x14ac:dyDescent="0.3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 spans="2:20" ht="15.75" customHeight="1" x14ac:dyDescent="0.3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 spans="2:20" ht="15.75" customHeight="1" x14ac:dyDescent="0.3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 spans="2:20" ht="15.75" customHeight="1" x14ac:dyDescent="0.3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 spans="2:20" ht="15.75" customHeight="1" x14ac:dyDescent="0.3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 spans="2:20" ht="15.75" customHeight="1" x14ac:dyDescent="0.3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 spans="2:20" ht="15.75" customHeight="1" x14ac:dyDescent="0.3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 spans="2:20" ht="15.75" customHeight="1" x14ac:dyDescent="0.3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 spans="2:20" ht="15.75" customHeight="1" x14ac:dyDescent="0.3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 spans="2:20" ht="15.75" customHeight="1" x14ac:dyDescent="0.3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 spans="2:20" ht="15.75" customHeight="1" x14ac:dyDescent="0.3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 spans="2:20" ht="15.75" customHeight="1" x14ac:dyDescent="0.3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 spans="2:20" ht="15.75" customHeight="1" x14ac:dyDescent="0.3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 spans="2:20" ht="15.75" customHeight="1" x14ac:dyDescent="0.3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 spans="2:20" ht="15.75" customHeight="1" x14ac:dyDescent="0.3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 spans="2:20" ht="15.75" customHeight="1" x14ac:dyDescent="0.3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 spans="2:20" ht="15.75" customHeight="1" x14ac:dyDescent="0.3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 spans="2:20" ht="15.75" customHeight="1" x14ac:dyDescent="0.3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 spans="2:20" ht="15.75" customHeight="1" x14ac:dyDescent="0.3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 spans="2:20" ht="15.75" customHeight="1" x14ac:dyDescent="0.3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 spans="2:20" ht="15.75" customHeight="1" x14ac:dyDescent="0.3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 spans="2:20" ht="15.75" customHeight="1" x14ac:dyDescent="0.3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 spans="2:20" ht="15.75" customHeight="1" x14ac:dyDescent="0.3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 spans="2:20" ht="15.75" customHeight="1" x14ac:dyDescent="0.3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 spans="2:20" ht="15.75" customHeight="1" x14ac:dyDescent="0.3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 spans="2:20" ht="15.75" customHeight="1" x14ac:dyDescent="0.3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 spans="2:20" ht="15.75" customHeight="1" x14ac:dyDescent="0.3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 spans="2:20" ht="15.75" customHeight="1" x14ac:dyDescent="0.3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 spans="2:20" ht="15.75" customHeight="1" x14ac:dyDescent="0.3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 spans="2:20" ht="15.75" customHeight="1" x14ac:dyDescent="0.3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 spans="2:20" ht="15.75" customHeight="1" x14ac:dyDescent="0.3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 spans="2:20" ht="15.75" customHeight="1" x14ac:dyDescent="0.3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 spans="2:20" ht="15.75" customHeight="1" x14ac:dyDescent="0.3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 spans="2:20" ht="15.75" customHeight="1" x14ac:dyDescent="0.3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 spans="2:20" ht="15.75" customHeight="1" x14ac:dyDescent="0.3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 spans="2:20" ht="15.75" customHeight="1" x14ac:dyDescent="0.3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 spans="2:20" ht="15.75" customHeight="1" x14ac:dyDescent="0.3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 spans="2:20" ht="15.75" customHeight="1" x14ac:dyDescent="0.3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 spans="2:20" ht="15.75" customHeight="1" x14ac:dyDescent="0.3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 spans="2:20" ht="15.75" customHeight="1" x14ac:dyDescent="0.3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 spans="2:20" ht="15.75" customHeight="1" x14ac:dyDescent="0.3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 spans="2:20" ht="15.75" customHeight="1" x14ac:dyDescent="0.3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 spans="2:20" ht="15.75" customHeight="1" x14ac:dyDescent="0.3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 spans="2:20" ht="15.75" customHeight="1" x14ac:dyDescent="0.3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 spans="2:20" ht="15.75" customHeight="1" x14ac:dyDescent="0.3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 spans="2:20" ht="15.75" customHeight="1" x14ac:dyDescent="0.3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 spans="2:20" ht="15.75" customHeight="1" x14ac:dyDescent="0.3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 spans="2:20" ht="15.75" customHeight="1" x14ac:dyDescent="0.3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 spans="2:20" ht="15.75" customHeight="1" x14ac:dyDescent="0.3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 spans="2:20" ht="15.75" customHeight="1" x14ac:dyDescent="0.3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 spans="2:20" ht="15.75" customHeight="1" x14ac:dyDescent="0.3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 spans="2:20" ht="15.75" customHeight="1" x14ac:dyDescent="0.3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 spans="2:20" ht="15.75" customHeight="1" x14ac:dyDescent="0.3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 spans="2:20" ht="15.75" customHeight="1" x14ac:dyDescent="0.3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 spans="2:20" ht="15.75" customHeight="1" x14ac:dyDescent="0.3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 spans="2:20" ht="15.75" customHeight="1" x14ac:dyDescent="0.3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 spans="2:20" ht="15.75" customHeight="1" x14ac:dyDescent="0.3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 spans="2:20" ht="15.75" customHeight="1" x14ac:dyDescent="0.3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 spans="2:20" ht="15.75" customHeight="1" x14ac:dyDescent="0.3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 spans="2:20" ht="15.75" customHeight="1" x14ac:dyDescent="0.3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 spans="2:20" ht="15.75" customHeight="1" x14ac:dyDescent="0.3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 spans="2:20" ht="15.75" customHeight="1" x14ac:dyDescent="0.3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 spans="2:20" ht="15.75" customHeight="1" x14ac:dyDescent="0.3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 spans="2:20" ht="15.75" customHeight="1" x14ac:dyDescent="0.3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 spans="2:20" ht="15.75" customHeight="1" x14ac:dyDescent="0.3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 spans="2:20" ht="15.75" customHeight="1" x14ac:dyDescent="0.3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 spans="2:20" ht="15.75" customHeight="1" x14ac:dyDescent="0.3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 spans="2:20" ht="15.75" customHeight="1" x14ac:dyDescent="0.3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 spans="2:20" ht="15.75" customHeight="1" x14ac:dyDescent="0.3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 spans="2:20" ht="15.75" customHeight="1" x14ac:dyDescent="0.3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 spans="2:20" ht="15.75" customHeight="1" x14ac:dyDescent="0.3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 spans="2:20" ht="15.75" customHeight="1" x14ac:dyDescent="0.3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 spans="2:20" ht="15.75" customHeight="1" x14ac:dyDescent="0.3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 spans="2:20" ht="15.75" customHeight="1" x14ac:dyDescent="0.3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 spans="2:20" ht="15.75" customHeight="1" x14ac:dyDescent="0.3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 spans="2:20" ht="15.75" customHeight="1" x14ac:dyDescent="0.3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 spans="2:20" ht="15.75" customHeight="1" x14ac:dyDescent="0.3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 spans="2:20" ht="15.75" customHeight="1" x14ac:dyDescent="0.3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 spans="2:20" ht="15.75" customHeight="1" x14ac:dyDescent="0.3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r="184" spans="2:20" ht="15.75" customHeight="1" x14ac:dyDescent="0.3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 spans="2:20" ht="15.75" customHeight="1" x14ac:dyDescent="0.3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 spans="2:20" ht="15.75" customHeight="1" x14ac:dyDescent="0.3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 spans="2:20" ht="15.75" customHeight="1" x14ac:dyDescent="0.3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r="188" spans="2:20" ht="15.75" customHeight="1" x14ac:dyDescent="0.3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</row>
    <row r="189" spans="2:20" ht="15.75" customHeight="1" x14ac:dyDescent="0.3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</row>
    <row r="190" spans="2:20" ht="15.75" customHeight="1" x14ac:dyDescent="0.3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</row>
    <row r="191" spans="2:20" ht="15.75" customHeight="1" x14ac:dyDescent="0.3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r="192" spans="2:20" ht="15.75" customHeight="1" x14ac:dyDescent="0.3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 spans="2:20" ht="15.75" customHeight="1" x14ac:dyDescent="0.3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r="194" spans="2:20" ht="15.75" customHeight="1" x14ac:dyDescent="0.3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r="195" spans="2:20" ht="15.75" customHeight="1" x14ac:dyDescent="0.3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</row>
    <row r="196" spans="2:20" ht="15.75" customHeight="1" x14ac:dyDescent="0.3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 spans="2:20" ht="15.75" customHeight="1" x14ac:dyDescent="0.3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</row>
    <row r="198" spans="2:20" ht="15.75" customHeight="1" x14ac:dyDescent="0.3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</row>
    <row r="199" spans="2:20" ht="15.75" customHeight="1" x14ac:dyDescent="0.3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</row>
    <row r="200" spans="2:20" ht="15.75" customHeight="1" x14ac:dyDescent="0.3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</row>
    <row r="201" spans="2:20" ht="15.75" customHeight="1" x14ac:dyDescent="0.3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</row>
    <row r="202" spans="2:20" ht="15.75" customHeight="1" x14ac:dyDescent="0.3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</row>
    <row r="203" spans="2:20" ht="15.75" customHeight="1" x14ac:dyDescent="0.3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</row>
    <row r="204" spans="2:20" ht="15.75" customHeight="1" x14ac:dyDescent="0.3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</row>
    <row r="205" spans="2:20" ht="15.75" customHeight="1" x14ac:dyDescent="0.3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</row>
    <row r="206" spans="2:20" ht="15.75" customHeight="1" x14ac:dyDescent="0.3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</row>
    <row r="207" spans="2:20" ht="15.75" customHeight="1" x14ac:dyDescent="0.3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</row>
    <row r="208" spans="2:20" ht="15.75" customHeight="1" x14ac:dyDescent="0.3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</row>
    <row r="209" spans="2:20" ht="15.75" customHeight="1" x14ac:dyDescent="0.3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</row>
    <row r="210" spans="2:20" ht="15.75" customHeight="1" x14ac:dyDescent="0.3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</row>
    <row r="211" spans="2:20" ht="15.75" customHeight="1" x14ac:dyDescent="0.3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</row>
    <row r="212" spans="2:20" ht="15.75" customHeight="1" x14ac:dyDescent="0.3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</row>
    <row r="213" spans="2:20" ht="15.75" customHeight="1" x14ac:dyDescent="0.3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</row>
    <row r="214" spans="2:20" ht="15.75" customHeight="1" x14ac:dyDescent="0.3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</row>
    <row r="215" spans="2:20" ht="15.75" customHeight="1" x14ac:dyDescent="0.3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</row>
    <row r="216" spans="2:20" ht="15.75" customHeight="1" x14ac:dyDescent="0.3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</row>
    <row r="217" spans="2:20" ht="15.75" customHeight="1" x14ac:dyDescent="0.3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</row>
    <row r="218" spans="2:20" ht="15.75" customHeight="1" x14ac:dyDescent="0.3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</row>
    <row r="219" spans="2:20" ht="15.75" customHeight="1" x14ac:dyDescent="0.3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</row>
    <row r="220" spans="2:20" ht="15.75" customHeight="1" x14ac:dyDescent="0.3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</row>
    <row r="221" spans="2:20" ht="15.75" customHeight="1" x14ac:dyDescent="0.3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</row>
    <row r="222" spans="2:20" ht="15.75" customHeight="1" x14ac:dyDescent="0.3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</row>
    <row r="223" spans="2:20" ht="15.75" customHeight="1" x14ac:dyDescent="0.3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</row>
    <row r="224" spans="2:20" ht="15.75" customHeight="1" x14ac:dyDescent="0.3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</row>
    <row r="225" spans="2:20" ht="15.75" customHeight="1" x14ac:dyDescent="0.3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</row>
    <row r="226" spans="2:20" ht="15.75" customHeight="1" x14ac:dyDescent="0.3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</row>
    <row r="227" spans="2:20" ht="15.75" customHeight="1" x14ac:dyDescent="0.3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</row>
    <row r="228" spans="2:20" ht="15.75" customHeight="1" x14ac:dyDescent="0.3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</row>
    <row r="229" spans="2:20" ht="15.75" customHeight="1" x14ac:dyDescent="0.3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</row>
    <row r="230" spans="2:20" ht="15.75" customHeight="1" x14ac:dyDescent="0.3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</row>
    <row r="231" spans="2:20" ht="15.75" customHeight="1" x14ac:dyDescent="0.3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</row>
    <row r="232" spans="2:20" ht="15.75" customHeight="1" x14ac:dyDescent="0.3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</row>
    <row r="233" spans="2:20" ht="15.75" customHeight="1" x14ac:dyDescent="0.3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</row>
    <row r="234" spans="2:20" ht="15.75" customHeight="1" x14ac:dyDescent="0.3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</row>
    <row r="235" spans="2:20" ht="15.75" customHeight="1" x14ac:dyDescent="0.3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</row>
    <row r="236" spans="2:20" ht="15.75" customHeight="1" x14ac:dyDescent="0.3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</row>
    <row r="237" spans="2:20" ht="15.75" customHeight="1" x14ac:dyDescent="0.3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</row>
    <row r="238" spans="2:20" ht="15.75" customHeight="1" x14ac:dyDescent="0.3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</row>
    <row r="239" spans="2:20" ht="15.75" customHeight="1" x14ac:dyDescent="0.3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</row>
    <row r="240" spans="2:20" ht="15.75" customHeight="1" x14ac:dyDescent="0.3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</row>
    <row r="241" spans="2:20" ht="15.75" customHeight="1" x14ac:dyDescent="0.3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</row>
    <row r="242" spans="2:20" ht="15.75" customHeight="1" x14ac:dyDescent="0.3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</row>
    <row r="243" spans="2:20" ht="15.75" customHeight="1" x14ac:dyDescent="0.3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</row>
    <row r="244" spans="2:20" ht="15.75" customHeight="1" x14ac:dyDescent="0.3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</row>
    <row r="245" spans="2:20" ht="15.75" customHeight="1" x14ac:dyDescent="0.3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</row>
    <row r="246" spans="2:20" ht="15.75" customHeight="1" x14ac:dyDescent="0.3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</row>
    <row r="247" spans="2:20" ht="15.75" customHeight="1" x14ac:dyDescent="0.3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</row>
    <row r="248" spans="2:20" ht="15.75" customHeight="1" x14ac:dyDescent="0.3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</row>
    <row r="249" spans="2:20" ht="15.75" customHeight="1" x14ac:dyDescent="0.3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</row>
    <row r="250" spans="2:20" ht="15.75" customHeight="1" x14ac:dyDescent="0.3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</row>
    <row r="251" spans="2:20" ht="15.75" customHeight="1" x14ac:dyDescent="0.3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</row>
    <row r="252" spans="2:20" ht="15.75" customHeight="1" x14ac:dyDescent="0.3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</row>
    <row r="253" spans="2:20" ht="15.75" customHeight="1" x14ac:dyDescent="0.3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</row>
    <row r="254" spans="2:20" ht="15.75" customHeight="1" x14ac:dyDescent="0.3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</row>
    <row r="255" spans="2:20" ht="15.75" customHeight="1" x14ac:dyDescent="0.3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</row>
    <row r="256" spans="2:20" ht="15.75" customHeight="1" x14ac:dyDescent="0.3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</row>
    <row r="257" spans="2:20" ht="15.75" customHeight="1" x14ac:dyDescent="0.3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</row>
    <row r="258" spans="2:20" ht="15.75" customHeight="1" x14ac:dyDescent="0.3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</row>
    <row r="259" spans="2:20" ht="15.75" customHeight="1" x14ac:dyDescent="0.3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</row>
    <row r="260" spans="2:20" ht="15.75" customHeight="1" x14ac:dyDescent="0.3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</row>
    <row r="261" spans="2:20" ht="15.75" customHeight="1" x14ac:dyDescent="0.3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</row>
    <row r="262" spans="2:20" ht="15.75" customHeight="1" x14ac:dyDescent="0.3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</row>
    <row r="263" spans="2:20" ht="15.75" customHeight="1" x14ac:dyDescent="0.3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</row>
    <row r="264" spans="2:20" ht="15.75" customHeight="1" x14ac:dyDescent="0.3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</row>
    <row r="265" spans="2:20" ht="15.75" customHeight="1" x14ac:dyDescent="0.3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</row>
    <row r="266" spans="2:20" ht="15.75" customHeight="1" x14ac:dyDescent="0.3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</row>
    <row r="267" spans="2:20" ht="15.75" customHeight="1" x14ac:dyDescent="0.3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</row>
    <row r="268" spans="2:20" ht="15.75" customHeight="1" x14ac:dyDescent="0.3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</row>
    <row r="269" spans="2:20" ht="15.75" customHeight="1" x14ac:dyDescent="0.3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</row>
    <row r="270" spans="2:20" ht="15.75" customHeight="1" x14ac:dyDescent="0.3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</row>
    <row r="271" spans="2:20" ht="15.75" customHeight="1" x14ac:dyDescent="0.3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</row>
    <row r="272" spans="2:20" ht="15.75" customHeight="1" x14ac:dyDescent="0.3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</row>
    <row r="273" spans="2:20" ht="15.75" customHeight="1" x14ac:dyDescent="0.3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</row>
    <row r="274" spans="2:20" ht="15.75" customHeight="1" x14ac:dyDescent="0.3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</row>
    <row r="275" spans="2:20" ht="15.75" customHeight="1" x14ac:dyDescent="0.3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</row>
    <row r="276" spans="2:20" ht="15.75" customHeight="1" x14ac:dyDescent="0.3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</row>
    <row r="277" spans="2:20" ht="15.75" customHeight="1" x14ac:dyDescent="0.3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</row>
    <row r="278" spans="2:20" ht="15.75" customHeight="1" x14ac:dyDescent="0.3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</row>
    <row r="279" spans="2:20" ht="15.75" customHeight="1" x14ac:dyDescent="0.3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</row>
    <row r="280" spans="2:20" ht="15.75" customHeight="1" x14ac:dyDescent="0.3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</row>
    <row r="281" spans="2:20" ht="15.75" customHeight="1" x14ac:dyDescent="0.3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</row>
    <row r="282" spans="2:20" ht="15.75" customHeight="1" x14ac:dyDescent="0.3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</row>
    <row r="283" spans="2:20" ht="15.75" customHeight="1" x14ac:dyDescent="0.3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</row>
    <row r="284" spans="2:20" ht="15.75" customHeight="1" x14ac:dyDescent="0.3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</row>
    <row r="285" spans="2:20" ht="15.75" customHeight="1" x14ac:dyDescent="0.3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</row>
    <row r="286" spans="2:20" ht="15.75" customHeight="1" x14ac:dyDescent="0.3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</row>
    <row r="287" spans="2:20" ht="15.75" customHeight="1" x14ac:dyDescent="0.3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</row>
    <row r="288" spans="2:20" ht="15.75" customHeight="1" x14ac:dyDescent="0.3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</row>
    <row r="289" spans="2:20" ht="15.75" customHeight="1" x14ac:dyDescent="0.3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</row>
    <row r="290" spans="2:20" ht="15.75" customHeight="1" x14ac:dyDescent="0.3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</row>
    <row r="291" spans="2:20" ht="15.75" customHeight="1" x14ac:dyDescent="0.3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</row>
    <row r="292" spans="2:20" ht="15.75" customHeight="1" x14ac:dyDescent="0.3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</row>
    <row r="293" spans="2:20" ht="15.75" customHeight="1" x14ac:dyDescent="0.3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</row>
    <row r="294" spans="2:20" ht="15.75" customHeight="1" x14ac:dyDescent="0.3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</row>
    <row r="295" spans="2:20" ht="15.75" customHeight="1" x14ac:dyDescent="0.3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</row>
    <row r="296" spans="2:20" ht="15.75" customHeight="1" x14ac:dyDescent="0.3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</row>
    <row r="297" spans="2:20" ht="15.75" customHeight="1" x14ac:dyDescent="0.3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</row>
    <row r="298" spans="2:20" ht="15.75" customHeight="1" x14ac:dyDescent="0.3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</row>
    <row r="299" spans="2:20" ht="15.75" customHeight="1" x14ac:dyDescent="0.3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</row>
    <row r="300" spans="2:20" ht="15.75" customHeight="1" x14ac:dyDescent="0.3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</row>
    <row r="301" spans="2:20" ht="15.75" customHeight="1" x14ac:dyDescent="0.3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</row>
    <row r="302" spans="2:20" ht="15.75" customHeight="1" x14ac:dyDescent="0.3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</row>
    <row r="303" spans="2:20" ht="15.75" customHeight="1" x14ac:dyDescent="0.3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</row>
    <row r="304" spans="2:20" ht="15.75" customHeight="1" x14ac:dyDescent="0.3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</row>
    <row r="305" spans="2:20" ht="15.75" customHeight="1" x14ac:dyDescent="0.3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</row>
    <row r="306" spans="2:20" ht="15.75" customHeight="1" x14ac:dyDescent="0.3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</row>
    <row r="307" spans="2:20" ht="15.75" customHeight="1" x14ac:dyDescent="0.3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</row>
    <row r="308" spans="2:20" ht="15.75" customHeight="1" x14ac:dyDescent="0.3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</row>
    <row r="309" spans="2:20" ht="15.75" customHeight="1" x14ac:dyDescent="0.3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</row>
    <row r="310" spans="2:20" ht="15.75" customHeight="1" x14ac:dyDescent="0.3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</row>
    <row r="311" spans="2:20" ht="15.75" customHeight="1" x14ac:dyDescent="0.3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</row>
    <row r="312" spans="2:20" ht="15.75" customHeight="1" x14ac:dyDescent="0.3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</row>
    <row r="313" spans="2:20" ht="15.75" customHeight="1" x14ac:dyDescent="0.3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</row>
    <row r="314" spans="2:20" ht="15.75" customHeight="1" x14ac:dyDescent="0.3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</row>
    <row r="315" spans="2:20" ht="15.75" customHeight="1" x14ac:dyDescent="0.3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</row>
    <row r="316" spans="2:20" ht="15.75" customHeight="1" x14ac:dyDescent="0.3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</row>
    <row r="317" spans="2:20" ht="15.75" customHeight="1" x14ac:dyDescent="0.3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</row>
    <row r="318" spans="2:20" ht="15.75" customHeight="1" x14ac:dyDescent="0.3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</row>
    <row r="319" spans="2:20" ht="15.75" customHeight="1" x14ac:dyDescent="0.3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</row>
    <row r="320" spans="2:20" ht="15.75" customHeight="1" x14ac:dyDescent="0.3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</row>
    <row r="321" spans="2:20" ht="15.75" customHeight="1" x14ac:dyDescent="0.3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</row>
    <row r="322" spans="2:20" ht="15.75" customHeight="1" x14ac:dyDescent="0.3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</row>
    <row r="323" spans="2:20" ht="15.75" customHeight="1" x14ac:dyDescent="0.3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</row>
    <row r="324" spans="2:20" ht="15.75" customHeight="1" x14ac:dyDescent="0.3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</row>
    <row r="325" spans="2:20" ht="15.75" customHeight="1" x14ac:dyDescent="0.3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</row>
    <row r="326" spans="2:20" ht="15.75" customHeight="1" x14ac:dyDescent="0.3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</row>
    <row r="327" spans="2:20" ht="15.75" customHeight="1" x14ac:dyDescent="0.3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</row>
    <row r="328" spans="2:20" ht="15.75" customHeight="1" x14ac:dyDescent="0.3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</row>
    <row r="329" spans="2:20" ht="15.75" customHeight="1" x14ac:dyDescent="0.3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</row>
    <row r="330" spans="2:20" ht="15.75" customHeight="1" x14ac:dyDescent="0.3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</row>
    <row r="331" spans="2:20" ht="15.75" customHeight="1" x14ac:dyDescent="0.3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</row>
    <row r="332" spans="2:20" ht="15.75" customHeight="1" x14ac:dyDescent="0.3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</row>
    <row r="333" spans="2:20" ht="15.75" customHeight="1" x14ac:dyDescent="0.3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</row>
    <row r="334" spans="2:20" ht="15.75" customHeight="1" x14ac:dyDescent="0.3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</row>
    <row r="335" spans="2:20" ht="15.75" customHeight="1" x14ac:dyDescent="0.3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</row>
    <row r="336" spans="2:20" ht="15.75" customHeight="1" x14ac:dyDescent="0.3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</row>
    <row r="337" spans="2:20" ht="15.75" customHeight="1" x14ac:dyDescent="0.3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</row>
    <row r="338" spans="2:20" ht="15.75" customHeight="1" x14ac:dyDescent="0.3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</row>
    <row r="339" spans="2:20" ht="15.75" customHeight="1" x14ac:dyDescent="0.3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</row>
    <row r="340" spans="2:20" ht="15.75" customHeight="1" x14ac:dyDescent="0.3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</row>
    <row r="341" spans="2:20" ht="15.75" customHeight="1" x14ac:dyDescent="0.3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</row>
    <row r="342" spans="2:20" ht="15.75" customHeight="1" x14ac:dyDescent="0.3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</row>
    <row r="343" spans="2:20" ht="15.75" customHeight="1" x14ac:dyDescent="0.3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</row>
    <row r="344" spans="2:20" ht="15.75" customHeight="1" x14ac:dyDescent="0.3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</row>
    <row r="345" spans="2:20" ht="15.75" customHeight="1" x14ac:dyDescent="0.3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</row>
    <row r="346" spans="2:20" ht="15.75" customHeight="1" x14ac:dyDescent="0.3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</row>
    <row r="347" spans="2:20" ht="15.75" customHeight="1" x14ac:dyDescent="0.3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</row>
    <row r="348" spans="2:20" ht="15.75" customHeight="1" x14ac:dyDescent="0.3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</row>
    <row r="349" spans="2:20" ht="15.75" customHeight="1" x14ac:dyDescent="0.3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</row>
    <row r="350" spans="2:20" ht="15.75" customHeight="1" x14ac:dyDescent="0.3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</row>
    <row r="351" spans="2:20" ht="15.75" customHeight="1" x14ac:dyDescent="0.3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</row>
    <row r="352" spans="2:20" ht="15.75" customHeight="1" x14ac:dyDescent="0.3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</row>
    <row r="353" spans="2:20" ht="15.75" customHeight="1" x14ac:dyDescent="0.3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</row>
    <row r="354" spans="2:20" ht="15.75" customHeight="1" x14ac:dyDescent="0.3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</row>
    <row r="355" spans="2:20" ht="15.75" customHeight="1" x14ac:dyDescent="0.3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</row>
    <row r="356" spans="2:20" ht="15.75" customHeight="1" x14ac:dyDescent="0.3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</row>
    <row r="357" spans="2:20" ht="15.75" customHeight="1" x14ac:dyDescent="0.3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</row>
    <row r="358" spans="2:20" ht="15.75" customHeight="1" x14ac:dyDescent="0.3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</row>
    <row r="359" spans="2:20" ht="15.75" customHeight="1" x14ac:dyDescent="0.3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</row>
    <row r="360" spans="2:20" ht="15.75" customHeight="1" x14ac:dyDescent="0.3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</row>
    <row r="361" spans="2:20" ht="15.75" customHeight="1" x14ac:dyDescent="0.3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</row>
    <row r="362" spans="2:20" ht="15.75" customHeight="1" x14ac:dyDescent="0.3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</row>
    <row r="363" spans="2:20" ht="15.75" customHeight="1" x14ac:dyDescent="0.3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</row>
    <row r="364" spans="2:20" ht="15.75" customHeight="1" x14ac:dyDescent="0.3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</row>
    <row r="365" spans="2:20" ht="15.75" customHeight="1" x14ac:dyDescent="0.3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</row>
    <row r="366" spans="2:20" ht="15.75" customHeight="1" x14ac:dyDescent="0.3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</row>
    <row r="367" spans="2:20" ht="15.75" customHeight="1" x14ac:dyDescent="0.3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</row>
    <row r="368" spans="2:20" ht="15.75" customHeight="1" x14ac:dyDescent="0.3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</row>
    <row r="369" spans="2:20" ht="15.75" customHeight="1" x14ac:dyDescent="0.3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</row>
    <row r="370" spans="2:20" ht="15.75" customHeight="1" x14ac:dyDescent="0.3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</row>
    <row r="371" spans="2:20" ht="15.75" customHeight="1" x14ac:dyDescent="0.3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</row>
    <row r="372" spans="2:20" ht="15.75" customHeight="1" x14ac:dyDescent="0.3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</row>
    <row r="373" spans="2:20" ht="15.75" customHeight="1" x14ac:dyDescent="0.3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</row>
    <row r="374" spans="2:20" ht="15.75" customHeight="1" x14ac:dyDescent="0.3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</row>
    <row r="375" spans="2:20" ht="15.75" customHeight="1" x14ac:dyDescent="0.3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</row>
    <row r="376" spans="2:20" ht="15.75" customHeight="1" x14ac:dyDescent="0.3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</row>
    <row r="377" spans="2:20" ht="15.75" customHeight="1" x14ac:dyDescent="0.3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</row>
    <row r="378" spans="2:20" ht="15.75" customHeight="1" x14ac:dyDescent="0.3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</row>
    <row r="379" spans="2:20" ht="15.75" customHeight="1" x14ac:dyDescent="0.3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</row>
    <row r="380" spans="2:20" ht="15.75" customHeight="1" x14ac:dyDescent="0.3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</row>
    <row r="381" spans="2:20" ht="15.75" customHeight="1" x14ac:dyDescent="0.3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</row>
    <row r="382" spans="2:20" ht="15.75" customHeight="1" x14ac:dyDescent="0.3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</row>
    <row r="383" spans="2:20" ht="15.75" customHeight="1" x14ac:dyDescent="0.3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</row>
    <row r="384" spans="2:20" ht="15.75" customHeight="1" x14ac:dyDescent="0.3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</row>
    <row r="385" spans="2:20" ht="15.75" customHeight="1" x14ac:dyDescent="0.3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</row>
    <row r="386" spans="2:20" ht="15.75" customHeight="1" x14ac:dyDescent="0.3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</row>
    <row r="387" spans="2:20" ht="15.75" customHeight="1" x14ac:dyDescent="0.3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</row>
    <row r="388" spans="2:20" ht="15.75" customHeight="1" x14ac:dyDescent="0.3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</row>
    <row r="389" spans="2:20" ht="15.75" customHeight="1" x14ac:dyDescent="0.3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</row>
    <row r="390" spans="2:20" ht="15.75" customHeight="1" x14ac:dyDescent="0.3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</row>
    <row r="391" spans="2:20" ht="15.75" customHeight="1" x14ac:dyDescent="0.3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</row>
    <row r="392" spans="2:20" ht="15.75" customHeight="1" x14ac:dyDescent="0.3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</row>
    <row r="393" spans="2:20" ht="15.75" customHeight="1" x14ac:dyDescent="0.3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</row>
    <row r="394" spans="2:20" ht="15.75" customHeight="1" x14ac:dyDescent="0.3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</row>
    <row r="395" spans="2:20" ht="15.75" customHeight="1" x14ac:dyDescent="0.3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</row>
    <row r="396" spans="2:20" ht="15.75" customHeight="1" x14ac:dyDescent="0.3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</row>
    <row r="397" spans="2:20" ht="15.75" customHeight="1" x14ac:dyDescent="0.3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</row>
    <row r="398" spans="2:20" ht="15.75" customHeight="1" x14ac:dyDescent="0.3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</row>
    <row r="399" spans="2:20" ht="15.75" customHeight="1" x14ac:dyDescent="0.3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</row>
    <row r="400" spans="2:20" ht="15.75" customHeight="1" x14ac:dyDescent="0.3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</row>
    <row r="401" spans="2:20" ht="15.75" customHeight="1" x14ac:dyDescent="0.3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</row>
    <row r="402" spans="2:20" ht="15.75" customHeight="1" x14ac:dyDescent="0.3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</row>
    <row r="403" spans="2:20" ht="15.75" customHeight="1" x14ac:dyDescent="0.3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</row>
    <row r="404" spans="2:20" ht="15.75" customHeight="1" x14ac:dyDescent="0.3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</row>
    <row r="405" spans="2:20" ht="15.75" customHeight="1" x14ac:dyDescent="0.3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</row>
    <row r="406" spans="2:20" ht="15.75" customHeight="1" x14ac:dyDescent="0.3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</row>
    <row r="407" spans="2:20" ht="15.75" customHeight="1" x14ac:dyDescent="0.3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</row>
    <row r="408" spans="2:20" ht="15.75" customHeight="1" x14ac:dyDescent="0.3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</row>
    <row r="409" spans="2:20" ht="15.75" customHeight="1" x14ac:dyDescent="0.3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</row>
    <row r="410" spans="2:20" ht="15.75" customHeight="1" x14ac:dyDescent="0.3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</row>
    <row r="411" spans="2:20" ht="15.75" customHeight="1" x14ac:dyDescent="0.3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</row>
    <row r="412" spans="2:20" ht="15.75" customHeight="1" x14ac:dyDescent="0.3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</row>
    <row r="413" spans="2:20" ht="15.75" customHeight="1" x14ac:dyDescent="0.3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</row>
    <row r="414" spans="2:20" ht="15.75" customHeight="1" x14ac:dyDescent="0.3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</row>
    <row r="415" spans="2:20" ht="15.75" customHeight="1" x14ac:dyDescent="0.3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</row>
    <row r="416" spans="2:20" ht="15.75" customHeight="1" x14ac:dyDescent="0.3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</row>
    <row r="417" spans="2:20" ht="15.75" customHeight="1" x14ac:dyDescent="0.3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</row>
    <row r="418" spans="2:20" ht="15.75" customHeight="1" x14ac:dyDescent="0.3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</row>
    <row r="419" spans="2:20" ht="15.75" customHeight="1" x14ac:dyDescent="0.3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</row>
    <row r="420" spans="2:20" ht="15.75" customHeight="1" x14ac:dyDescent="0.3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</row>
    <row r="421" spans="2:20" ht="15.75" customHeight="1" x14ac:dyDescent="0.3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</row>
    <row r="422" spans="2:20" ht="15.75" customHeight="1" x14ac:dyDescent="0.3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</row>
    <row r="423" spans="2:20" ht="15.75" customHeight="1" x14ac:dyDescent="0.3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</row>
    <row r="424" spans="2:20" ht="15.75" customHeight="1" x14ac:dyDescent="0.3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</row>
    <row r="425" spans="2:20" ht="15.75" customHeight="1" x14ac:dyDescent="0.3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</row>
    <row r="426" spans="2:20" ht="15.75" customHeight="1" x14ac:dyDescent="0.3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</row>
    <row r="427" spans="2:20" ht="15.75" customHeight="1" x14ac:dyDescent="0.3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</row>
    <row r="428" spans="2:20" ht="15.75" customHeight="1" x14ac:dyDescent="0.3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</row>
    <row r="429" spans="2:20" ht="15.75" customHeight="1" x14ac:dyDescent="0.3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</row>
    <row r="430" spans="2:20" ht="15.75" customHeight="1" x14ac:dyDescent="0.3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</row>
    <row r="431" spans="2:20" ht="15.75" customHeight="1" x14ac:dyDescent="0.3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</row>
    <row r="432" spans="2:20" ht="15.75" customHeight="1" x14ac:dyDescent="0.3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</row>
    <row r="433" spans="2:20" ht="15.75" customHeight="1" x14ac:dyDescent="0.3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</row>
    <row r="434" spans="2:20" ht="15.75" customHeight="1" x14ac:dyDescent="0.3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</row>
    <row r="435" spans="2:20" ht="15.75" customHeight="1" x14ac:dyDescent="0.3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</row>
    <row r="436" spans="2:20" ht="15.75" customHeight="1" x14ac:dyDescent="0.3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</row>
    <row r="437" spans="2:20" ht="15.75" customHeight="1" x14ac:dyDescent="0.3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</row>
    <row r="438" spans="2:20" ht="15.75" customHeight="1" x14ac:dyDescent="0.3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</row>
    <row r="439" spans="2:20" ht="15.75" customHeight="1" x14ac:dyDescent="0.3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</row>
    <row r="440" spans="2:20" ht="15.75" customHeight="1" x14ac:dyDescent="0.3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</row>
    <row r="441" spans="2:20" ht="15.75" customHeight="1" x14ac:dyDescent="0.3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</row>
    <row r="442" spans="2:20" ht="15.75" customHeight="1" x14ac:dyDescent="0.3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</row>
    <row r="443" spans="2:20" ht="15.75" customHeight="1" x14ac:dyDescent="0.3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</row>
    <row r="444" spans="2:20" ht="15.75" customHeight="1" x14ac:dyDescent="0.3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</row>
    <row r="445" spans="2:20" ht="15.75" customHeight="1" x14ac:dyDescent="0.3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</row>
    <row r="446" spans="2:20" ht="15.75" customHeight="1" x14ac:dyDescent="0.3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</row>
    <row r="447" spans="2:20" ht="15.75" customHeight="1" x14ac:dyDescent="0.3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</row>
    <row r="448" spans="2:20" ht="15.75" customHeight="1" x14ac:dyDescent="0.3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</row>
    <row r="449" spans="2:20" ht="15.75" customHeight="1" x14ac:dyDescent="0.3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</row>
    <row r="450" spans="2:20" ht="15.75" customHeight="1" x14ac:dyDescent="0.3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</row>
    <row r="451" spans="2:20" ht="15.75" customHeight="1" x14ac:dyDescent="0.3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</row>
    <row r="452" spans="2:20" ht="15.75" customHeight="1" x14ac:dyDescent="0.3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</row>
    <row r="453" spans="2:20" ht="15.75" customHeight="1" x14ac:dyDescent="0.3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</row>
    <row r="454" spans="2:20" ht="15.75" customHeight="1" x14ac:dyDescent="0.3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</row>
    <row r="455" spans="2:20" ht="15.75" customHeight="1" x14ac:dyDescent="0.3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</row>
    <row r="456" spans="2:20" ht="15.75" customHeight="1" x14ac:dyDescent="0.3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</row>
    <row r="457" spans="2:20" ht="15.75" customHeight="1" x14ac:dyDescent="0.3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</row>
    <row r="458" spans="2:20" ht="15.75" customHeight="1" x14ac:dyDescent="0.3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</row>
    <row r="459" spans="2:20" ht="15.75" customHeight="1" x14ac:dyDescent="0.3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</row>
    <row r="460" spans="2:20" ht="15.75" customHeight="1" x14ac:dyDescent="0.3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</row>
    <row r="461" spans="2:20" ht="15.75" customHeight="1" x14ac:dyDescent="0.3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</row>
    <row r="462" spans="2:20" ht="15.75" customHeight="1" x14ac:dyDescent="0.3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</row>
    <row r="463" spans="2:20" ht="15.75" customHeight="1" x14ac:dyDescent="0.3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</row>
    <row r="464" spans="2:20" ht="15.75" customHeight="1" x14ac:dyDescent="0.3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</row>
    <row r="465" spans="2:20" ht="15.75" customHeight="1" x14ac:dyDescent="0.3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</row>
    <row r="466" spans="2:20" ht="15.75" customHeight="1" x14ac:dyDescent="0.3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</row>
    <row r="467" spans="2:20" ht="15.75" customHeight="1" x14ac:dyDescent="0.3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</row>
    <row r="468" spans="2:20" ht="15.75" customHeight="1" x14ac:dyDescent="0.3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</row>
    <row r="469" spans="2:20" ht="15.75" customHeight="1" x14ac:dyDescent="0.3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</row>
    <row r="470" spans="2:20" ht="15.75" customHeight="1" x14ac:dyDescent="0.3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</row>
    <row r="471" spans="2:20" ht="15.75" customHeight="1" x14ac:dyDescent="0.3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</row>
    <row r="472" spans="2:20" ht="15.75" customHeight="1" x14ac:dyDescent="0.3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</row>
    <row r="473" spans="2:20" ht="15.75" customHeight="1" x14ac:dyDescent="0.3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</row>
    <row r="474" spans="2:20" ht="15.75" customHeight="1" x14ac:dyDescent="0.3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</row>
    <row r="475" spans="2:20" ht="15.75" customHeight="1" x14ac:dyDescent="0.3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</row>
    <row r="476" spans="2:20" ht="15.75" customHeight="1" x14ac:dyDescent="0.3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</row>
    <row r="477" spans="2:20" ht="15.75" customHeight="1" x14ac:dyDescent="0.3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</row>
    <row r="478" spans="2:20" ht="15.75" customHeight="1" x14ac:dyDescent="0.3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</row>
    <row r="479" spans="2:20" ht="15.75" customHeight="1" x14ac:dyDescent="0.3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</row>
    <row r="480" spans="2:20" ht="15.75" customHeight="1" x14ac:dyDescent="0.3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</row>
    <row r="481" spans="2:20" ht="15.75" customHeight="1" x14ac:dyDescent="0.3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</row>
    <row r="482" spans="2:20" ht="15.75" customHeight="1" x14ac:dyDescent="0.3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</row>
    <row r="483" spans="2:20" ht="15.75" customHeight="1" x14ac:dyDescent="0.3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</row>
    <row r="484" spans="2:20" ht="15.75" customHeight="1" x14ac:dyDescent="0.3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</row>
    <row r="485" spans="2:20" ht="15.75" customHeight="1" x14ac:dyDescent="0.3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</row>
    <row r="486" spans="2:20" ht="15.75" customHeight="1" x14ac:dyDescent="0.3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</row>
    <row r="487" spans="2:20" ht="15.75" customHeight="1" x14ac:dyDescent="0.3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</row>
    <row r="488" spans="2:20" ht="15.75" customHeight="1" x14ac:dyDescent="0.3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</row>
    <row r="489" spans="2:20" ht="15.75" customHeight="1" x14ac:dyDescent="0.3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</row>
    <row r="490" spans="2:20" ht="15.75" customHeight="1" x14ac:dyDescent="0.3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</row>
    <row r="491" spans="2:20" ht="15.75" customHeight="1" x14ac:dyDescent="0.3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</row>
    <row r="492" spans="2:20" ht="15.75" customHeight="1" x14ac:dyDescent="0.3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</row>
    <row r="493" spans="2:20" ht="15.75" customHeight="1" x14ac:dyDescent="0.3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</row>
    <row r="494" spans="2:20" ht="15.75" customHeight="1" x14ac:dyDescent="0.3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</row>
    <row r="495" spans="2:20" ht="15.75" customHeight="1" x14ac:dyDescent="0.3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</row>
    <row r="496" spans="2:20" ht="15.75" customHeight="1" x14ac:dyDescent="0.3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</row>
    <row r="497" spans="2:20" ht="15.75" customHeight="1" x14ac:dyDescent="0.3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</row>
    <row r="498" spans="2:20" ht="15.75" customHeight="1" x14ac:dyDescent="0.3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</row>
    <row r="499" spans="2:20" ht="15.75" customHeight="1" x14ac:dyDescent="0.3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</row>
    <row r="500" spans="2:20" ht="15.75" customHeight="1" x14ac:dyDescent="0.3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</row>
    <row r="501" spans="2:20" ht="15.75" customHeight="1" x14ac:dyDescent="0.3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</row>
    <row r="502" spans="2:20" ht="15.75" customHeight="1" x14ac:dyDescent="0.3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</row>
    <row r="503" spans="2:20" ht="15.75" customHeight="1" x14ac:dyDescent="0.3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</row>
    <row r="504" spans="2:20" ht="15.75" customHeight="1" x14ac:dyDescent="0.3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</row>
    <row r="505" spans="2:20" ht="15.75" customHeight="1" x14ac:dyDescent="0.3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</row>
    <row r="506" spans="2:20" ht="15.75" customHeight="1" x14ac:dyDescent="0.3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</row>
    <row r="507" spans="2:20" ht="15.75" customHeight="1" x14ac:dyDescent="0.3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</row>
    <row r="508" spans="2:20" ht="15.75" customHeight="1" x14ac:dyDescent="0.3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</row>
    <row r="509" spans="2:20" ht="15.75" customHeight="1" x14ac:dyDescent="0.3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</row>
    <row r="510" spans="2:20" ht="15.75" customHeight="1" x14ac:dyDescent="0.3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</row>
    <row r="511" spans="2:20" ht="15.75" customHeight="1" x14ac:dyDescent="0.3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</row>
    <row r="512" spans="2:20" ht="15.75" customHeight="1" x14ac:dyDescent="0.3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</row>
    <row r="513" spans="2:20" ht="15.75" customHeight="1" x14ac:dyDescent="0.3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</row>
    <row r="514" spans="2:20" ht="15.75" customHeight="1" x14ac:dyDescent="0.3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</row>
    <row r="515" spans="2:20" ht="15.75" customHeight="1" x14ac:dyDescent="0.3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</row>
    <row r="516" spans="2:20" ht="15.75" customHeight="1" x14ac:dyDescent="0.3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</row>
    <row r="517" spans="2:20" ht="15.75" customHeight="1" x14ac:dyDescent="0.3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</row>
    <row r="518" spans="2:20" ht="15.75" customHeight="1" x14ac:dyDescent="0.3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</row>
    <row r="519" spans="2:20" ht="15.75" customHeight="1" x14ac:dyDescent="0.3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</row>
    <row r="520" spans="2:20" ht="15.75" customHeight="1" x14ac:dyDescent="0.3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</row>
    <row r="521" spans="2:20" ht="15.75" customHeight="1" x14ac:dyDescent="0.3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</row>
    <row r="522" spans="2:20" ht="15.75" customHeight="1" x14ac:dyDescent="0.3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</row>
    <row r="523" spans="2:20" ht="15.75" customHeight="1" x14ac:dyDescent="0.3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</row>
    <row r="524" spans="2:20" ht="15.75" customHeight="1" x14ac:dyDescent="0.3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</row>
    <row r="525" spans="2:20" ht="15.75" customHeight="1" x14ac:dyDescent="0.3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</row>
    <row r="526" spans="2:20" ht="15.75" customHeight="1" x14ac:dyDescent="0.3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</row>
    <row r="527" spans="2:20" ht="15.75" customHeight="1" x14ac:dyDescent="0.3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</row>
    <row r="528" spans="2:20" ht="15.75" customHeight="1" x14ac:dyDescent="0.3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</row>
    <row r="529" spans="2:20" ht="15.75" customHeight="1" x14ac:dyDescent="0.3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</row>
    <row r="530" spans="2:20" ht="15.75" customHeight="1" x14ac:dyDescent="0.3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</row>
    <row r="531" spans="2:20" ht="15.75" customHeight="1" x14ac:dyDescent="0.3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</row>
    <row r="532" spans="2:20" ht="15.75" customHeight="1" x14ac:dyDescent="0.3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</row>
    <row r="533" spans="2:20" ht="15.75" customHeight="1" x14ac:dyDescent="0.3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</row>
    <row r="534" spans="2:20" ht="15.75" customHeight="1" x14ac:dyDescent="0.3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</row>
    <row r="535" spans="2:20" ht="15.75" customHeight="1" x14ac:dyDescent="0.3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</row>
    <row r="536" spans="2:20" ht="15.75" customHeight="1" x14ac:dyDescent="0.3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</row>
    <row r="537" spans="2:20" ht="15.75" customHeight="1" x14ac:dyDescent="0.3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</row>
    <row r="538" spans="2:20" ht="15.75" customHeight="1" x14ac:dyDescent="0.3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</row>
    <row r="539" spans="2:20" ht="15.75" customHeight="1" x14ac:dyDescent="0.3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</row>
    <row r="540" spans="2:20" ht="15.75" customHeight="1" x14ac:dyDescent="0.3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</row>
    <row r="541" spans="2:20" ht="15.75" customHeight="1" x14ac:dyDescent="0.3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</row>
    <row r="542" spans="2:20" ht="15.75" customHeight="1" x14ac:dyDescent="0.3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</row>
    <row r="543" spans="2:20" ht="15.75" customHeight="1" x14ac:dyDescent="0.3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</row>
    <row r="544" spans="2:20" ht="15.75" customHeight="1" x14ac:dyDescent="0.3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</row>
    <row r="545" spans="2:20" ht="15.75" customHeight="1" x14ac:dyDescent="0.3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</row>
    <row r="546" spans="2:20" ht="15.75" customHeight="1" x14ac:dyDescent="0.3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</row>
    <row r="547" spans="2:20" ht="15.75" customHeight="1" x14ac:dyDescent="0.3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</row>
    <row r="548" spans="2:20" ht="15.75" customHeight="1" x14ac:dyDescent="0.3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</row>
    <row r="549" spans="2:20" ht="15.75" customHeight="1" x14ac:dyDescent="0.3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</row>
    <row r="550" spans="2:20" ht="15.75" customHeight="1" x14ac:dyDescent="0.3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</row>
    <row r="551" spans="2:20" ht="15.75" customHeight="1" x14ac:dyDescent="0.3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</row>
    <row r="552" spans="2:20" ht="15.75" customHeight="1" x14ac:dyDescent="0.3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</row>
    <row r="553" spans="2:20" ht="15.75" customHeight="1" x14ac:dyDescent="0.3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</row>
    <row r="554" spans="2:20" ht="15.75" customHeight="1" x14ac:dyDescent="0.3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</row>
    <row r="555" spans="2:20" ht="15.75" customHeight="1" x14ac:dyDescent="0.3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</row>
    <row r="556" spans="2:20" ht="15.75" customHeight="1" x14ac:dyDescent="0.3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</row>
    <row r="557" spans="2:20" ht="15.75" customHeight="1" x14ac:dyDescent="0.3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</row>
    <row r="558" spans="2:20" ht="15.75" customHeight="1" x14ac:dyDescent="0.3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</row>
    <row r="559" spans="2:20" ht="15.75" customHeight="1" x14ac:dyDescent="0.3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</row>
    <row r="560" spans="2:20" ht="15.75" customHeight="1" x14ac:dyDescent="0.3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</row>
    <row r="561" spans="2:20" ht="15.75" customHeight="1" x14ac:dyDescent="0.3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</row>
    <row r="562" spans="2:20" ht="15.75" customHeight="1" x14ac:dyDescent="0.3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</row>
    <row r="563" spans="2:20" ht="15.75" customHeight="1" x14ac:dyDescent="0.3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</row>
    <row r="564" spans="2:20" ht="15.75" customHeight="1" x14ac:dyDescent="0.3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</row>
    <row r="565" spans="2:20" ht="15.75" customHeight="1" x14ac:dyDescent="0.3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</row>
    <row r="566" spans="2:20" ht="15.75" customHeight="1" x14ac:dyDescent="0.3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</row>
    <row r="567" spans="2:20" ht="15.75" customHeight="1" x14ac:dyDescent="0.3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</row>
    <row r="568" spans="2:20" ht="15.75" customHeight="1" x14ac:dyDescent="0.3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</row>
    <row r="569" spans="2:20" ht="15.75" customHeight="1" x14ac:dyDescent="0.3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</row>
    <row r="570" spans="2:20" ht="15.75" customHeight="1" x14ac:dyDescent="0.3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</row>
    <row r="571" spans="2:20" ht="15.75" customHeight="1" x14ac:dyDescent="0.3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</row>
    <row r="572" spans="2:20" ht="15.75" customHeight="1" x14ac:dyDescent="0.3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</row>
    <row r="573" spans="2:20" ht="15.75" customHeight="1" x14ac:dyDescent="0.3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</row>
    <row r="574" spans="2:20" ht="15.75" customHeight="1" x14ac:dyDescent="0.3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</row>
    <row r="575" spans="2:20" ht="15.75" customHeight="1" x14ac:dyDescent="0.3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</row>
    <row r="576" spans="2:20" ht="15.75" customHeight="1" x14ac:dyDescent="0.3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</row>
    <row r="577" spans="2:20" ht="15.75" customHeight="1" x14ac:dyDescent="0.3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</row>
    <row r="578" spans="2:20" ht="15.75" customHeight="1" x14ac:dyDescent="0.3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</row>
    <row r="579" spans="2:20" ht="15.75" customHeight="1" x14ac:dyDescent="0.3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</row>
    <row r="580" spans="2:20" ht="15.75" customHeight="1" x14ac:dyDescent="0.3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</row>
    <row r="581" spans="2:20" ht="15.75" customHeight="1" x14ac:dyDescent="0.3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</row>
    <row r="582" spans="2:20" ht="15.75" customHeight="1" x14ac:dyDescent="0.3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</row>
    <row r="583" spans="2:20" ht="15.75" customHeight="1" x14ac:dyDescent="0.3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</row>
    <row r="584" spans="2:20" ht="15.75" customHeight="1" x14ac:dyDescent="0.3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</row>
    <row r="585" spans="2:20" ht="15.75" customHeight="1" x14ac:dyDescent="0.3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</row>
    <row r="586" spans="2:20" ht="15.75" customHeight="1" x14ac:dyDescent="0.3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</row>
    <row r="587" spans="2:20" ht="15.75" customHeight="1" x14ac:dyDescent="0.3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</row>
    <row r="588" spans="2:20" ht="15.75" customHeight="1" x14ac:dyDescent="0.3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</row>
    <row r="589" spans="2:20" ht="15.75" customHeight="1" x14ac:dyDescent="0.3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</row>
    <row r="590" spans="2:20" ht="15.75" customHeight="1" x14ac:dyDescent="0.3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</row>
    <row r="591" spans="2:20" ht="15.75" customHeight="1" x14ac:dyDescent="0.3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</row>
    <row r="592" spans="2:20" ht="15.75" customHeight="1" x14ac:dyDescent="0.3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</row>
    <row r="593" spans="2:20" ht="15.75" customHeight="1" x14ac:dyDescent="0.3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</row>
    <row r="594" spans="2:20" ht="15.75" customHeight="1" x14ac:dyDescent="0.3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</row>
    <row r="595" spans="2:20" ht="15.75" customHeight="1" x14ac:dyDescent="0.3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</row>
    <row r="596" spans="2:20" ht="15.75" customHeight="1" x14ac:dyDescent="0.3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</row>
    <row r="597" spans="2:20" ht="15.75" customHeight="1" x14ac:dyDescent="0.3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</row>
    <row r="598" spans="2:20" ht="15.75" customHeight="1" x14ac:dyDescent="0.3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</row>
    <row r="599" spans="2:20" ht="15.75" customHeight="1" x14ac:dyDescent="0.3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</row>
    <row r="600" spans="2:20" ht="15.75" customHeight="1" x14ac:dyDescent="0.3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</row>
    <row r="601" spans="2:20" ht="15.75" customHeight="1" x14ac:dyDescent="0.3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</row>
    <row r="602" spans="2:20" ht="15.75" customHeight="1" x14ac:dyDescent="0.3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</row>
    <row r="603" spans="2:20" ht="15.75" customHeight="1" x14ac:dyDescent="0.3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</row>
    <row r="604" spans="2:20" ht="15.75" customHeight="1" x14ac:dyDescent="0.3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</row>
    <row r="605" spans="2:20" ht="15.75" customHeight="1" x14ac:dyDescent="0.3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</row>
    <row r="606" spans="2:20" ht="15.75" customHeight="1" x14ac:dyDescent="0.3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</row>
    <row r="607" spans="2:20" ht="15.75" customHeight="1" x14ac:dyDescent="0.3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</row>
    <row r="608" spans="2:20" ht="15.75" customHeight="1" x14ac:dyDescent="0.3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</row>
    <row r="609" spans="2:20" ht="15.75" customHeight="1" x14ac:dyDescent="0.3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</row>
    <row r="610" spans="2:20" ht="15.75" customHeight="1" x14ac:dyDescent="0.3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</row>
    <row r="611" spans="2:20" ht="15.75" customHeight="1" x14ac:dyDescent="0.3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</row>
    <row r="612" spans="2:20" ht="15.75" customHeight="1" x14ac:dyDescent="0.3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</row>
    <row r="613" spans="2:20" ht="15.75" customHeight="1" x14ac:dyDescent="0.3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</row>
    <row r="614" spans="2:20" ht="15.75" customHeight="1" x14ac:dyDescent="0.3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</row>
    <row r="615" spans="2:20" ht="15.75" customHeight="1" x14ac:dyDescent="0.3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</row>
    <row r="616" spans="2:20" ht="15.75" customHeight="1" x14ac:dyDescent="0.3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</row>
    <row r="617" spans="2:20" ht="15.75" customHeight="1" x14ac:dyDescent="0.3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</row>
    <row r="618" spans="2:20" ht="15.75" customHeight="1" x14ac:dyDescent="0.3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</row>
    <row r="619" spans="2:20" ht="15.75" customHeight="1" x14ac:dyDescent="0.3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</row>
    <row r="620" spans="2:20" ht="15.75" customHeight="1" x14ac:dyDescent="0.3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</row>
    <row r="621" spans="2:20" ht="15.75" customHeight="1" x14ac:dyDescent="0.3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</row>
    <row r="622" spans="2:20" ht="15.75" customHeight="1" x14ac:dyDescent="0.3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</row>
    <row r="623" spans="2:20" ht="15.75" customHeight="1" x14ac:dyDescent="0.3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</row>
    <row r="624" spans="2:20" ht="15.75" customHeight="1" x14ac:dyDescent="0.3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</row>
    <row r="625" spans="2:20" ht="15.75" customHeight="1" x14ac:dyDescent="0.3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</row>
    <row r="626" spans="2:20" ht="15.75" customHeight="1" x14ac:dyDescent="0.3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</row>
    <row r="627" spans="2:20" ht="15.75" customHeight="1" x14ac:dyDescent="0.3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</row>
    <row r="628" spans="2:20" ht="15.75" customHeight="1" x14ac:dyDescent="0.3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</row>
    <row r="629" spans="2:20" ht="15.75" customHeight="1" x14ac:dyDescent="0.3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</row>
    <row r="630" spans="2:20" ht="15.75" customHeight="1" x14ac:dyDescent="0.3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</row>
    <row r="631" spans="2:20" ht="15.75" customHeight="1" x14ac:dyDescent="0.3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</row>
    <row r="632" spans="2:20" ht="15.75" customHeight="1" x14ac:dyDescent="0.3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</row>
    <row r="633" spans="2:20" ht="15.75" customHeight="1" x14ac:dyDescent="0.3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</row>
    <row r="634" spans="2:20" ht="15.75" customHeight="1" x14ac:dyDescent="0.3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</row>
    <row r="635" spans="2:20" ht="15.75" customHeight="1" x14ac:dyDescent="0.3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</row>
    <row r="636" spans="2:20" ht="15.75" customHeight="1" x14ac:dyDescent="0.3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</row>
    <row r="637" spans="2:20" ht="15.75" customHeight="1" x14ac:dyDescent="0.3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</row>
    <row r="638" spans="2:20" ht="15.75" customHeight="1" x14ac:dyDescent="0.3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</row>
    <row r="639" spans="2:20" ht="15.75" customHeight="1" x14ac:dyDescent="0.3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</row>
    <row r="640" spans="2:20" ht="15.75" customHeight="1" x14ac:dyDescent="0.3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</row>
    <row r="641" spans="2:20" ht="15.75" customHeight="1" x14ac:dyDescent="0.3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</row>
    <row r="642" spans="2:20" ht="15.75" customHeight="1" x14ac:dyDescent="0.3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</row>
    <row r="643" spans="2:20" ht="15.75" customHeight="1" x14ac:dyDescent="0.3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</row>
    <row r="644" spans="2:20" ht="15.75" customHeight="1" x14ac:dyDescent="0.3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</row>
    <row r="645" spans="2:20" ht="15.75" customHeight="1" x14ac:dyDescent="0.3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</row>
    <row r="646" spans="2:20" ht="15.75" customHeight="1" x14ac:dyDescent="0.3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</row>
    <row r="647" spans="2:20" ht="15.75" customHeight="1" x14ac:dyDescent="0.3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</row>
    <row r="648" spans="2:20" ht="15.75" customHeight="1" x14ac:dyDescent="0.3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</row>
    <row r="649" spans="2:20" ht="15.75" customHeight="1" x14ac:dyDescent="0.3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</row>
    <row r="650" spans="2:20" ht="15.75" customHeight="1" x14ac:dyDescent="0.3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</row>
    <row r="651" spans="2:20" ht="15.75" customHeight="1" x14ac:dyDescent="0.3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</row>
    <row r="652" spans="2:20" ht="15.75" customHeight="1" x14ac:dyDescent="0.3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</row>
    <row r="653" spans="2:20" ht="15.75" customHeight="1" x14ac:dyDescent="0.3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</row>
    <row r="654" spans="2:20" ht="15.75" customHeight="1" x14ac:dyDescent="0.3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</row>
    <row r="655" spans="2:20" ht="15.75" customHeight="1" x14ac:dyDescent="0.3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</row>
    <row r="656" spans="2:20" ht="15.75" customHeight="1" x14ac:dyDescent="0.3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</row>
    <row r="657" spans="2:20" ht="15.75" customHeight="1" x14ac:dyDescent="0.3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</row>
    <row r="658" spans="2:20" ht="15.75" customHeight="1" x14ac:dyDescent="0.3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</row>
    <row r="659" spans="2:20" ht="15.75" customHeight="1" x14ac:dyDescent="0.3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</row>
    <row r="660" spans="2:20" ht="15.75" customHeight="1" x14ac:dyDescent="0.3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</row>
    <row r="661" spans="2:20" ht="15.75" customHeight="1" x14ac:dyDescent="0.3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</row>
    <row r="662" spans="2:20" ht="15.75" customHeight="1" x14ac:dyDescent="0.3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</row>
    <row r="663" spans="2:20" ht="15.75" customHeight="1" x14ac:dyDescent="0.3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</row>
    <row r="664" spans="2:20" ht="15.75" customHeight="1" x14ac:dyDescent="0.3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</row>
    <row r="665" spans="2:20" ht="15.75" customHeight="1" x14ac:dyDescent="0.3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</row>
    <row r="666" spans="2:20" ht="15.75" customHeight="1" x14ac:dyDescent="0.3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</row>
    <row r="667" spans="2:20" ht="15.75" customHeight="1" x14ac:dyDescent="0.3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</row>
    <row r="668" spans="2:20" ht="15.75" customHeight="1" x14ac:dyDescent="0.3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</row>
    <row r="669" spans="2:20" ht="15.75" customHeight="1" x14ac:dyDescent="0.3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</row>
    <row r="670" spans="2:20" ht="15.75" customHeight="1" x14ac:dyDescent="0.3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</row>
    <row r="671" spans="2:20" ht="15.75" customHeight="1" x14ac:dyDescent="0.3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</row>
    <row r="672" spans="2:20" ht="15.75" customHeight="1" x14ac:dyDescent="0.3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</row>
    <row r="673" spans="2:20" ht="15.75" customHeight="1" x14ac:dyDescent="0.3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</row>
    <row r="674" spans="2:20" ht="15.75" customHeight="1" x14ac:dyDescent="0.3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</row>
    <row r="675" spans="2:20" ht="15.75" customHeight="1" x14ac:dyDescent="0.3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</row>
    <row r="676" spans="2:20" ht="15.75" customHeight="1" x14ac:dyDescent="0.3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</row>
    <row r="677" spans="2:20" ht="15.75" customHeight="1" x14ac:dyDescent="0.3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</row>
    <row r="678" spans="2:20" ht="15.75" customHeight="1" x14ac:dyDescent="0.3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</row>
    <row r="679" spans="2:20" ht="15.75" customHeight="1" x14ac:dyDescent="0.3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</row>
    <row r="680" spans="2:20" ht="15.75" customHeight="1" x14ac:dyDescent="0.3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</row>
    <row r="681" spans="2:20" ht="15.75" customHeight="1" x14ac:dyDescent="0.3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</row>
    <row r="682" spans="2:20" ht="15.75" customHeight="1" x14ac:dyDescent="0.3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</row>
    <row r="683" spans="2:20" ht="15.75" customHeight="1" x14ac:dyDescent="0.3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</row>
    <row r="684" spans="2:20" ht="15.75" customHeight="1" x14ac:dyDescent="0.3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</row>
    <row r="685" spans="2:20" ht="15.75" customHeight="1" x14ac:dyDescent="0.3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</row>
    <row r="686" spans="2:20" ht="15.75" customHeight="1" x14ac:dyDescent="0.3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</row>
    <row r="687" spans="2:20" ht="15.75" customHeight="1" x14ac:dyDescent="0.3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</row>
    <row r="688" spans="2:20" ht="15.75" customHeight="1" x14ac:dyDescent="0.3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</row>
    <row r="689" spans="2:20" ht="15.75" customHeight="1" x14ac:dyDescent="0.3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</row>
    <row r="690" spans="2:20" ht="15.75" customHeight="1" x14ac:dyDescent="0.3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</row>
    <row r="691" spans="2:20" ht="15.75" customHeight="1" x14ac:dyDescent="0.3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</row>
    <row r="692" spans="2:20" ht="15.75" customHeight="1" x14ac:dyDescent="0.3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</row>
    <row r="693" spans="2:20" ht="15.75" customHeight="1" x14ac:dyDescent="0.3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</row>
    <row r="694" spans="2:20" ht="15.75" customHeight="1" x14ac:dyDescent="0.3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</row>
    <row r="695" spans="2:20" ht="15.75" customHeight="1" x14ac:dyDescent="0.3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</row>
    <row r="696" spans="2:20" ht="15.75" customHeight="1" x14ac:dyDescent="0.3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</row>
    <row r="697" spans="2:20" ht="15.75" customHeight="1" x14ac:dyDescent="0.3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</row>
    <row r="698" spans="2:20" ht="15.75" customHeight="1" x14ac:dyDescent="0.3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</row>
    <row r="699" spans="2:20" ht="15.75" customHeight="1" x14ac:dyDescent="0.3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</row>
    <row r="700" spans="2:20" ht="15.75" customHeight="1" x14ac:dyDescent="0.3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</row>
    <row r="701" spans="2:20" ht="15.75" customHeight="1" x14ac:dyDescent="0.3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</row>
    <row r="702" spans="2:20" ht="15.75" customHeight="1" x14ac:dyDescent="0.3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</row>
    <row r="703" spans="2:20" ht="15.75" customHeight="1" x14ac:dyDescent="0.3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</row>
    <row r="704" spans="2:20" ht="15.75" customHeight="1" x14ac:dyDescent="0.3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</row>
    <row r="705" spans="2:20" ht="15.75" customHeight="1" x14ac:dyDescent="0.3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</row>
    <row r="706" spans="2:20" ht="15.75" customHeight="1" x14ac:dyDescent="0.3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</row>
    <row r="707" spans="2:20" ht="15.75" customHeight="1" x14ac:dyDescent="0.3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</row>
    <row r="708" spans="2:20" ht="15.75" customHeight="1" x14ac:dyDescent="0.3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</row>
    <row r="709" spans="2:20" ht="15.75" customHeight="1" x14ac:dyDescent="0.3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</row>
    <row r="710" spans="2:20" ht="15.75" customHeight="1" x14ac:dyDescent="0.3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</row>
    <row r="711" spans="2:20" ht="15.75" customHeight="1" x14ac:dyDescent="0.3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</row>
    <row r="712" spans="2:20" ht="15.75" customHeight="1" x14ac:dyDescent="0.3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</row>
    <row r="713" spans="2:20" ht="15.75" customHeight="1" x14ac:dyDescent="0.3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</row>
    <row r="714" spans="2:20" ht="15.75" customHeight="1" x14ac:dyDescent="0.3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</row>
    <row r="715" spans="2:20" ht="15.75" customHeight="1" x14ac:dyDescent="0.3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</row>
    <row r="716" spans="2:20" ht="15.75" customHeight="1" x14ac:dyDescent="0.3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</row>
    <row r="717" spans="2:20" ht="15.75" customHeight="1" x14ac:dyDescent="0.3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</row>
    <row r="718" spans="2:20" ht="15.75" customHeight="1" x14ac:dyDescent="0.3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</row>
    <row r="719" spans="2:20" ht="15.75" customHeight="1" x14ac:dyDescent="0.3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</row>
    <row r="720" spans="2:20" ht="15.75" customHeight="1" x14ac:dyDescent="0.3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</row>
    <row r="721" spans="2:20" ht="15.75" customHeight="1" x14ac:dyDescent="0.3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</row>
    <row r="722" spans="2:20" ht="15.75" customHeight="1" x14ac:dyDescent="0.3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</row>
    <row r="723" spans="2:20" ht="15.75" customHeight="1" x14ac:dyDescent="0.3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</row>
    <row r="724" spans="2:20" ht="15.75" customHeight="1" x14ac:dyDescent="0.3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</row>
    <row r="725" spans="2:20" ht="15.75" customHeight="1" x14ac:dyDescent="0.3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</row>
    <row r="726" spans="2:20" ht="15.75" customHeight="1" x14ac:dyDescent="0.3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</row>
    <row r="727" spans="2:20" ht="15.75" customHeight="1" x14ac:dyDescent="0.3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</row>
    <row r="728" spans="2:20" ht="15.75" customHeight="1" x14ac:dyDescent="0.3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</row>
    <row r="729" spans="2:20" ht="15.75" customHeight="1" x14ac:dyDescent="0.3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</row>
    <row r="730" spans="2:20" ht="15.75" customHeight="1" x14ac:dyDescent="0.3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</row>
    <row r="731" spans="2:20" ht="15.75" customHeight="1" x14ac:dyDescent="0.3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</row>
    <row r="732" spans="2:20" ht="15.75" customHeight="1" x14ac:dyDescent="0.3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</row>
    <row r="733" spans="2:20" ht="15.75" customHeight="1" x14ac:dyDescent="0.3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</row>
    <row r="734" spans="2:20" ht="15.75" customHeight="1" x14ac:dyDescent="0.3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</row>
    <row r="735" spans="2:20" ht="15.75" customHeight="1" x14ac:dyDescent="0.3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</row>
    <row r="736" spans="2:20" ht="15.75" customHeight="1" x14ac:dyDescent="0.3"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</row>
    <row r="737" spans="2:20" ht="15.75" customHeight="1" x14ac:dyDescent="0.3"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</row>
    <row r="738" spans="2:20" ht="15.75" customHeight="1" x14ac:dyDescent="0.3"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</row>
    <row r="739" spans="2:20" ht="15.75" customHeight="1" x14ac:dyDescent="0.3"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</row>
    <row r="740" spans="2:20" ht="15.75" customHeight="1" x14ac:dyDescent="0.3"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</row>
    <row r="741" spans="2:20" ht="15.75" customHeight="1" x14ac:dyDescent="0.3"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</row>
    <row r="742" spans="2:20" ht="15.75" customHeight="1" x14ac:dyDescent="0.3"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</row>
    <row r="743" spans="2:20" ht="15.75" customHeight="1" x14ac:dyDescent="0.3"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</row>
    <row r="744" spans="2:20" ht="15.75" customHeight="1" x14ac:dyDescent="0.3"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</row>
    <row r="745" spans="2:20" ht="15.75" customHeight="1" x14ac:dyDescent="0.3"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</row>
    <row r="746" spans="2:20" ht="15.75" customHeight="1" x14ac:dyDescent="0.3"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</row>
    <row r="747" spans="2:20" ht="15.75" customHeight="1" x14ac:dyDescent="0.3"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</row>
    <row r="748" spans="2:20" ht="15.75" customHeight="1" x14ac:dyDescent="0.3"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</row>
    <row r="749" spans="2:20" ht="15.75" customHeight="1" x14ac:dyDescent="0.3"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</row>
    <row r="750" spans="2:20" ht="15.75" customHeight="1" x14ac:dyDescent="0.3"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</row>
    <row r="751" spans="2:20" ht="15.75" customHeight="1" x14ac:dyDescent="0.3"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</row>
    <row r="752" spans="2:20" ht="15.75" customHeight="1" x14ac:dyDescent="0.3"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</row>
    <row r="753" spans="2:20" ht="15.75" customHeight="1" x14ac:dyDescent="0.3"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</row>
    <row r="754" spans="2:20" ht="15.75" customHeight="1" x14ac:dyDescent="0.3"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</row>
    <row r="755" spans="2:20" ht="15.75" customHeight="1" x14ac:dyDescent="0.3"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</row>
    <row r="756" spans="2:20" ht="15.75" customHeight="1" x14ac:dyDescent="0.3"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</row>
    <row r="757" spans="2:20" ht="15.75" customHeight="1" x14ac:dyDescent="0.3"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</row>
    <row r="758" spans="2:20" ht="15.75" customHeight="1" x14ac:dyDescent="0.3"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</row>
    <row r="759" spans="2:20" ht="15.75" customHeight="1" x14ac:dyDescent="0.3"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</row>
    <row r="760" spans="2:20" ht="15.75" customHeight="1" x14ac:dyDescent="0.3"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</row>
    <row r="761" spans="2:20" ht="15.75" customHeight="1" x14ac:dyDescent="0.3"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</row>
    <row r="762" spans="2:20" ht="15.75" customHeight="1" x14ac:dyDescent="0.3"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</row>
    <row r="763" spans="2:20" ht="15.75" customHeight="1" x14ac:dyDescent="0.3"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</row>
    <row r="764" spans="2:20" ht="15.75" customHeight="1" x14ac:dyDescent="0.3"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</row>
    <row r="765" spans="2:20" ht="15.75" customHeight="1" x14ac:dyDescent="0.3"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</row>
    <row r="766" spans="2:20" ht="15.75" customHeight="1" x14ac:dyDescent="0.3"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</row>
    <row r="767" spans="2:20" ht="15.75" customHeight="1" x14ac:dyDescent="0.3"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</row>
    <row r="768" spans="2:20" ht="15.75" customHeight="1" x14ac:dyDescent="0.3"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</row>
    <row r="769" spans="2:20" ht="15.75" customHeight="1" x14ac:dyDescent="0.3"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</row>
    <row r="770" spans="2:20" ht="15.75" customHeight="1" x14ac:dyDescent="0.3"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</row>
    <row r="771" spans="2:20" ht="15.75" customHeight="1" x14ac:dyDescent="0.3"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</row>
    <row r="772" spans="2:20" ht="15.75" customHeight="1" x14ac:dyDescent="0.3"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</row>
    <row r="773" spans="2:20" ht="15.75" customHeight="1" x14ac:dyDescent="0.3"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</row>
    <row r="774" spans="2:20" ht="15.75" customHeight="1" x14ac:dyDescent="0.3"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</row>
    <row r="775" spans="2:20" ht="15.75" customHeight="1" x14ac:dyDescent="0.3"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</row>
    <row r="776" spans="2:20" ht="15.75" customHeight="1" x14ac:dyDescent="0.3"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</row>
    <row r="777" spans="2:20" ht="15.75" customHeight="1" x14ac:dyDescent="0.3"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</row>
    <row r="778" spans="2:20" ht="15.75" customHeight="1" x14ac:dyDescent="0.3"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</row>
    <row r="779" spans="2:20" ht="15.75" customHeight="1" x14ac:dyDescent="0.3"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</row>
    <row r="780" spans="2:20" ht="15.75" customHeight="1" x14ac:dyDescent="0.3"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</row>
    <row r="781" spans="2:20" ht="15.75" customHeight="1" x14ac:dyDescent="0.3"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</row>
    <row r="782" spans="2:20" ht="15.75" customHeight="1" x14ac:dyDescent="0.3"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</row>
    <row r="783" spans="2:20" ht="15.75" customHeight="1" x14ac:dyDescent="0.3"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</row>
    <row r="784" spans="2:20" ht="15.75" customHeight="1" x14ac:dyDescent="0.3"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</row>
    <row r="785" spans="2:20" ht="15.75" customHeight="1" x14ac:dyDescent="0.3"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</row>
    <row r="786" spans="2:20" ht="15.75" customHeight="1" x14ac:dyDescent="0.3"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</row>
    <row r="787" spans="2:20" ht="15.75" customHeight="1" x14ac:dyDescent="0.3"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</row>
    <row r="788" spans="2:20" ht="15.75" customHeight="1" x14ac:dyDescent="0.3"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</row>
    <row r="789" spans="2:20" ht="15.75" customHeight="1" x14ac:dyDescent="0.3"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</row>
    <row r="790" spans="2:20" ht="15.75" customHeight="1" x14ac:dyDescent="0.3"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</row>
    <row r="791" spans="2:20" ht="15.75" customHeight="1" x14ac:dyDescent="0.3"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</row>
    <row r="792" spans="2:20" ht="15.75" customHeight="1" x14ac:dyDescent="0.3"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</row>
    <row r="793" spans="2:20" ht="15.75" customHeight="1" x14ac:dyDescent="0.3"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</row>
    <row r="794" spans="2:20" ht="15.75" customHeight="1" x14ac:dyDescent="0.3"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</row>
    <row r="795" spans="2:20" ht="15.75" customHeight="1" x14ac:dyDescent="0.3"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</row>
    <row r="796" spans="2:20" ht="15.75" customHeight="1" x14ac:dyDescent="0.3"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</row>
    <row r="797" spans="2:20" ht="15.75" customHeight="1" x14ac:dyDescent="0.3"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</row>
    <row r="798" spans="2:20" ht="15.75" customHeight="1" x14ac:dyDescent="0.3"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</row>
    <row r="799" spans="2:20" ht="15.75" customHeight="1" x14ac:dyDescent="0.3"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</row>
    <row r="800" spans="2:20" ht="15.75" customHeight="1" x14ac:dyDescent="0.3"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</row>
    <row r="801" spans="2:20" ht="15.75" customHeight="1" x14ac:dyDescent="0.3"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</row>
    <row r="802" spans="2:20" ht="15.75" customHeight="1" x14ac:dyDescent="0.3"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</row>
    <row r="803" spans="2:20" ht="15.75" customHeight="1" x14ac:dyDescent="0.3"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</row>
    <row r="804" spans="2:20" ht="15.75" customHeight="1" x14ac:dyDescent="0.3"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</row>
    <row r="805" spans="2:20" ht="15.75" customHeight="1" x14ac:dyDescent="0.3"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</row>
    <row r="806" spans="2:20" ht="15.75" customHeight="1" x14ac:dyDescent="0.3"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</row>
    <row r="807" spans="2:20" ht="15.75" customHeight="1" x14ac:dyDescent="0.3"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</row>
    <row r="808" spans="2:20" ht="15.75" customHeight="1" x14ac:dyDescent="0.3"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</row>
    <row r="809" spans="2:20" ht="15.75" customHeight="1" x14ac:dyDescent="0.3"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</row>
    <row r="810" spans="2:20" ht="15.75" customHeight="1" x14ac:dyDescent="0.3"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</row>
    <row r="811" spans="2:20" ht="15.75" customHeight="1" x14ac:dyDescent="0.3"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</row>
    <row r="812" spans="2:20" ht="15.75" customHeight="1" x14ac:dyDescent="0.3"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</row>
    <row r="813" spans="2:20" ht="15.75" customHeight="1" x14ac:dyDescent="0.3"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</row>
    <row r="814" spans="2:20" ht="15.75" customHeight="1" x14ac:dyDescent="0.3"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</row>
    <row r="815" spans="2:20" ht="15.75" customHeight="1" x14ac:dyDescent="0.3"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</row>
    <row r="816" spans="2:20" ht="15.75" customHeight="1" x14ac:dyDescent="0.3"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</row>
    <row r="817" spans="2:20" ht="15.75" customHeight="1" x14ac:dyDescent="0.3"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</row>
    <row r="818" spans="2:20" ht="15.75" customHeight="1" x14ac:dyDescent="0.3"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</row>
    <row r="819" spans="2:20" ht="15.75" customHeight="1" x14ac:dyDescent="0.3"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</row>
    <row r="820" spans="2:20" ht="15.75" customHeight="1" x14ac:dyDescent="0.3"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</row>
    <row r="821" spans="2:20" ht="15.75" customHeight="1" x14ac:dyDescent="0.3"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</row>
    <row r="822" spans="2:20" ht="15.75" customHeight="1" x14ac:dyDescent="0.3"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</row>
    <row r="823" spans="2:20" ht="15.75" customHeight="1" x14ac:dyDescent="0.3"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</row>
    <row r="824" spans="2:20" ht="15.75" customHeight="1" x14ac:dyDescent="0.3"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</row>
    <row r="825" spans="2:20" ht="15.75" customHeight="1" x14ac:dyDescent="0.3"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</row>
    <row r="826" spans="2:20" ht="15.75" customHeight="1" x14ac:dyDescent="0.3"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</row>
    <row r="827" spans="2:20" ht="15.75" customHeight="1" x14ac:dyDescent="0.3"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</row>
    <row r="828" spans="2:20" ht="15.75" customHeight="1" x14ac:dyDescent="0.3"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</row>
    <row r="829" spans="2:20" ht="15.75" customHeight="1" x14ac:dyDescent="0.3"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</row>
    <row r="830" spans="2:20" ht="15.75" customHeight="1" x14ac:dyDescent="0.3"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</row>
    <row r="831" spans="2:20" ht="15.75" customHeight="1" x14ac:dyDescent="0.3"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</row>
    <row r="832" spans="2:20" ht="15.75" customHeight="1" x14ac:dyDescent="0.3"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</row>
    <row r="833" spans="2:20" ht="15.75" customHeight="1" x14ac:dyDescent="0.3"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</row>
    <row r="834" spans="2:20" ht="15.75" customHeight="1" x14ac:dyDescent="0.3"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</row>
    <row r="835" spans="2:20" ht="15.75" customHeight="1" x14ac:dyDescent="0.3"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</row>
    <row r="836" spans="2:20" ht="15.75" customHeight="1" x14ac:dyDescent="0.3"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</row>
    <row r="837" spans="2:20" ht="15.75" customHeight="1" x14ac:dyDescent="0.3"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</row>
    <row r="838" spans="2:20" ht="15.75" customHeight="1" x14ac:dyDescent="0.3"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</row>
    <row r="839" spans="2:20" ht="15.75" customHeight="1" x14ac:dyDescent="0.3"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</row>
    <row r="840" spans="2:20" ht="15.75" customHeight="1" x14ac:dyDescent="0.3"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</row>
    <row r="841" spans="2:20" ht="15.75" customHeight="1" x14ac:dyDescent="0.3"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</row>
    <row r="842" spans="2:20" ht="15.75" customHeight="1" x14ac:dyDescent="0.3"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</row>
    <row r="843" spans="2:20" ht="15.75" customHeight="1" x14ac:dyDescent="0.3"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</row>
    <row r="844" spans="2:20" ht="15.75" customHeight="1" x14ac:dyDescent="0.3"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</row>
    <row r="845" spans="2:20" ht="15.75" customHeight="1" x14ac:dyDescent="0.3"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</row>
    <row r="846" spans="2:20" ht="15.75" customHeight="1" x14ac:dyDescent="0.3"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</row>
    <row r="847" spans="2:20" ht="15.75" customHeight="1" x14ac:dyDescent="0.3"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</row>
    <row r="848" spans="2:20" ht="15.75" customHeight="1" x14ac:dyDescent="0.3"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</row>
    <row r="849" spans="2:20" ht="15.75" customHeight="1" x14ac:dyDescent="0.3"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</row>
    <row r="850" spans="2:20" ht="15.75" customHeight="1" x14ac:dyDescent="0.3"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</row>
    <row r="851" spans="2:20" ht="15.75" customHeight="1" x14ac:dyDescent="0.3"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</row>
    <row r="852" spans="2:20" ht="15.75" customHeight="1" x14ac:dyDescent="0.3"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</row>
    <row r="853" spans="2:20" ht="15.75" customHeight="1" x14ac:dyDescent="0.3"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</row>
    <row r="854" spans="2:20" ht="15.75" customHeight="1" x14ac:dyDescent="0.3"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</row>
    <row r="855" spans="2:20" ht="15.75" customHeight="1" x14ac:dyDescent="0.3"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</row>
    <row r="856" spans="2:20" ht="15.75" customHeight="1" x14ac:dyDescent="0.3"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</row>
    <row r="857" spans="2:20" ht="15.75" customHeight="1" x14ac:dyDescent="0.3"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</row>
    <row r="858" spans="2:20" ht="15.75" customHeight="1" x14ac:dyDescent="0.3"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</row>
    <row r="859" spans="2:20" ht="15.75" customHeight="1" x14ac:dyDescent="0.3"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</row>
    <row r="860" spans="2:20" ht="15.75" customHeight="1" x14ac:dyDescent="0.3"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</row>
    <row r="861" spans="2:20" ht="15.75" customHeight="1" x14ac:dyDescent="0.3"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</row>
    <row r="862" spans="2:20" ht="15.75" customHeight="1" x14ac:dyDescent="0.3"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</row>
    <row r="863" spans="2:20" ht="15.75" customHeight="1" x14ac:dyDescent="0.3"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</row>
    <row r="864" spans="2:20" ht="15.75" customHeight="1" x14ac:dyDescent="0.3"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</row>
    <row r="865" spans="2:20" ht="15.75" customHeight="1" x14ac:dyDescent="0.3"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</row>
    <row r="866" spans="2:20" ht="15.75" customHeight="1" x14ac:dyDescent="0.3"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</row>
    <row r="867" spans="2:20" ht="15.75" customHeight="1" x14ac:dyDescent="0.3"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</row>
    <row r="868" spans="2:20" ht="15.75" customHeight="1" x14ac:dyDescent="0.3"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</row>
    <row r="869" spans="2:20" ht="15.75" customHeight="1" x14ac:dyDescent="0.3"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</row>
    <row r="870" spans="2:20" ht="15.75" customHeight="1" x14ac:dyDescent="0.3"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</row>
    <row r="871" spans="2:20" ht="15.75" customHeight="1" x14ac:dyDescent="0.3"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</row>
    <row r="872" spans="2:20" ht="15.75" customHeight="1" x14ac:dyDescent="0.3"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</row>
    <row r="873" spans="2:20" ht="15.75" customHeight="1" x14ac:dyDescent="0.3"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</row>
    <row r="874" spans="2:20" ht="15.75" customHeight="1" x14ac:dyDescent="0.3"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</row>
    <row r="875" spans="2:20" ht="15.75" customHeight="1" x14ac:dyDescent="0.3"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</row>
    <row r="876" spans="2:20" ht="15.75" customHeight="1" x14ac:dyDescent="0.3"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</row>
    <row r="877" spans="2:20" ht="15.75" customHeight="1" x14ac:dyDescent="0.3"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</row>
    <row r="878" spans="2:20" ht="15.75" customHeight="1" x14ac:dyDescent="0.3"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</row>
    <row r="879" spans="2:20" ht="15.75" customHeight="1" x14ac:dyDescent="0.3"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</row>
    <row r="880" spans="2:20" ht="15.75" customHeight="1" x14ac:dyDescent="0.3"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</row>
    <row r="881" spans="2:20" ht="15.75" customHeight="1" x14ac:dyDescent="0.3"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</row>
    <row r="882" spans="2:20" ht="15.75" customHeight="1" x14ac:dyDescent="0.3"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</row>
    <row r="883" spans="2:20" ht="15.75" customHeight="1" x14ac:dyDescent="0.3"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</row>
    <row r="884" spans="2:20" ht="15.75" customHeight="1" x14ac:dyDescent="0.3"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</row>
    <row r="885" spans="2:20" ht="15.75" customHeight="1" x14ac:dyDescent="0.3"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</row>
    <row r="886" spans="2:20" ht="15.75" customHeight="1" x14ac:dyDescent="0.3"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</row>
    <row r="887" spans="2:20" ht="15.75" customHeight="1" x14ac:dyDescent="0.3"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</row>
    <row r="888" spans="2:20" ht="15.75" customHeight="1" x14ac:dyDescent="0.3"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</row>
    <row r="889" spans="2:20" ht="15.75" customHeight="1" x14ac:dyDescent="0.3"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</row>
    <row r="890" spans="2:20" ht="15.75" customHeight="1" x14ac:dyDescent="0.3"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</row>
    <row r="891" spans="2:20" ht="15.75" customHeight="1" x14ac:dyDescent="0.3"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</row>
    <row r="892" spans="2:20" ht="15.75" customHeight="1" x14ac:dyDescent="0.3"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</row>
    <row r="893" spans="2:20" ht="15.75" customHeight="1" x14ac:dyDescent="0.3"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</row>
    <row r="894" spans="2:20" ht="15.75" customHeight="1" x14ac:dyDescent="0.3"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</row>
    <row r="895" spans="2:20" ht="15.75" customHeight="1" x14ac:dyDescent="0.3"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</row>
    <row r="896" spans="2:20" ht="15.75" customHeight="1" x14ac:dyDescent="0.3"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</row>
    <row r="897" spans="2:20" ht="15.75" customHeight="1" x14ac:dyDescent="0.3"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</row>
    <row r="898" spans="2:20" ht="15.75" customHeight="1" x14ac:dyDescent="0.3"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</row>
    <row r="899" spans="2:20" ht="15.75" customHeight="1" x14ac:dyDescent="0.3"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</row>
    <row r="900" spans="2:20" ht="15.75" customHeight="1" x14ac:dyDescent="0.3"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</row>
    <row r="901" spans="2:20" ht="15.75" customHeight="1" x14ac:dyDescent="0.3"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</row>
    <row r="902" spans="2:20" ht="15.75" customHeight="1" x14ac:dyDescent="0.3"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</row>
    <row r="903" spans="2:20" ht="15.75" customHeight="1" x14ac:dyDescent="0.3"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</row>
    <row r="904" spans="2:20" ht="15.75" customHeight="1" x14ac:dyDescent="0.3"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</row>
    <row r="905" spans="2:20" ht="15.75" customHeight="1" x14ac:dyDescent="0.3"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</row>
    <row r="906" spans="2:20" ht="15.75" customHeight="1" x14ac:dyDescent="0.3"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</row>
    <row r="907" spans="2:20" ht="15.75" customHeight="1" x14ac:dyDescent="0.3"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</row>
    <row r="908" spans="2:20" ht="15.75" customHeight="1" x14ac:dyDescent="0.3"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</row>
    <row r="909" spans="2:20" ht="15.75" customHeight="1" x14ac:dyDescent="0.3"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</row>
    <row r="910" spans="2:20" ht="15.75" customHeight="1" x14ac:dyDescent="0.3"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</row>
    <row r="911" spans="2:20" ht="15.75" customHeight="1" x14ac:dyDescent="0.3"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</row>
    <row r="912" spans="2:20" ht="15.75" customHeight="1" x14ac:dyDescent="0.3"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</row>
    <row r="913" spans="2:20" ht="15.75" customHeight="1" x14ac:dyDescent="0.3"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</row>
    <row r="914" spans="2:20" ht="15.75" customHeight="1" x14ac:dyDescent="0.3"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</row>
    <row r="915" spans="2:20" ht="15.75" customHeight="1" x14ac:dyDescent="0.3"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</row>
    <row r="916" spans="2:20" ht="15.75" customHeight="1" x14ac:dyDescent="0.3"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</row>
    <row r="917" spans="2:20" ht="15.75" customHeight="1" x14ac:dyDescent="0.3"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</row>
    <row r="918" spans="2:20" ht="15.75" customHeight="1" x14ac:dyDescent="0.3"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</row>
    <row r="919" spans="2:20" ht="15.75" customHeight="1" x14ac:dyDescent="0.3"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</row>
    <row r="920" spans="2:20" ht="15.75" customHeight="1" x14ac:dyDescent="0.3"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</row>
    <row r="921" spans="2:20" ht="15.75" customHeight="1" x14ac:dyDescent="0.3"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</row>
    <row r="922" spans="2:20" ht="15.75" customHeight="1" x14ac:dyDescent="0.3"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</row>
    <row r="923" spans="2:20" ht="15.75" customHeight="1" x14ac:dyDescent="0.3"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</row>
    <row r="924" spans="2:20" ht="15.75" customHeight="1" x14ac:dyDescent="0.3"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</row>
    <row r="925" spans="2:20" ht="15.75" customHeight="1" x14ac:dyDescent="0.3"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</row>
    <row r="926" spans="2:20" ht="15.75" customHeight="1" x14ac:dyDescent="0.3"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</row>
    <row r="927" spans="2:20" ht="15.75" customHeight="1" x14ac:dyDescent="0.3"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</row>
    <row r="928" spans="2:20" ht="15.75" customHeight="1" x14ac:dyDescent="0.3"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</row>
    <row r="929" spans="2:20" ht="15.75" customHeight="1" x14ac:dyDescent="0.3"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</row>
    <row r="930" spans="2:20" ht="15.75" customHeight="1" x14ac:dyDescent="0.3"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</row>
    <row r="931" spans="2:20" ht="15.75" customHeight="1" x14ac:dyDescent="0.3"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</row>
    <row r="932" spans="2:20" ht="15.75" customHeight="1" x14ac:dyDescent="0.3"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</row>
    <row r="933" spans="2:20" ht="15.75" customHeight="1" x14ac:dyDescent="0.3"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</row>
    <row r="934" spans="2:20" ht="15.75" customHeight="1" x14ac:dyDescent="0.3"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</row>
    <row r="935" spans="2:20" ht="15.75" customHeight="1" x14ac:dyDescent="0.3"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</row>
    <row r="936" spans="2:20" ht="15.75" customHeight="1" x14ac:dyDescent="0.3"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</row>
    <row r="937" spans="2:20" ht="15.75" customHeight="1" x14ac:dyDescent="0.3"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</row>
    <row r="938" spans="2:20" ht="15.75" customHeight="1" x14ac:dyDescent="0.3"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</row>
    <row r="939" spans="2:20" ht="15.75" customHeight="1" x14ac:dyDescent="0.3"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</row>
    <row r="940" spans="2:20" ht="15.75" customHeight="1" x14ac:dyDescent="0.3"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</row>
    <row r="941" spans="2:20" ht="15.75" customHeight="1" x14ac:dyDescent="0.3"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</row>
    <row r="942" spans="2:20" ht="15.75" customHeight="1" x14ac:dyDescent="0.3"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</row>
    <row r="943" spans="2:20" ht="15.75" customHeight="1" x14ac:dyDescent="0.3"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</row>
    <row r="944" spans="2:20" ht="15.75" customHeight="1" x14ac:dyDescent="0.3"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</row>
    <row r="945" spans="2:20" ht="15.75" customHeight="1" x14ac:dyDescent="0.3"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</row>
    <row r="946" spans="2:20" ht="15.75" customHeight="1" x14ac:dyDescent="0.3"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</row>
    <row r="947" spans="2:20" ht="15.75" customHeight="1" x14ac:dyDescent="0.3"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</row>
    <row r="948" spans="2:20" ht="15.75" customHeight="1" x14ac:dyDescent="0.3"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</row>
    <row r="949" spans="2:20" ht="15.75" customHeight="1" x14ac:dyDescent="0.3"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</row>
    <row r="950" spans="2:20" ht="15.75" customHeight="1" x14ac:dyDescent="0.3"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</row>
    <row r="951" spans="2:20" ht="15.75" customHeight="1" x14ac:dyDescent="0.3"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</row>
    <row r="952" spans="2:20" ht="15.75" customHeight="1" x14ac:dyDescent="0.3"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</row>
    <row r="953" spans="2:20" ht="15.75" customHeight="1" x14ac:dyDescent="0.3"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</row>
    <row r="954" spans="2:20" ht="15.75" customHeight="1" x14ac:dyDescent="0.3"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</row>
    <row r="955" spans="2:20" ht="15.75" customHeight="1" x14ac:dyDescent="0.3"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</row>
    <row r="956" spans="2:20" ht="15.75" customHeight="1" x14ac:dyDescent="0.3"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</row>
    <row r="957" spans="2:20" ht="15.75" customHeight="1" x14ac:dyDescent="0.3"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</row>
    <row r="958" spans="2:20" ht="15.75" customHeight="1" x14ac:dyDescent="0.3"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</row>
    <row r="959" spans="2:20" ht="15.75" customHeight="1" x14ac:dyDescent="0.3"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</row>
    <row r="960" spans="2:20" ht="15.75" customHeight="1" x14ac:dyDescent="0.3"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</row>
    <row r="961" spans="2:20" ht="15.75" customHeight="1" x14ac:dyDescent="0.3"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</row>
    <row r="962" spans="2:20" ht="15.75" customHeight="1" x14ac:dyDescent="0.3"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</row>
    <row r="963" spans="2:20" ht="15.75" customHeight="1" x14ac:dyDescent="0.3"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</row>
    <row r="964" spans="2:20" ht="15.75" customHeight="1" x14ac:dyDescent="0.3"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</row>
    <row r="965" spans="2:20" ht="15.75" customHeight="1" x14ac:dyDescent="0.3"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</row>
    <row r="966" spans="2:20" ht="15.75" customHeight="1" x14ac:dyDescent="0.3"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</row>
    <row r="967" spans="2:20" ht="15.75" customHeight="1" x14ac:dyDescent="0.3"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</row>
    <row r="968" spans="2:20" ht="15.75" customHeight="1" x14ac:dyDescent="0.3"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</row>
    <row r="969" spans="2:20" ht="15.75" customHeight="1" x14ac:dyDescent="0.3"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</row>
    <row r="970" spans="2:20" ht="15.75" customHeight="1" x14ac:dyDescent="0.3"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</row>
    <row r="971" spans="2:20" ht="15.75" customHeight="1" x14ac:dyDescent="0.3"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</row>
    <row r="972" spans="2:20" ht="15.75" customHeight="1" x14ac:dyDescent="0.3"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</row>
    <row r="973" spans="2:20" ht="15.75" customHeight="1" x14ac:dyDescent="0.3"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</row>
    <row r="974" spans="2:20" ht="15.75" customHeight="1" x14ac:dyDescent="0.3"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</row>
    <row r="975" spans="2:20" ht="15.75" customHeight="1" x14ac:dyDescent="0.3"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</row>
    <row r="976" spans="2:20" ht="15.75" customHeight="1" x14ac:dyDescent="0.3"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</row>
    <row r="977" spans="2:20" ht="15.75" customHeight="1" x14ac:dyDescent="0.3"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</row>
    <row r="978" spans="2:20" ht="15.75" customHeight="1" x14ac:dyDescent="0.3"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</row>
    <row r="979" spans="2:20" ht="15.75" customHeight="1" x14ac:dyDescent="0.3"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</row>
    <row r="980" spans="2:20" ht="15.75" customHeight="1" x14ac:dyDescent="0.3"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</row>
    <row r="981" spans="2:20" ht="15.75" customHeight="1" x14ac:dyDescent="0.3"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</row>
    <row r="982" spans="2:20" ht="15.75" customHeight="1" x14ac:dyDescent="0.3"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</row>
    <row r="983" spans="2:20" ht="15.75" customHeight="1" x14ac:dyDescent="0.3"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</row>
    <row r="984" spans="2:20" ht="15.75" customHeight="1" x14ac:dyDescent="0.3"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</row>
    <row r="985" spans="2:20" ht="15.75" customHeight="1" x14ac:dyDescent="0.3"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</row>
    <row r="986" spans="2:20" ht="15.75" customHeight="1" x14ac:dyDescent="0.3"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</row>
    <row r="987" spans="2:20" ht="15.75" customHeight="1" x14ac:dyDescent="0.3"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</row>
    <row r="988" spans="2:20" ht="15.75" customHeight="1" x14ac:dyDescent="0.3"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</row>
    <row r="989" spans="2:20" ht="15.75" customHeight="1" x14ac:dyDescent="0.3"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</row>
    <row r="990" spans="2:20" ht="15.75" customHeight="1" x14ac:dyDescent="0.3"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</row>
    <row r="991" spans="2:20" ht="15.75" customHeight="1" x14ac:dyDescent="0.3"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</row>
    <row r="992" spans="2:20" ht="15.75" customHeight="1" x14ac:dyDescent="0.3"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</row>
    <row r="993" spans="2:20" ht="15.75" customHeight="1" x14ac:dyDescent="0.3"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</row>
    <row r="994" spans="2:20" ht="15.75" customHeight="1" x14ac:dyDescent="0.3"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</row>
    <row r="995" spans="2:20" ht="15.75" customHeight="1" x14ac:dyDescent="0.3"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</row>
    <row r="996" spans="2:20" ht="15.75" customHeight="1" x14ac:dyDescent="0.3"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</row>
    <row r="997" spans="2:20" ht="15.75" customHeight="1" x14ac:dyDescent="0.3"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</row>
    <row r="998" spans="2:20" ht="15.75" customHeight="1" x14ac:dyDescent="0.3"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</row>
    <row r="999" spans="2:20" ht="15.75" customHeight="1" x14ac:dyDescent="0.3"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</row>
    <row r="1000" spans="2:20" ht="15.75" customHeight="1" x14ac:dyDescent="0.3"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</row>
  </sheetData>
  <mergeCells count="8">
    <mergeCell ref="C8:K8"/>
    <mergeCell ref="M21:T23"/>
    <mergeCell ref="B30:K30"/>
    <mergeCell ref="B2:K2"/>
    <mergeCell ref="B3:K3"/>
    <mergeCell ref="B4:K4"/>
    <mergeCell ref="B6:K6"/>
    <mergeCell ref="B7:K7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6407D-149A-4DE3-912F-641E704A880A}">
  <dimension ref="B1:Y999"/>
  <sheetViews>
    <sheetView showGridLines="0" workbookViewId="0">
      <pane ySplit="5" topLeftCell="A6" activePane="bottomLeft" state="frozen"/>
      <selection pane="bottomLeft" activeCell="H18" sqref="H18"/>
    </sheetView>
  </sheetViews>
  <sheetFormatPr baseColWidth="10" defaultColWidth="12.6640625" defaultRowHeight="15" customHeight="1" x14ac:dyDescent="0.3"/>
  <cols>
    <col min="1" max="1" width="10.6640625" customWidth="1"/>
    <col min="2" max="2" width="6.77734375" customWidth="1"/>
    <col min="3" max="3" width="29.88671875" customWidth="1"/>
    <col min="4" max="4" width="10.77734375" customWidth="1"/>
    <col min="5" max="5" width="28" customWidth="1"/>
    <col min="6" max="15" width="11.88671875" customWidth="1"/>
    <col min="16" max="23" width="11.6640625" customWidth="1"/>
    <col min="24" max="25" width="11.33203125" customWidth="1"/>
    <col min="26" max="26" width="10.6640625" customWidth="1"/>
  </cols>
  <sheetData>
    <row r="1" spans="2:25" thickBot="1" x14ac:dyDescent="0.35">
      <c r="B1" s="2"/>
      <c r="C1" s="4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8"/>
    </row>
    <row r="2" spans="2:25" ht="35.4" thickBot="1" x14ac:dyDescent="0.35">
      <c r="B2" s="2"/>
      <c r="C2" s="208" t="s">
        <v>831</v>
      </c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7"/>
      <c r="O2" s="2"/>
    </row>
    <row r="3" spans="2:25" ht="29.4" thickBot="1" x14ac:dyDescent="0.35">
      <c r="B3" s="2"/>
      <c r="C3" s="209" t="s">
        <v>4</v>
      </c>
      <c r="D3" s="197"/>
      <c r="E3" s="197"/>
      <c r="F3" s="197"/>
      <c r="G3" s="197"/>
      <c r="H3" s="197"/>
      <c r="I3" s="197"/>
      <c r="J3" s="197"/>
      <c r="K3" s="197"/>
      <c r="L3" s="197"/>
      <c r="M3" s="197"/>
      <c r="N3" s="198"/>
      <c r="O3" s="39"/>
    </row>
    <row r="4" spans="2:25" ht="21" thickBot="1" x14ac:dyDescent="0.75">
      <c r="B4" s="38"/>
      <c r="C4" s="40" t="s">
        <v>6</v>
      </c>
      <c r="D4" s="41"/>
      <c r="E4" s="41"/>
      <c r="F4" s="42">
        <v>1</v>
      </c>
      <c r="G4" s="42">
        <v>2</v>
      </c>
      <c r="H4" s="42">
        <v>3</v>
      </c>
      <c r="I4" s="42">
        <v>4</v>
      </c>
      <c r="J4" s="42">
        <v>5</v>
      </c>
      <c r="K4" s="42">
        <v>6</v>
      </c>
      <c r="L4" s="42">
        <v>7</v>
      </c>
      <c r="M4" s="42">
        <v>8</v>
      </c>
      <c r="N4" s="43">
        <v>9</v>
      </c>
      <c r="O4" s="44"/>
    </row>
    <row r="5" spans="2:25" ht="21" thickBot="1" x14ac:dyDescent="0.35">
      <c r="B5" s="2"/>
      <c r="C5" s="45" t="s">
        <v>70</v>
      </c>
      <c r="D5" s="46" t="s">
        <v>71</v>
      </c>
      <c r="E5" s="47" t="s">
        <v>72</v>
      </c>
      <c r="F5" s="48" t="s">
        <v>10</v>
      </c>
      <c r="G5" s="48" t="s">
        <v>11</v>
      </c>
      <c r="H5" s="48" t="s">
        <v>12</v>
      </c>
      <c r="I5" s="49" t="s">
        <v>13</v>
      </c>
      <c r="J5" s="49" t="s">
        <v>14</v>
      </c>
      <c r="K5" s="50" t="s">
        <v>15</v>
      </c>
      <c r="L5" s="50" t="s">
        <v>16</v>
      </c>
      <c r="M5" s="48" t="s">
        <v>17</v>
      </c>
      <c r="N5" s="51" t="s">
        <v>18</v>
      </c>
      <c r="O5" s="52"/>
    </row>
    <row r="6" spans="2:25" ht="20.399999999999999" x14ac:dyDescent="0.3">
      <c r="B6" s="2"/>
      <c r="C6" s="53" t="s">
        <v>74</v>
      </c>
      <c r="D6" s="54" t="s">
        <v>75</v>
      </c>
      <c r="E6" s="55" t="s">
        <v>32</v>
      </c>
      <c r="F6" s="56">
        <v>2932</v>
      </c>
      <c r="G6" s="57">
        <v>3041</v>
      </c>
      <c r="H6" s="57">
        <v>3237</v>
      </c>
      <c r="I6" s="57">
        <v>3524</v>
      </c>
      <c r="J6" s="57">
        <v>4081</v>
      </c>
      <c r="K6" s="57">
        <v>4439</v>
      </c>
      <c r="L6" s="57">
        <v>5197</v>
      </c>
      <c r="M6" s="58">
        <v>300</v>
      </c>
      <c r="N6" s="59">
        <v>229</v>
      </c>
      <c r="O6" s="60"/>
      <c r="P6" t="s">
        <v>830</v>
      </c>
    </row>
    <row r="7" spans="2:25" ht="20.399999999999999" x14ac:dyDescent="0.3">
      <c r="B7" s="2"/>
      <c r="C7" s="61" t="s">
        <v>74</v>
      </c>
      <c r="D7" s="62" t="s">
        <v>76</v>
      </c>
      <c r="E7" s="63" t="s">
        <v>77</v>
      </c>
      <c r="F7" s="64">
        <v>2932</v>
      </c>
      <c r="G7" s="65">
        <v>3041</v>
      </c>
      <c r="H7" s="65">
        <v>3237</v>
      </c>
      <c r="I7" s="65">
        <v>3524</v>
      </c>
      <c r="J7" s="65">
        <v>4081</v>
      </c>
      <c r="K7" s="65">
        <v>4439</v>
      </c>
      <c r="L7" s="65">
        <v>5197</v>
      </c>
      <c r="M7" s="66">
        <v>300</v>
      </c>
      <c r="N7" s="67">
        <v>229</v>
      </c>
      <c r="O7" s="60"/>
      <c r="P7" s="153">
        <v>3.2000000000000001E-2</v>
      </c>
      <c r="Q7">
        <v>1.032</v>
      </c>
    </row>
    <row r="8" spans="2:25" ht="20.399999999999999" x14ac:dyDescent="0.3">
      <c r="B8" s="2"/>
      <c r="C8" s="61" t="s">
        <v>74</v>
      </c>
      <c r="D8" s="62" t="s">
        <v>78</v>
      </c>
      <c r="E8" s="63" t="s">
        <v>79</v>
      </c>
      <c r="F8" s="64">
        <v>2932</v>
      </c>
      <c r="G8" s="65">
        <v>3041</v>
      </c>
      <c r="H8" s="65">
        <v>3237</v>
      </c>
      <c r="I8" s="65">
        <v>3524</v>
      </c>
      <c r="J8" s="65">
        <v>4081</v>
      </c>
      <c r="K8" s="65">
        <v>4439</v>
      </c>
      <c r="L8" s="65">
        <v>5197</v>
      </c>
      <c r="M8" s="66">
        <v>300</v>
      </c>
      <c r="N8" s="67">
        <v>229</v>
      </c>
      <c r="O8" s="60"/>
    </row>
    <row r="9" spans="2:25" ht="20.399999999999999" x14ac:dyDescent="0.3">
      <c r="B9" s="2"/>
      <c r="C9" s="61" t="s">
        <v>74</v>
      </c>
      <c r="D9" s="62" t="s">
        <v>80</v>
      </c>
      <c r="E9" s="63" t="s">
        <v>81</v>
      </c>
      <c r="F9" s="64">
        <v>2932</v>
      </c>
      <c r="G9" s="65">
        <v>3041</v>
      </c>
      <c r="H9" s="65">
        <v>3237</v>
      </c>
      <c r="I9" s="65">
        <v>3524</v>
      </c>
      <c r="J9" s="65">
        <v>4081</v>
      </c>
      <c r="K9" s="65">
        <v>4439</v>
      </c>
      <c r="L9" s="65">
        <v>5197</v>
      </c>
      <c r="M9" s="66">
        <v>300</v>
      </c>
      <c r="N9" s="67">
        <v>229</v>
      </c>
      <c r="O9" s="60"/>
    </row>
    <row r="10" spans="2:25" ht="20.399999999999999" x14ac:dyDescent="0.3">
      <c r="B10" s="2"/>
      <c r="C10" s="61" t="s">
        <v>74</v>
      </c>
      <c r="D10" s="62" t="s">
        <v>82</v>
      </c>
      <c r="E10" s="63" t="s">
        <v>83</v>
      </c>
      <c r="F10" s="64">
        <v>2932</v>
      </c>
      <c r="G10" s="65">
        <v>3041</v>
      </c>
      <c r="H10" s="65">
        <v>3237</v>
      </c>
      <c r="I10" s="65">
        <v>3524</v>
      </c>
      <c r="J10" s="65">
        <v>4081</v>
      </c>
      <c r="K10" s="65">
        <v>4439</v>
      </c>
      <c r="L10" s="65">
        <v>5197</v>
      </c>
      <c r="M10" s="66">
        <v>300</v>
      </c>
      <c r="N10" s="67">
        <v>229</v>
      </c>
      <c r="O10" s="60"/>
    </row>
    <row r="11" spans="2:25" ht="20.399999999999999" x14ac:dyDescent="0.3">
      <c r="B11" s="2"/>
      <c r="C11" s="61" t="s">
        <v>74</v>
      </c>
      <c r="D11" s="62" t="s">
        <v>84</v>
      </c>
      <c r="E11" s="63" t="s">
        <v>85</v>
      </c>
      <c r="F11" s="64">
        <v>2932</v>
      </c>
      <c r="G11" s="65">
        <v>3041</v>
      </c>
      <c r="H11" s="65">
        <v>3237</v>
      </c>
      <c r="I11" s="65">
        <v>3524</v>
      </c>
      <c r="J11" s="65">
        <v>4081</v>
      </c>
      <c r="K11" s="65">
        <v>4439</v>
      </c>
      <c r="L11" s="65">
        <v>5197</v>
      </c>
      <c r="M11" s="66">
        <v>300</v>
      </c>
      <c r="N11" s="67">
        <v>229</v>
      </c>
      <c r="O11" s="60"/>
    </row>
    <row r="12" spans="2:25" ht="20.399999999999999" x14ac:dyDescent="0.3">
      <c r="B12" s="2"/>
      <c r="C12" s="61" t="s">
        <v>74</v>
      </c>
      <c r="D12" s="62" t="s">
        <v>86</v>
      </c>
      <c r="E12" s="63" t="s">
        <v>87</v>
      </c>
      <c r="F12" s="64">
        <v>2932</v>
      </c>
      <c r="G12" s="65">
        <v>3041</v>
      </c>
      <c r="H12" s="65">
        <v>3237</v>
      </c>
      <c r="I12" s="65">
        <v>3524</v>
      </c>
      <c r="J12" s="65">
        <v>4081</v>
      </c>
      <c r="K12" s="65">
        <v>4439</v>
      </c>
      <c r="L12" s="65">
        <v>5197</v>
      </c>
      <c r="M12" s="66">
        <v>300</v>
      </c>
      <c r="N12" s="67">
        <v>229</v>
      </c>
      <c r="O12" s="60"/>
    </row>
    <row r="13" spans="2:25" ht="20.399999999999999" x14ac:dyDescent="0.3">
      <c r="B13" s="2"/>
      <c r="C13" s="61" t="s">
        <v>74</v>
      </c>
      <c r="D13" s="62" t="s">
        <v>88</v>
      </c>
      <c r="E13" s="63" t="s">
        <v>89</v>
      </c>
      <c r="F13" s="64">
        <v>2932</v>
      </c>
      <c r="G13" s="65">
        <v>3041</v>
      </c>
      <c r="H13" s="65">
        <v>3237</v>
      </c>
      <c r="I13" s="65">
        <v>3524</v>
      </c>
      <c r="J13" s="65">
        <v>4081</v>
      </c>
      <c r="K13" s="65">
        <v>4439</v>
      </c>
      <c r="L13" s="65">
        <v>5197</v>
      </c>
      <c r="M13" s="66">
        <v>300</v>
      </c>
      <c r="N13" s="67">
        <v>229</v>
      </c>
      <c r="O13" s="60"/>
    </row>
    <row r="14" spans="2:25" ht="20.399999999999999" x14ac:dyDescent="0.3">
      <c r="B14" s="2"/>
      <c r="C14" s="61" t="s">
        <v>74</v>
      </c>
      <c r="D14" s="62" t="s">
        <v>90</v>
      </c>
      <c r="E14" s="63" t="s">
        <v>91</v>
      </c>
      <c r="F14" s="64">
        <v>2932</v>
      </c>
      <c r="G14" s="65">
        <v>3041</v>
      </c>
      <c r="H14" s="65">
        <v>3237</v>
      </c>
      <c r="I14" s="65">
        <v>3524</v>
      </c>
      <c r="J14" s="65">
        <v>4081</v>
      </c>
      <c r="K14" s="65">
        <v>4439</v>
      </c>
      <c r="L14" s="65">
        <v>5197</v>
      </c>
      <c r="M14" s="66">
        <v>300</v>
      </c>
      <c r="N14" s="67">
        <v>229</v>
      </c>
      <c r="O14" s="60"/>
    </row>
    <row r="15" spans="2:25" ht="20.399999999999999" x14ac:dyDescent="0.3">
      <c r="B15" s="2"/>
      <c r="C15" s="61" t="s">
        <v>74</v>
      </c>
      <c r="D15" s="62" t="s">
        <v>92</v>
      </c>
      <c r="E15" s="63" t="s">
        <v>93</v>
      </c>
      <c r="F15" s="64">
        <v>2932</v>
      </c>
      <c r="G15" s="65">
        <v>3041</v>
      </c>
      <c r="H15" s="65">
        <v>3237</v>
      </c>
      <c r="I15" s="65">
        <v>3524</v>
      </c>
      <c r="J15" s="65">
        <v>4081</v>
      </c>
      <c r="K15" s="65">
        <v>4439</v>
      </c>
      <c r="L15" s="65">
        <v>5197</v>
      </c>
      <c r="M15" s="66">
        <v>300</v>
      </c>
      <c r="N15" s="67">
        <v>229</v>
      </c>
      <c r="O15" s="60"/>
    </row>
    <row r="16" spans="2:25" ht="20.399999999999999" x14ac:dyDescent="0.3">
      <c r="B16" s="2"/>
      <c r="C16" s="61" t="s">
        <v>74</v>
      </c>
      <c r="D16" s="62" t="s">
        <v>94</v>
      </c>
      <c r="E16" s="63" t="s">
        <v>95</v>
      </c>
      <c r="F16" s="64">
        <v>2932</v>
      </c>
      <c r="G16" s="65">
        <v>3041</v>
      </c>
      <c r="H16" s="65">
        <v>3237</v>
      </c>
      <c r="I16" s="65">
        <v>3524</v>
      </c>
      <c r="J16" s="65">
        <v>4081</v>
      </c>
      <c r="K16" s="65">
        <v>4439</v>
      </c>
      <c r="L16" s="65">
        <v>5197</v>
      </c>
      <c r="M16" s="66">
        <v>300</v>
      </c>
      <c r="N16" s="67">
        <v>229</v>
      </c>
      <c r="O16" s="60"/>
    </row>
    <row r="17" spans="2:15" ht="20.399999999999999" x14ac:dyDescent="0.3">
      <c r="B17" s="2"/>
      <c r="C17" s="61" t="s">
        <v>74</v>
      </c>
      <c r="D17" s="62" t="s">
        <v>96</v>
      </c>
      <c r="E17" s="63" t="s">
        <v>97</v>
      </c>
      <c r="F17" s="64">
        <v>2932</v>
      </c>
      <c r="G17" s="65">
        <v>3041</v>
      </c>
      <c r="H17" s="65">
        <v>3237</v>
      </c>
      <c r="I17" s="65">
        <v>3524</v>
      </c>
      <c r="J17" s="65">
        <v>4081</v>
      </c>
      <c r="K17" s="65">
        <v>4439</v>
      </c>
      <c r="L17" s="65">
        <v>5197</v>
      </c>
      <c r="M17" s="66">
        <v>300</v>
      </c>
      <c r="N17" s="67">
        <v>229</v>
      </c>
      <c r="O17" s="60"/>
    </row>
    <row r="18" spans="2:15" ht="20.399999999999999" x14ac:dyDescent="0.3">
      <c r="B18" s="2"/>
      <c r="C18" s="61" t="s">
        <v>74</v>
      </c>
      <c r="D18" s="62" t="s">
        <v>98</v>
      </c>
      <c r="E18" s="63" t="s">
        <v>99</v>
      </c>
      <c r="F18" s="64">
        <v>2932</v>
      </c>
      <c r="G18" s="65">
        <v>3041</v>
      </c>
      <c r="H18" s="65">
        <v>3237</v>
      </c>
      <c r="I18" s="65">
        <v>3524</v>
      </c>
      <c r="J18" s="65">
        <v>4081</v>
      </c>
      <c r="K18" s="65">
        <v>4439</v>
      </c>
      <c r="L18" s="65">
        <v>5197</v>
      </c>
      <c r="M18" s="66">
        <v>300</v>
      </c>
      <c r="N18" s="67">
        <v>229</v>
      </c>
      <c r="O18" s="60"/>
    </row>
    <row r="19" spans="2:15" ht="20.399999999999999" x14ac:dyDescent="0.3">
      <c r="B19" s="2"/>
      <c r="C19" s="61" t="s">
        <v>74</v>
      </c>
      <c r="D19" s="62" t="s">
        <v>100</v>
      </c>
      <c r="E19" s="63" t="s">
        <v>101</v>
      </c>
      <c r="F19" s="64">
        <v>2932</v>
      </c>
      <c r="G19" s="65">
        <v>3041</v>
      </c>
      <c r="H19" s="65">
        <v>3237</v>
      </c>
      <c r="I19" s="65">
        <v>3524</v>
      </c>
      <c r="J19" s="65">
        <v>4081</v>
      </c>
      <c r="K19" s="65">
        <v>4439</v>
      </c>
      <c r="L19" s="65">
        <v>5197</v>
      </c>
      <c r="M19" s="66">
        <v>300</v>
      </c>
      <c r="N19" s="67">
        <v>229</v>
      </c>
      <c r="O19" s="60"/>
    </row>
    <row r="20" spans="2:15" ht="20.399999999999999" x14ac:dyDescent="0.3">
      <c r="B20" s="2"/>
      <c r="C20" s="61" t="s">
        <v>74</v>
      </c>
      <c r="D20" s="62" t="s">
        <v>102</v>
      </c>
      <c r="E20" s="63" t="s">
        <v>103</v>
      </c>
      <c r="F20" s="64">
        <v>3589</v>
      </c>
      <c r="G20" s="65">
        <v>3839</v>
      </c>
      <c r="H20" s="65">
        <v>4357</v>
      </c>
      <c r="I20" s="65">
        <v>5160</v>
      </c>
      <c r="J20" s="65">
        <v>6411</v>
      </c>
      <c r="K20" s="65">
        <v>7245</v>
      </c>
      <c r="L20" s="65">
        <v>8131</v>
      </c>
      <c r="M20" s="66">
        <v>410</v>
      </c>
      <c r="N20" s="67">
        <v>340</v>
      </c>
      <c r="O20" s="60"/>
    </row>
    <row r="21" spans="2:15" ht="15.75" customHeight="1" x14ac:dyDescent="0.3">
      <c r="B21" s="2"/>
      <c r="C21" s="61" t="s">
        <v>74</v>
      </c>
      <c r="D21" s="62" t="s">
        <v>104</v>
      </c>
      <c r="E21" s="63" t="s">
        <v>105</v>
      </c>
      <c r="F21" s="64">
        <v>2932</v>
      </c>
      <c r="G21" s="65">
        <v>3041</v>
      </c>
      <c r="H21" s="65">
        <v>3237</v>
      </c>
      <c r="I21" s="65">
        <v>3524</v>
      </c>
      <c r="J21" s="65">
        <v>4081</v>
      </c>
      <c r="K21" s="65">
        <v>4439</v>
      </c>
      <c r="L21" s="65">
        <v>5197</v>
      </c>
      <c r="M21" s="66">
        <v>300</v>
      </c>
      <c r="N21" s="67">
        <v>229</v>
      </c>
      <c r="O21" s="60"/>
    </row>
    <row r="22" spans="2:15" ht="15.75" customHeight="1" x14ac:dyDescent="0.3">
      <c r="B22" s="2"/>
      <c r="C22" s="61" t="s">
        <v>74</v>
      </c>
      <c r="D22" s="62" t="s">
        <v>106</v>
      </c>
      <c r="E22" s="63" t="s">
        <v>107</v>
      </c>
      <c r="F22" s="64">
        <v>2932</v>
      </c>
      <c r="G22" s="65">
        <v>3041</v>
      </c>
      <c r="H22" s="65">
        <v>3237</v>
      </c>
      <c r="I22" s="65">
        <v>3524</v>
      </c>
      <c r="J22" s="65">
        <v>4081</v>
      </c>
      <c r="K22" s="65">
        <v>4439</v>
      </c>
      <c r="L22" s="65">
        <v>5197</v>
      </c>
      <c r="M22" s="66">
        <v>300</v>
      </c>
      <c r="N22" s="67">
        <v>229</v>
      </c>
      <c r="O22" s="60"/>
    </row>
    <row r="23" spans="2:15" ht="15.75" customHeight="1" x14ac:dyDescent="0.3">
      <c r="B23" s="2"/>
      <c r="C23" s="61" t="s">
        <v>74</v>
      </c>
      <c r="D23" s="62" t="s">
        <v>108</v>
      </c>
      <c r="E23" s="63" t="s">
        <v>109</v>
      </c>
      <c r="F23" s="64">
        <v>2932</v>
      </c>
      <c r="G23" s="65">
        <v>3041</v>
      </c>
      <c r="H23" s="65">
        <v>3237</v>
      </c>
      <c r="I23" s="65">
        <v>3524</v>
      </c>
      <c r="J23" s="65">
        <v>4081</v>
      </c>
      <c r="K23" s="65">
        <v>4439</v>
      </c>
      <c r="L23" s="65">
        <v>5197</v>
      </c>
      <c r="M23" s="66">
        <v>300</v>
      </c>
      <c r="N23" s="67">
        <v>229</v>
      </c>
      <c r="O23" s="60"/>
    </row>
    <row r="24" spans="2:15" ht="15.75" customHeight="1" x14ac:dyDescent="0.3">
      <c r="B24" s="2"/>
      <c r="C24" s="61" t="s">
        <v>74</v>
      </c>
      <c r="D24" s="62" t="s">
        <v>110</v>
      </c>
      <c r="E24" s="63" t="s">
        <v>111</v>
      </c>
      <c r="F24" s="64">
        <v>2932</v>
      </c>
      <c r="G24" s="65">
        <v>3041</v>
      </c>
      <c r="H24" s="65">
        <v>3237</v>
      </c>
      <c r="I24" s="65">
        <v>3524</v>
      </c>
      <c r="J24" s="65">
        <v>4081</v>
      </c>
      <c r="K24" s="65">
        <v>4439</v>
      </c>
      <c r="L24" s="65">
        <v>5197</v>
      </c>
      <c r="M24" s="66">
        <v>300</v>
      </c>
      <c r="N24" s="67">
        <v>229</v>
      </c>
      <c r="O24" s="60"/>
    </row>
    <row r="25" spans="2:15" ht="15.75" customHeight="1" x14ac:dyDescent="0.3">
      <c r="B25" s="2"/>
      <c r="C25" s="61" t="s">
        <v>74</v>
      </c>
      <c r="D25" s="62" t="s">
        <v>112</v>
      </c>
      <c r="E25" s="63" t="s">
        <v>113</v>
      </c>
      <c r="F25" s="64">
        <v>2932</v>
      </c>
      <c r="G25" s="65">
        <v>3041</v>
      </c>
      <c r="H25" s="65">
        <v>3237</v>
      </c>
      <c r="I25" s="65">
        <v>3524</v>
      </c>
      <c r="J25" s="65">
        <v>4081</v>
      </c>
      <c r="K25" s="65">
        <v>4439</v>
      </c>
      <c r="L25" s="65">
        <v>5197</v>
      </c>
      <c r="M25" s="66">
        <v>300</v>
      </c>
      <c r="N25" s="67">
        <v>229</v>
      </c>
      <c r="O25" s="60"/>
    </row>
    <row r="26" spans="2:15" ht="15.75" customHeight="1" x14ac:dyDescent="0.3">
      <c r="B26" s="2"/>
      <c r="C26" s="61" t="s">
        <v>74</v>
      </c>
      <c r="D26" s="62" t="s">
        <v>114</v>
      </c>
      <c r="E26" s="63" t="s">
        <v>115</v>
      </c>
      <c r="F26" s="64">
        <v>2932</v>
      </c>
      <c r="G26" s="65">
        <v>3041</v>
      </c>
      <c r="H26" s="65">
        <v>3237</v>
      </c>
      <c r="I26" s="65">
        <v>3524</v>
      </c>
      <c r="J26" s="65">
        <v>4081</v>
      </c>
      <c r="K26" s="65">
        <v>4439</v>
      </c>
      <c r="L26" s="65">
        <v>5197</v>
      </c>
      <c r="M26" s="66">
        <v>300</v>
      </c>
      <c r="N26" s="67">
        <v>229</v>
      </c>
      <c r="O26" s="60"/>
    </row>
    <row r="27" spans="2:15" ht="15.75" customHeight="1" x14ac:dyDescent="0.3">
      <c r="B27" s="2"/>
      <c r="C27" s="61" t="s">
        <v>74</v>
      </c>
      <c r="D27" s="62" t="s">
        <v>116</v>
      </c>
      <c r="E27" s="63" t="s">
        <v>117</v>
      </c>
      <c r="F27" s="64">
        <v>2932</v>
      </c>
      <c r="G27" s="65">
        <v>3041</v>
      </c>
      <c r="H27" s="65">
        <v>3237</v>
      </c>
      <c r="I27" s="65">
        <v>3524</v>
      </c>
      <c r="J27" s="65">
        <v>4081</v>
      </c>
      <c r="K27" s="65">
        <v>4439</v>
      </c>
      <c r="L27" s="65">
        <v>5197</v>
      </c>
      <c r="M27" s="66">
        <v>300</v>
      </c>
      <c r="N27" s="67">
        <v>229</v>
      </c>
      <c r="O27" s="60"/>
    </row>
    <row r="28" spans="2:15" ht="15.75" customHeight="1" x14ac:dyDescent="0.3">
      <c r="B28" s="2"/>
      <c r="C28" s="61" t="s">
        <v>74</v>
      </c>
      <c r="D28" s="62" t="s">
        <v>118</v>
      </c>
      <c r="E28" s="63" t="s">
        <v>119</v>
      </c>
      <c r="F28" s="64">
        <v>2932</v>
      </c>
      <c r="G28" s="65">
        <v>3041</v>
      </c>
      <c r="H28" s="65">
        <v>3237</v>
      </c>
      <c r="I28" s="65">
        <v>3524</v>
      </c>
      <c r="J28" s="65">
        <v>4081</v>
      </c>
      <c r="K28" s="65">
        <v>4439</v>
      </c>
      <c r="L28" s="65">
        <v>5197</v>
      </c>
      <c r="M28" s="66">
        <v>300</v>
      </c>
      <c r="N28" s="67">
        <v>229</v>
      </c>
      <c r="O28" s="60"/>
    </row>
    <row r="29" spans="2:15" ht="15.75" customHeight="1" x14ac:dyDescent="0.3">
      <c r="B29" s="2"/>
      <c r="C29" s="61" t="s">
        <v>74</v>
      </c>
      <c r="D29" s="62" t="s">
        <v>120</v>
      </c>
      <c r="E29" s="63" t="s">
        <v>121</v>
      </c>
      <c r="F29" s="64">
        <v>2932</v>
      </c>
      <c r="G29" s="65">
        <v>3041</v>
      </c>
      <c r="H29" s="65">
        <v>3237</v>
      </c>
      <c r="I29" s="65">
        <v>3524</v>
      </c>
      <c r="J29" s="65">
        <v>4081</v>
      </c>
      <c r="K29" s="65">
        <v>4439</v>
      </c>
      <c r="L29" s="65">
        <v>5197</v>
      </c>
      <c r="M29" s="66">
        <v>300</v>
      </c>
      <c r="N29" s="67">
        <v>229</v>
      </c>
      <c r="O29" s="60"/>
    </row>
    <row r="30" spans="2:15" ht="15.75" customHeight="1" x14ac:dyDescent="0.3">
      <c r="B30" s="2"/>
      <c r="C30" s="61" t="s">
        <v>74</v>
      </c>
      <c r="D30" s="62" t="s">
        <v>122</v>
      </c>
      <c r="E30" s="63" t="s">
        <v>123</v>
      </c>
      <c r="F30" s="64">
        <v>2932</v>
      </c>
      <c r="G30" s="65">
        <v>3041</v>
      </c>
      <c r="H30" s="65">
        <v>3237</v>
      </c>
      <c r="I30" s="65">
        <v>3524</v>
      </c>
      <c r="J30" s="65">
        <v>4081</v>
      </c>
      <c r="K30" s="65">
        <v>4439</v>
      </c>
      <c r="L30" s="65">
        <v>5197</v>
      </c>
      <c r="M30" s="66">
        <v>300</v>
      </c>
      <c r="N30" s="67">
        <v>229</v>
      </c>
      <c r="O30" s="60"/>
    </row>
    <row r="31" spans="2:15" ht="15.75" customHeight="1" x14ac:dyDescent="0.3">
      <c r="B31" s="2"/>
      <c r="C31" s="61" t="s">
        <v>74</v>
      </c>
      <c r="D31" s="62" t="s">
        <v>124</v>
      </c>
      <c r="E31" s="63" t="s">
        <v>125</v>
      </c>
      <c r="F31" s="64">
        <v>2932</v>
      </c>
      <c r="G31" s="65">
        <v>3041</v>
      </c>
      <c r="H31" s="65">
        <v>3237</v>
      </c>
      <c r="I31" s="65">
        <v>3524</v>
      </c>
      <c r="J31" s="65">
        <v>4081</v>
      </c>
      <c r="K31" s="65">
        <v>4439</v>
      </c>
      <c r="L31" s="65">
        <v>5197</v>
      </c>
      <c r="M31" s="66">
        <v>300</v>
      </c>
      <c r="N31" s="67">
        <v>229</v>
      </c>
      <c r="O31" s="60"/>
    </row>
    <row r="32" spans="2:15" ht="15.75" customHeight="1" x14ac:dyDescent="0.3">
      <c r="B32" s="2"/>
      <c r="C32" s="61" t="s">
        <v>74</v>
      </c>
      <c r="D32" s="62" t="s">
        <v>126</v>
      </c>
      <c r="E32" s="63" t="s">
        <v>127</v>
      </c>
      <c r="F32" s="64">
        <v>2932</v>
      </c>
      <c r="G32" s="65">
        <v>3041</v>
      </c>
      <c r="H32" s="65">
        <v>3237</v>
      </c>
      <c r="I32" s="65">
        <v>3524</v>
      </c>
      <c r="J32" s="65">
        <v>4081</v>
      </c>
      <c r="K32" s="65">
        <v>4439</v>
      </c>
      <c r="L32" s="65">
        <v>5197</v>
      </c>
      <c r="M32" s="66">
        <v>300</v>
      </c>
      <c r="N32" s="67">
        <v>229</v>
      </c>
      <c r="O32" s="60"/>
    </row>
    <row r="33" spans="2:25" ht="15.75" customHeight="1" x14ac:dyDescent="0.3">
      <c r="B33" s="2"/>
      <c r="C33" s="61" t="s">
        <v>74</v>
      </c>
      <c r="D33" s="62" t="s">
        <v>128</v>
      </c>
      <c r="E33" s="63" t="s">
        <v>129</v>
      </c>
      <c r="F33" s="64">
        <v>2932</v>
      </c>
      <c r="G33" s="65">
        <v>3041</v>
      </c>
      <c r="H33" s="65">
        <v>3237</v>
      </c>
      <c r="I33" s="65">
        <v>3524</v>
      </c>
      <c r="J33" s="65">
        <v>4081</v>
      </c>
      <c r="K33" s="65">
        <v>4439</v>
      </c>
      <c r="L33" s="65">
        <v>5197</v>
      </c>
      <c r="M33" s="66">
        <v>300</v>
      </c>
      <c r="N33" s="67">
        <v>229</v>
      </c>
      <c r="O33" s="60"/>
    </row>
    <row r="34" spans="2:25" ht="15.75" customHeight="1" x14ac:dyDescent="0.3">
      <c r="B34" s="2"/>
      <c r="C34" s="61" t="s">
        <v>74</v>
      </c>
      <c r="D34" s="62" t="s">
        <v>130</v>
      </c>
      <c r="E34" s="63" t="s">
        <v>131</v>
      </c>
      <c r="F34" s="64">
        <v>2932</v>
      </c>
      <c r="G34" s="65">
        <v>3041</v>
      </c>
      <c r="H34" s="65">
        <v>3237</v>
      </c>
      <c r="I34" s="65">
        <v>3524</v>
      </c>
      <c r="J34" s="65">
        <v>4081</v>
      </c>
      <c r="K34" s="65">
        <v>4439</v>
      </c>
      <c r="L34" s="65">
        <v>5197</v>
      </c>
      <c r="M34" s="66">
        <v>300</v>
      </c>
      <c r="N34" s="67">
        <v>229</v>
      </c>
      <c r="O34" s="60"/>
    </row>
    <row r="35" spans="2:25" ht="15.75" customHeight="1" x14ac:dyDescent="0.3">
      <c r="B35" s="2"/>
      <c r="C35" s="61" t="s">
        <v>74</v>
      </c>
      <c r="D35" s="62" t="s">
        <v>132</v>
      </c>
      <c r="E35" s="63" t="s">
        <v>133</v>
      </c>
      <c r="F35" s="64">
        <v>2932</v>
      </c>
      <c r="G35" s="65">
        <v>3041</v>
      </c>
      <c r="H35" s="65">
        <v>3237</v>
      </c>
      <c r="I35" s="65">
        <v>3524</v>
      </c>
      <c r="J35" s="65">
        <v>4081</v>
      </c>
      <c r="K35" s="65">
        <v>4439</v>
      </c>
      <c r="L35" s="65">
        <v>5197</v>
      </c>
      <c r="M35" s="66">
        <v>300</v>
      </c>
      <c r="N35" s="67">
        <v>229</v>
      </c>
      <c r="O35" s="60"/>
    </row>
    <row r="36" spans="2:25" ht="15.75" customHeight="1" x14ac:dyDescent="0.3">
      <c r="B36" s="2"/>
      <c r="C36" s="61" t="s">
        <v>74</v>
      </c>
      <c r="D36" s="62" t="s">
        <v>134</v>
      </c>
      <c r="E36" s="63" t="s">
        <v>135</v>
      </c>
      <c r="F36" s="64">
        <v>2932</v>
      </c>
      <c r="G36" s="65">
        <v>3041</v>
      </c>
      <c r="H36" s="65">
        <v>3237</v>
      </c>
      <c r="I36" s="65">
        <v>3524</v>
      </c>
      <c r="J36" s="65">
        <v>4081</v>
      </c>
      <c r="K36" s="65">
        <v>4439</v>
      </c>
      <c r="L36" s="65">
        <v>5197</v>
      </c>
      <c r="M36" s="66">
        <v>300</v>
      </c>
      <c r="N36" s="67">
        <v>229</v>
      </c>
      <c r="O36" s="60"/>
    </row>
    <row r="37" spans="2:25" ht="15.75" customHeight="1" x14ac:dyDescent="0.3">
      <c r="B37" s="2"/>
      <c r="C37" s="61" t="s">
        <v>74</v>
      </c>
      <c r="D37" s="62" t="s">
        <v>136</v>
      </c>
      <c r="E37" s="63" t="s">
        <v>137</v>
      </c>
      <c r="F37" s="64">
        <v>2932</v>
      </c>
      <c r="G37" s="65">
        <v>3041</v>
      </c>
      <c r="H37" s="65">
        <v>3237</v>
      </c>
      <c r="I37" s="65">
        <v>3524</v>
      </c>
      <c r="J37" s="65">
        <v>4081</v>
      </c>
      <c r="K37" s="65">
        <v>4439</v>
      </c>
      <c r="L37" s="65">
        <v>5197</v>
      </c>
      <c r="M37" s="66">
        <v>300</v>
      </c>
      <c r="N37" s="67">
        <v>229</v>
      </c>
      <c r="O37" s="60"/>
      <c r="P37" s="2"/>
      <c r="Q37" s="2"/>
      <c r="R37" s="2"/>
      <c r="S37" s="38"/>
    </row>
    <row r="38" spans="2:25" ht="15.75" customHeight="1" x14ac:dyDescent="0.3">
      <c r="B38" s="2"/>
      <c r="C38" s="61" t="s">
        <v>74</v>
      </c>
      <c r="D38" s="62" t="s">
        <v>138</v>
      </c>
      <c r="E38" s="63" t="s">
        <v>139</v>
      </c>
      <c r="F38" s="64">
        <v>2932</v>
      </c>
      <c r="G38" s="65">
        <v>3041</v>
      </c>
      <c r="H38" s="65">
        <v>3237</v>
      </c>
      <c r="I38" s="65">
        <v>3524</v>
      </c>
      <c r="J38" s="65">
        <v>4081</v>
      </c>
      <c r="K38" s="65">
        <v>4439</v>
      </c>
      <c r="L38" s="65">
        <v>5197</v>
      </c>
      <c r="M38" s="66">
        <v>300</v>
      </c>
      <c r="N38" s="67">
        <v>229</v>
      </c>
      <c r="O38" s="60"/>
      <c r="P38" s="2"/>
      <c r="Q38" s="2"/>
      <c r="R38" s="2"/>
      <c r="S38" s="38"/>
    </row>
    <row r="39" spans="2:25" ht="15.75" customHeight="1" x14ac:dyDescent="0.3">
      <c r="B39" s="2"/>
      <c r="C39" s="61" t="s">
        <v>74</v>
      </c>
      <c r="D39" s="62" t="s">
        <v>140</v>
      </c>
      <c r="E39" s="63" t="s">
        <v>141</v>
      </c>
      <c r="F39" s="64">
        <v>2932</v>
      </c>
      <c r="G39" s="65">
        <v>3041</v>
      </c>
      <c r="H39" s="65">
        <v>3237</v>
      </c>
      <c r="I39" s="65">
        <v>3524</v>
      </c>
      <c r="J39" s="65">
        <v>4081</v>
      </c>
      <c r="K39" s="65">
        <v>4439</v>
      </c>
      <c r="L39" s="65">
        <v>5197</v>
      </c>
      <c r="M39" s="66">
        <v>300</v>
      </c>
      <c r="N39" s="67">
        <v>229</v>
      </c>
      <c r="O39" s="60"/>
      <c r="P39" s="2"/>
      <c r="Q39" s="2"/>
      <c r="R39" s="2"/>
      <c r="S39" s="38"/>
    </row>
    <row r="40" spans="2:25" ht="15.75" customHeight="1" x14ac:dyDescent="0.3">
      <c r="B40" s="2"/>
      <c r="C40" s="61" t="s">
        <v>74</v>
      </c>
      <c r="D40" s="62" t="s">
        <v>142</v>
      </c>
      <c r="E40" s="63" t="s">
        <v>143</v>
      </c>
      <c r="F40" s="64">
        <v>2932</v>
      </c>
      <c r="G40" s="65">
        <v>3041</v>
      </c>
      <c r="H40" s="65">
        <v>3237</v>
      </c>
      <c r="I40" s="65">
        <v>3524</v>
      </c>
      <c r="J40" s="65">
        <v>4081</v>
      </c>
      <c r="K40" s="65">
        <v>4439</v>
      </c>
      <c r="L40" s="65">
        <v>5197</v>
      </c>
      <c r="M40" s="66">
        <v>300</v>
      </c>
      <c r="N40" s="67">
        <v>229</v>
      </c>
      <c r="O40" s="60"/>
      <c r="P40" s="2"/>
      <c r="Q40" s="2"/>
      <c r="R40" s="2"/>
      <c r="S40" s="2"/>
      <c r="T40" s="2"/>
      <c r="U40" s="2"/>
      <c r="V40" s="2"/>
      <c r="W40" s="2"/>
      <c r="X40" s="2"/>
      <c r="Y40" s="38"/>
    </row>
    <row r="41" spans="2:25" ht="15.75" customHeight="1" x14ac:dyDescent="0.3">
      <c r="B41" s="2"/>
      <c r="C41" s="61" t="s">
        <v>74</v>
      </c>
      <c r="D41" s="62" t="s">
        <v>144</v>
      </c>
      <c r="E41" s="63" t="s">
        <v>145</v>
      </c>
      <c r="F41" s="64">
        <v>3589</v>
      </c>
      <c r="G41" s="65">
        <v>3839</v>
      </c>
      <c r="H41" s="65">
        <v>4357</v>
      </c>
      <c r="I41" s="65">
        <v>5160</v>
      </c>
      <c r="J41" s="65">
        <v>6411</v>
      </c>
      <c r="K41" s="65">
        <v>7245</v>
      </c>
      <c r="L41" s="65">
        <v>8131</v>
      </c>
      <c r="M41" s="66">
        <v>410</v>
      </c>
      <c r="N41" s="67">
        <v>340</v>
      </c>
      <c r="O41" s="60"/>
      <c r="P41" s="2"/>
      <c r="Q41" s="2"/>
      <c r="R41" s="2"/>
      <c r="S41" s="2"/>
      <c r="T41" s="2"/>
      <c r="U41" s="2"/>
      <c r="V41" s="2"/>
      <c r="W41" s="2"/>
      <c r="X41" s="2"/>
      <c r="Y41" s="38"/>
    </row>
    <row r="42" spans="2:25" ht="15.75" customHeight="1" x14ac:dyDescent="0.3">
      <c r="B42" s="2"/>
      <c r="C42" s="61" t="s">
        <v>74</v>
      </c>
      <c r="D42" s="62" t="s">
        <v>146</v>
      </c>
      <c r="E42" s="63" t="s">
        <v>147</v>
      </c>
      <c r="F42" s="64">
        <v>2932</v>
      </c>
      <c r="G42" s="65">
        <v>3041</v>
      </c>
      <c r="H42" s="65">
        <v>3237</v>
      </c>
      <c r="I42" s="65">
        <v>3524</v>
      </c>
      <c r="J42" s="65">
        <v>4081</v>
      </c>
      <c r="K42" s="65">
        <v>4439</v>
      </c>
      <c r="L42" s="65">
        <v>5197</v>
      </c>
      <c r="M42" s="66">
        <v>300</v>
      </c>
      <c r="N42" s="67">
        <v>229</v>
      </c>
      <c r="O42" s="60"/>
      <c r="P42" s="2"/>
      <c r="Q42" s="2"/>
      <c r="R42" s="2"/>
      <c r="S42" s="2"/>
      <c r="T42" s="2"/>
      <c r="U42" s="2"/>
      <c r="V42" s="2"/>
      <c r="W42" s="2"/>
      <c r="X42" s="2"/>
      <c r="Y42" s="38"/>
    </row>
    <row r="43" spans="2:25" ht="15.75" customHeight="1" x14ac:dyDescent="0.3">
      <c r="B43" s="2"/>
      <c r="C43" s="61" t="s">
        <v>74</v>
      </c>
      <c r="D43" s="62" t="s">
        <v>148</v>
      </c>
      <c r="E43" s="63" t="s">
        <v>149</v>
      </c>
      <c r="F43" s="64">
        <v>2932</v>
      </c>
      <c r="G43" s="65">
        <v>3041</v>
      </c>
      <c r="H43" s="65">
        <v>3237</v>
      </c>
      <c r="I43" s="65">
        <v>3524</v>
      </c>
      <c r="J43" s="65">
        <v>4081</v>
      </c>
      <c r="K43" s="65">
        <v>4439</v>
      </c>
      <c r="L43" s="65">
        <v>5197</v>
      </c>
      <c r="M43" s="66">
        <v>300</v>
      </c>
      <c r="N43" s="67">
        <v>229</v>
      </c>
      <c r="O43" s="60"/>
      <c r="P43" s="2"/>
      <c r="Q43" s="2"/>
      <c r="R43" s="2"/>
      <c r="S43" s="2"/>
      <c r="T43" s="2"/>
      <c r="U43" s="2"/>
      <c r="V43" s="2"/>
      <c r="W43" s="2"/>
      <c r="X43" s="2"/>
      <c r="Y43" s="38"/>
    </row>
    <row r="44" spans="2:25" ht="15.75" customHeight="1" x14ac:dyDescent="0.3">
      <c r="B44" s="2"/>
      <c r="C44" s="61" t="s">
        <v>74</v>
      </c>
      <c r="D44" s="62" t="s">
        <v>150</v>
      </c>
      <c r="E44" s="63" t="s">
        <v>151</v>
      </c>
      <c r="F44" s="64">
        <v>2932</v>
      </c>
      <c r="G44" s="65">
        <v>3041</v>
      </c>
      <c r="H44" s="65">
        <v>3237</v>
      </c>
      <c r="I44" s="65">
        <v>3524</v>
      </c>
      <c r="J44" s="65">
        <v>4081</v>
      </c>
      <c r="K44" s="65">
        <v>4439</v>
      </c>
      <c r="L44" s="65">
        <v>5197</v>
      </c>
      <c r="M44" s="66">
        <v>300</v>
      </c>
      <c r="N44" s="67">
        <v>229</v>
      </c>
      <c r="O44" s="60"/>
      <c r="P44" s="2"/>
      <c r="Q44" s="2"/>
      <c r="R44" s="2"/>
      <c r="S44" s="2"/>
      <c r="T44" s="2"/>
      <c r="U44" s="2"/>
      <c r="V44" s="2"/>
      <c r="W44" s="2"/>
      <c r="X44" s="2"/>
      <c r="Y44" s="38"/>
    </row>
    <row r="45" spans="2:25" ht="15.75" customHeight="1" x14ac:dyDescent="0.3">
      <c r="B45" s="2"/>
      <c r="C45" s="61" t="s">
        <v>74</v>
      </c>
      <c r="D45" s="62" t="s">
        <v>152</v>
      </c>
      <c r="E45" s="63" t="s">
        <v>153</v>
      </c>
      <c r="F45" s="64">
        <v>3589</v>
      </c>
      <c r="G45" s="65">
        <v>3839</v>
      </c>
      <c r="H45" s="65">
        <v>4357</v>
      </c>
      <c r="I45" s="65">
        <v>5160</v>
      </c>
      <c r="J45" s="65">
        <v>6411</v>
      </c>
      <c r="K45" s="65">
        <v>7245</v>
      </c>
      <c r="L45" s="65">
        <v>8131</v>
      </c>
      <c r="M45" s="66">
        <v>410</v>
      </c>
      <c r="N45" s="67">
        <v>340</v>
      </c>
      <c r="O45" s="60"/>
      <c r="P45" s="2"/>
      <c r="Q45" s="2"/>
      <c r="R45" s="2"/>
      <c r="S45" s="2"/>
      <c r="T45" s="2"/>
      <c r="U45" s="2"/>
      <c r="V45" s="2"/>
      <c r="W45" s="2"/>
      <c r="X45" s="2"/>
      <c r="Y45" s="38"/>
    </row>
    <row r="46" spans="2:25" ht="15.75" customHeight="1" x14ac:dyDescent="0.3">
      <c r="B46" s="2"/>
      <c r="C46" s="61" t="s">
        <v>74</v>
      </c>
      <c r="D46" s="62" t="s">
        <v>154</v>
      </c>
      <c r="E46" s="63" t="s">
        <v>155</v>
      </c>
      <c r="F46" s="64">
        <v>3589</v>
      </c>
      <c r="G46" s="65">
        <v>3839</v>
      </c>
      <c r="H46" s="65">
        <v>4357</v>
      </c>
      <c r="I46" s="65">
        <v>5160</v>
      </c>
      <c r="J46" s="65">
        <v>6411</v>
      </c>
      <c r="K46" s="65">
        <v>7245</v>
      </c>
      <c r="L46" s="65">
        <v>8131</v>
      </c>
      <c r="M46" s="66">
        <v>410</v>
      </c>
      <c r="N46" s="67">
        <v>340</v>
      </c>
      <c r="O46" s="60"/>
      <c r="P46" s="2"/>
      <c r="Q46" s="2"/>
      <c r="R46" s="2"/>
      <c r="S46" s="2"/>
      <c r="T46" s="2"/>
      <c r="U46" s="2"/>
      <c r="V46" s="2"/>
      <c r="W46" s="2"/>
      <c r="X46" s="2"/>
      <c r="Y46" s="38"/>
    </row>
    <row r="47" spans="2:25" ht="15.75" customHeight="1" x14ac:dyDescent="0.3">
      <c r="B47" s="2"/>
      <c r="C47" s="61" t="s">
        <v>74</v>
      </c>
      <c r="D47" s="62" t="s">
        <v>156</v>
      </c>
      <c r="E47" s="63" t="s">
        <v>157</v>
      </c>
      <c r="F47" s="64">
        <v>2932</v>
      </c>
      <c r="G47" s="65">
        <v>3041</v>
      </c>
      <c r="H47" s="65">
        <v>3237</v>
      </c>
      <c r="I47" s="65">
        <v>3524</v>
      </c>
      <c r="J47" s="65">
        <v>4081</v>
      </c>
      <c r="K47" s="65">
        <v>4439</v>
      </c>
      <c r="L47" s="65">
        <v>5197</v>
      </c>
      <c r="M47" s="66">
        <v>300</v>
      </c>
      <c r="N47" s="67">
        <v>229</v>
      </c>
      <c r="O47" s="60"/>
      <c r="P47" s="2"/>
      <c r="Q47" s="2"/>
      <c r="R47" s="2"/>
      <c r="S47" s="2"/>
      <c r="T47" s="2"/>
      <c r="U47" s="2"/>
      <c r="V47" s="2"/>
      <c r="W47" s="2"/>
      <c r="X47" s="2"/>
      <c r="Y47" s="38"/>
    </row>
    <row r="48" spans="2:25" ht="15.75" customHeight="1" x14ac:dyDescent="0.3">
      <c r="B48" s="2"/>
      <c r="C48" s="61" t="s">
        <v>74</v>
      </c>
      <c r="D48" s="62" t="s">
        <v>158</v>
      </c>
      <c r="E48" s="63" t="s">
        <v>159</v>
      </c>
      <c r="F48" s="64">
        <v>2932</v>
      </c>
      <c r="G48" s="65">
        <v>3041</v>
      </c>
      <c r="H48" s="65">
        <v>3237</v>
      </c>
      <c r="I48" s="65">
        <v>3524</v>
      </c>
      <c r="J48" s="65">
        <v>4081</v>
      </c>
      <c r="K48" s="65">
        <v>4439</v>
      </c>
      <c r="L48" s="65">
        <v>5197</v>
      </c>
      <c r="M48" s="66">
        <v>300</v>
      </c>
      <c r="N48" s="67">
        <v>229</v>
      </c>
      <c r="O48" s="60"/>
      <c r="P48" s="2"/>
      <c r="Q48" s="2"/>
      <c r="R48" s="2"/>
      <c r="S48" s="2"/>
      <c r="T48" s="2"/>
      <c r="U48" s="2"/>
      <c r="V48" s="2"/>
      <c r="W48" s="2"/>
      <c r="X48" s="2"/>
      <c r="Y48" s="38"/>
    </row>
    <row r="49" spans="2:25" ht="15.75" customHeight="1" x14ac:dyDescent="0.3">
      <c r="B49" s="2"/>
      <c r="C49" s="61" t="s">
        <v>74</v>
      </c>
      <c r="D49" s="62" t="s">
        <v>160</v>
      </c>
      <c r="E49" s="63" t="s">
        <v>161</v>
      </c>
      <c r="F49" s="64">
        <v>3589</v>
      </c>
      <c r="G49" s="65">
        <v>3839</v>
      </c>
      <c r="H49" s="65">
        <v>4357</v>
      </c>
      <c r="I49" s="65">
        <v>5160</v>
      </c>
      <c r="J49" s="65">
        <v>6411</v>
      </c>
      <c r="K49" s="65">
        <v>7245</v>
      </c>
      <c r="L49" s="65">
        <v>8131</v>
      </c>
      <c r="M49" s="66">
        <v>410</v>
      </c>
      <c r="N49" s="67">
        <v>340</v>
      </c>
      <c r="O49" s="60"/>
      <c r="P49" s="2"/>
      <c r="Q49" s="2"/>
      <c r="R49" s="2"/>
      <c r="S49" s="2"/>
      <c r="T49" s="2"/>
      <c r="U49" s="2"/>
      <c r="V49" s="2"/>
      <c r="W49" s="2"/>
      <c r="X49" s="2"/>
      <c r="Y49" s="38"/>
    </row>
    <row r="50" spans="2:25" ht="15.75" customHeight="1" x14ac:dyDescent="0.3">
      <c r="B50" s="2"/>
      <c r="C50" s="61" t="s">
        <v>74</v>
      </c>
      <c r="D50" s="62" t="s">
        <v>162</v>
      </c>
      <c r="E50" s="63" t="s">
        <v>34</v>
      </c>
      <c r="F50" s="64">
        <v>3589</v>
      </c>
      <c r="G50" s="65">
        <v>3839</v>
      </c>
      <c r="H50" s="65">
        <v>4357</v>
      </c>
      <c r="I50" s="65">
        <v>5160</v>
      </c>
      <c r="J50" s="65">
        <v>6411</v>
      </c>
      <c r="K50" s="65">
        <v>7245</v>
      </c>
      <c r="L50" s="65">
        <v>8131</v>
      </c>
      <c r="M50" s="66">
        <v>410</v>
      </c>
      <c r="N50" s="67">
        <v>340</v>
      </c>
      <c r="O50" s="60"/>
      <c r="P50" s="2"/>
      <c r="Q50" s="2"/>
      <c r="R50" s="2"/>
      <c r="S50" s="2"/>
      <c r="T50" s="2"/>
      <c r="U50" s="2"/>
      <c r="V50" s="2"/>
      <c r="W50" s="2"/>
      <c r="X50" s="2"/>
      <c r="Y50" s="38"/>
    </row>
    <row r="51" spans="2:25" ht="15.75" customHeight="1" x14ac:dyDescent="0.3">
      <c r="B51" s="2"/>
      <c r="C51" s="61" t="s">
        <v>74</v>
      </c>
      <c r="D51" s="62" t="s">
        <v>163</v>
      </c>
      <c r="E51" s="63" t="s">
        <v>164</v>
      </c>
      <c r="F51" s="64">
        <v>2932</v>
      </c>
      <c r="G51" s="65">
        <v>3041</v>
      </c>
      <c r="H51" s="65">
        <v>3237</v>
      </c>
      <c r="I51" s="65">
        <v>3524</v>
      </c>
      <c r="J51" s="65">
        <v>4081</v>
      </c>
      <c r="K51" s="65">
        <v>4439</v>
      </c>
      <c r="L51" s="65">
        <v>5197</v>
      </c>
      <c r="M51" s="66">
        <v>300</v>
      </c>
      <c r="N51" s="67">
        <v>229</v>
      </c>
      <c r="O51" s="60"/>
      <c r="P51" s="2"/>
      <c r="Q51" s="2"/>
      <c r="R51" s="2"/>
      <c r="S51" s="2"/>
      <c r="T51" s="2"/>
      <c r="U51" s="2"/>
      <c r="V51" s="2"/>
      <c r="W51" s="2"/>
      <c r="X51" s="2"/>
      <c r="Y51" s="38"/>
    </row>
    <row r="52" spans="2:25" ht="15.75" customHeight="1" x14ac:dyDescent="0.3">
      <c r="B52" s="2"/>
      <c r="C52" s="61" t="s">
        <v>74</v>
      </c>
      <c r="D52" s="62" t="s">
        <v>165</v>
      </c>
      <c r="E52" s="63" t="s">
        <v>166</v>
      </c>
      <c r="F52" s="64">
        <v>2932</v>
      </c>
      <c r="G52" s="65">
        <v>3041</v>
      </c>
      <c r="H52" s="65">
        <v>3237</v>
      </c>
      <c r="I52" s="65">
        <v>3524</v>
      </c>
      <c r="J52" s="65">
        <v>4081</v>
      </c>
      <c r="K52" s="65">
        <v>4439</v>
      </c>
      <c r="L52" s="65">
        <v>5197</v>
      </c>
      <c r="M52" s="66">
        <v>300</v>
      </c>
      <c r="N52" s="67">
        <v>229</v>
      </c>
      <c r="O52" s="60"/>
      <c r="P52" s="2"/>
      <c r="Q52" s="2"/>
      <c r="R52" s="2"/>
      <c r="S52" s="2"/>
      <c r="T52" s="2"/>
      <c r="U52" s="2"/>
      <c r="V52" s="2"/>
      <c r="W52" s="2"/>
      <c r="X52" s="2"/>
      <c r="Y52" s="38"/>
    </row>
    <row r="53" spans="2:25" ht="15.75" customHeight="1" x14ac:dyDescent="0.3">
      <c r="B53" s="2"/>
      <c r="C53" s="61" t="s">
        <v>74</v>
      </c>
      <c r="D53" s="62" t="s">
        <v>167</v>
      </c>
      <c r="E53" s="63" t="s">
        <v>168</v>
      </c>
      <c r="F53" s="64">
        <v>2932</v>
      </c>
      <c r="G53" s="65">
        <v>3041</v>
      </c>
      <c r="H53" s="65">
        <v>3237</v>
      </c>
      <c r="I53" s="65">
        <v>3524</v>
      </c>
      <c r="J53" s="65">
        <v>4081</v>
      </c>
      <c r="K53" s="65">
        <v>4439</v>
      </c>
      <c r="L53" s="65">
        <v>5197</v>
      </c>
      <c r="M53" s="66">
        <v>300</v>
      </c>
      <c r="N53" s="67">
        <v>229</v>
      </c>
      <c r="O53" s="60"/>
      <c r="P53" s="2"/>
      <c r="Q53" s="2"/>
      <c r="R53" s="2"/>
      <c r="S53" s="2"/>
      <c r="T53" s="2"/>
      <c r="U53" s="2"/>
      <c r="V53" s="2"/>
      <c r="W53" s="2"/>
      <c r="X53" s="2"/>
      <c r="Y53" s="38"/>
    </row>
    <row r="54" spans="2:25" ht="15.75" customHeight="1" x14ac:dyDescent="0.3">
      <c r="B54" s="2"/>
      <c r="C54" s="61" t="s">
        <v>74</v>
      </c>
      <c r="D54" s="62" t="s">
        <v>169</v>
      </c>
      <c r="E54" s="63" t="s">
        <v>170</v>
      </c>
      <c r="F54" s="64">
        <v>2932</v>
      </c>
      <c r="G54" s="65">
        <v>3041</v>
      </c>
      <c r="H54" s="65">
        <v>3237</v>
      </c>
      <c r="I54" s="65">
        <v>3524</v>
      </c>
      <c r="J54" s="65">
        <v>4081</v>
      </c>
      <c r="K54" s="65">
        <v>4439</v>
      </c>
      <c r="L54" s="65">
        <v>5197</v>
      </c>
      <c r="M54" s="66">
        <v>300</v>
      </c>
      <c r="N54" s="67">
        <v>229</v>
      </c>
      <c r="O54" s="60"/>
      <c r="P54" s="2"/>
      <c r="Q54" s="2"/>
      <c r="R54" s="2"/>
      <c r="S54" s="2"/>
      <c r="T54" s="2"/>
      <c r="U54" s="2"/>
      <c r="V54" s="2"/>
      <c r="W54" s="2"/>
      <c r="X54" s="2"/>
      <c r="Y54" s="38"/>
    </row>
    <row r="55" spans="2:25" ht="15.75" customHeight="1" x14ac:dyDescent="0.3">
      <c r="B55" s="2"/>
      <c r="C55" s="61" t="s">
        <v>74</v>
      </c>
      <c r="D55" s="62" t="s">
        <v>171</v>
      </c>
      <c r="E55" s="63" t="s">
        <v>172</v>
      </c>
      <c r="F55" s="64">
        <v>2932</v>
      </c>
      <c r="G55" s="65">
        <v>3041</v>
      </c>
      <c r="H55" s="65">
        <v>3237</v>
      </c>
      <c r="I55" s="65">
        <v>3524</v>
      </c>
      <c r="J55" s="65">
        <v>4081</v>
      </c>
      <c r="K55" s="65">
        <v>4439</v>
      </c>
      <c r="L55" s="65">
        <v>5197</v>
      </c>
      <c r="M55" s="66">
        <v>300</v>
      </c>
      <c r="N55" s="67">
        <v>229</v>
      </c>
      <c r="O55" s="60"/>
      <c r="P55" s="2"/>
      <c r="Q55" s="2"/>
      <c r="R55" s="2"/>
      <c r="S55" s="2"/>
      <c r="T55" s="2"/>
      <c r="U55" s="2"/>
      <c r="V55" s="2"/>
      <c r="W55" s="2"/>
      <c r="X55" s="2"/>
      <c r="Y55" s="38"/>
    </row>
    <row r="56" spans="2:25" ht="15.75" customHeight="1" x14ac:dyDescent="0.3">
      <c r="B56" s="2"/>
      <c r="C56" s="61" t="s">
        <v>74</v>
      </c>
      <c r="D56" s="62" t="s">
        <v>173</v>
      </c>
      <c r="E56" s="63" t="s">
        <v>174</v>
      </c>
      <c r="F56" s="64">
        <v>3589</v>
      </c>
      <c r="G56" s="65">
        <v>3839</v>
      </c>
      <c r="H56" s="65">
        <v>4357</v>
      </c>
      <c r="I56" s="65">
        <v>5160</v>
      </c>
      <c r="J56" s="65">
        <v>6411</v>
      </c>
      <c r="K56" s="65">
        <v>7245</v>
      </c>
      <c r="L56" s="65">
        <v>8131</v>
      </c>
      <c r="M56" s="66">
        <v>410</v>
      </c>
      <c r="N56" s="67">
        <v>340</v>
      </c>
      <c r="O56" s="60"/>
      <c r="P56" s="2"/>
      <c r="Q56" s="2"/>
      <c r="R56" s="2"/>
      <c r="S56" s="2"/>
      <c r="T56" s="2"/>
      <c r="U56" s="2"/>
      <c r="V56" s="2"/>
      <c r="W56" s="2"/>
      <c r="X56" s="2"/>
      <c r="Y56" s="38"/>
    </row>
    <row r="57" spans="2:25" ht="15.75" customHeight="1" thickBot="1" x14ac:dyDescent="0.35">
      <c r="B57" s="2"/>
      <c r="C57" s="68" t="s">
        <v>74</v>
      </c>
      <c r="D57" s="69" t="s">
        <v>175</v>
      </c>
      <c r="E57" s="70" t="s">
        <v>176</v>
      </c>
      <c r="F57" s="71">
        <v>2932</v>
      </c>
      <c r="G57" s="72">
        <v>3041</v>
      </c>
      <c r="H57" s="72">
        <v>3237</v>
      </c>
      <c r="I57" s="72">
        <v>3524</v>
      </c>
      <c r="J57" s="72">
        <v>4081</v>
      </c>
      <c r="K57" s="72">
        <v>4439</v>
      </c>
      <c r="L57" s="72">
        <v>5197</v>
      </c>
      <c r="M57" s="73">
        <v>300</v>
      </c>
      <c r="N57" s="74">
        <v>229</v>
      </c>
      <c r="O57" s="60"/>
      <c r="P57" s="2"/>
      <c r="Q57" s="2"/>
      <c r="R57" s="2"/>
      <c r="S57" s="2"/>
      <c r="T57" s="2"/>
      <c r="U57" s="2"/>
      <c r="V57" s="2"/>
      <c r="W57" s="2"/>
      <c r="X57" s="2"/>
      <c r="Y57" s="38"/>
    </row>
    <row r="58" spans="2:25" ht="15.75" customHeight="1" x14ac:dyDescent="0.3">
      <c r="B58" s="2"/>
      <c r="C58" s="53" t="s">
        <v>177</v>
      </c>
      <c r="D58" s="54" t="s">
        <v>178</v>
      </c>
      <c r="E58" s="55" t="s">
        <v>20</v>
      </c>
      <c r="F58" s="56">
        <v>4526</v>
      </c>
      <c r="G58" s="57">
        <v>4982</v>
      </c>
      <c r="H58" s="57">
        <v>5537</v>
      </c>
      <c r="I58" s="57">
        <v>6259</v>
      </c>
      <c r="J58" s="57">
        <v>7796</v>
      </c>
      <c r="K58" s="57">
        <v>9314</v>
      </c>
      <c r="L58" s="57">
        <v>10566</v>
      </c>
      <c r="M58" s="58">
        <v>541</v>
      </c>
      <c r="N58" s="59">
        <v>444</v>
      </c>
      <c r="O58" s="60"/>
      <c r="P58" s="2"/>
      <c r="Q58" s="2"/>
      <c r="R58" s="2"/>
      <c r="S58" s="2"/>
      <c r="T58" s="2"/>
      <c r="U58" s="2"/>
      <c r="V58" s="2"/>
      <c r="W58" s="2"/>
      <c r="X58" s="2"/>
      <c r="Y58" s="38"/>
    </row>
    <row r="59" spans="2:25" ht="15.75" customHeight="1" x14ac:dyDescent="0.3">
      <c r="B59" s="2"/>
      <c r="C59" s="61" t="s">
        <v>177</v>
      </c>
      <c r="D59" s="62" t="s">
        <v>179</v>
      </c>
      <c r="E59" s="63" t="s">
        <v>180</v>
      </c>
      <c r="F59" s="64">
        <v>4244</v>
      </c>
      <c r="G59" s="65">
        <v>4672</v>
      </c>
      <c r="H59" s="65">
        <v>5192</v>
      </c>
      <c r="I59" s="65">
        <v>5869</v>
      </c>
      <c r="J59" s="65">
        <v>7201</v>
      </c>
      <c r="K59" s="65">
        <v>8604</v>
      </c>
      <c r="L59" s="65">
        <v>9767</v>
      </c>
      <c r="M59" s="66">
        <v>532</v>
      </c>
      <c r="N59" s="67">
        <v>436</v>
      </c>
      <c r="O59" s="60"/>
      <c r="P59" s="2"/>
      <c r="Q59" s="2"/>
      <c r="R59" s="2"/>
      <c r="S59" s="2"/>
      <c r="T59" s="2"/>
      <c r="U59" s="2"/>
      <c r="V59" s="2"/>
      <c r="W59" s="2"/>
      <c r="X59" s="2"/>
      <c r="Y59" s="38"/>
    </row>
    <row r="60" spans="2:25" ht="15.75" customHeight="1" x14ac:dyDescent="0.3">
      <c r="B60" s="2"/>
      <c r="C60" s="61" t="s">
        <v>177</v>
      </c>
      <c r="D60" s="62" t="s">
        <v>181</v>
      </c>
      <c r="E60" s="63" t="s">
        <v>182</v>
      </c>
      <c r="F60" s="64">
        <v>4244</v>
      </c>
      <c r="G60" s="65">
        <v>4672</v>
      </c>
      <c r="H60" s="65">
        <v>5192</v>
      </c>
      <c r="I60" s="65">
        <v>5869</v>
      </c>
      <c r="J60" s="65">
        <v>7201</v>
      </c>
      <c r="K60" s="65">
        <v>8604</v>
      </c>
      <c r="L60" s="65">
        <v>9767</v>
      </c>
      <c r="M60" s="66">
        <v>532</v>
      </c>
      <c r="N60" s="67">
        <v>436</v>
      </c>
      <c r="O60" s="60"/>
      <c r="P60" s="2"/>
      <c r="Q60" s="2"/>
      <c r="R60" s="2"/>
      <c r="S60" s="2"/>
      <c r="T60" s="2"/>
      <c r="U60" s="2"/>
      <c r="V60" s="2"/>
      <c r="W60" s="2"/>
      <c r="X60" s="2"/>
      <c r="Y60" s="38"/>
    </row>
    <row r="61" spans="2:25" ht="15.75" customHeight="1" x14ac:dyDescent="0.3">
      <c r="B61" s="2"/>
      <c r="C61" s="61" t="s">
        <v>177</v>
      </c>
      <c r="D61" s="62" t="s">
        <v>183</v>
      </c>
      <c r="E61" s="63" t="s">
        <v>184</v>
      </c>
      <c r="F61" s="64">
        <v>4526</v>
      </c>
      <c r="G61" s="65">
        <v>4982</v>
      </c>
      <c r="H61" s="65">
        <v>5537</v>
      </c>
      <c r="I61" s="65">
        <v>6259</v>
      </c>
      <c r="J61" s="65">
        <v>7796</v>
      </c>
      <c r="K61" s="65">
        <v>9314</v>
      </c>
      <c r="L61" s="65">
        <v>10566</v>
      </c>
      <c r="M61" s="66">
        <v>541</v>
      </c>
      <c r="N61" s="67">
        <v>444</v>
      </c>
      <c r="O61" s="60"/>
      <c r="P61" s="2"/>
      <c r="Q61" s="2"/>
      <c r="R61" s="2"/>
      <c r="S61" s="2"/>
      <c r="T61" s="2"/>
      <c r="U61" s="2"/>
      <c r="V61" s="2"/>
      <c r="W61" s="2"/>
      <c r="X61" s="2"/>
      <c r="Y61" s="38"/>
    </row>
    <row r="62" spans="2:25" ht="15.75" customHeight="1" x14ac:dyDescent="0.3">
      <c r="B62" s="2"/>
      <c r="C62" s="61" t="s">
        <v>177</v>
      </c>
      <c r="D62" s="62" t="s">
        <v>185</v>
      </c>
      <c r="E62" s="63" t="s">
        <v>186</v>
      </c>
      <c r="F62" s="64">
        <v>6789</v>
      </c>
      <c r="G62" s="65">
        <v>7473</v>
      </c>
      <c r="H62" s="65">
        <v>8305.5</v>
      </c>
      <c r="I62" s="65">
        <v>9388.5</v>
      </c>
      <c r="J62" s="65">
        <v>11694</v>
      </c>
      <c r="K62" s="65">
        <v>13971</v>
      </c>
      <c r="L62" s="65">
        <v>15849</v>
      </c>
      <c r="M62" s="66">
        <v>811.5</v>
      </c>
      <c r="N62" s="67">
        <v>666</v>
      </c>
      <c r="O62" s="60"/>
      <c r="P62" s="2"/>
      <c r="Q62" s="2"/>
      <c r="R62" s="2"/>
      <c r="S62" s="2"/>
      <c r="T62" s="2"/>
      <c r="U62" s="2"/>
      <c r="V62" s="2"/>
      <c r="W62" s="2"/>
      <c r="X62" s="2"/>
      <c r="Y62" s="38"/>
    </row>
    <row r="63" spans="2:25" ht="15.75" customHeight="1" x14ac:dyDescent="0.3">
      <c r="B63" s="2"/>
      <c r="C63" s="61" t="s">
        <v>177</v>
      </c>
      <c r="D63" s="62" t="s">
        <v>187</v>
      </c>
      <c r="E63" s="63" t="s">
        <v>188</v>
      </c>
      <c r="F63" s="64">
        <v>6789</v>
      </c>
      <c r="G63" s="65">
        <v>7473</v>
      </c>
      <c r="H63" s="65">
        <v>8305.5</v>
      </c>
      <c r="I63" s="65">
        <v>9388.5</v>
      </c>
      <c r="J63" s="65">
        <v>11694</v>
      </c>
      <c r="K63" s="65">
        <v>13971</v>
      </c>
      <c r="L63" s="65">
        <v>15849</v>
      </c>
      <c r="M63" s="66">
        <v>811.5</v>
      </c>
      <c r="N63" s="67">
        <v>666</v>
      </c>
      <c r="O63" s="60"/>
      <c r="P63" s="2"/>
      <c r="Q63" s="2"/>
      <c r="R63" s="2"/>
      <c r="S63" s="2"/>
      <c r="T63" s="2"/>
      <c r="U63" s="2"/>
      <c r="V63" s="2"/>
      <c r="W63" s="2"/>
      <c r="X63" s="2"/>
      <c r="Y63" s="38"/>
    </row>
    <row r="64" spans="2:25" ht="15.75" customHeight="1" x14ac:dyDescent="0.3">
      <c r="B64" s="2"/>
      <c r="C64" s="61" t="s">
        <v>177</v>
      </c>
      <c r="D64" s="62" t="s">
        <v>189</v>
      </c>
      <c r="E64" s="63" t="s">
        <v>190</v>
      </c>
      <c r="F64" s="64">
        <v>6366</v>
      </c>
      <c r="G64" s="65">
        <v>7008</v>
      </c>
      <c r="H64" s="65">
        <v>7788</v>
      </c>
      <c r="I64" s="65">
        <v>8803.5</v>
      </c>
      <c r="J64" s="65">
        <v>10801.5</v>
      </c>
      <c r="K64" s="65">
        <v>12906</v>
      </c>
      <c r="L64" s="65">
        <v>14650.5</v>
      </c>
      <c r="M64" s="66">
        <v>798</v>
      </c>
      <c r="N64" s="67">
        <v>654</v>
      </c>
      <c r="O64" s="60"/>
      <c r="P64" s="2"/>
      <c r="Q64" s="2"/>
      <c r="R64" s="2"/>
      <c r="S64" s="2"/>
      <c r="T64" s="2"/>
      <c r="U64" s="2"/>
      <c r="V64" s="2"/>
      <c r="W64" s="2"/>
      <c r="X64" s="2"/>
      <c r="Y64" s="38"/>
    </row>
    <row r="65" spans="2:25" ht="15.75" customHeight="1" x14ac:dyDescent="0.3">
      <c r="B65" s="2"/>
      <c r="C65" s="61" t="s">
        <v>177</v>
      </c>
      <c r="D65" s="62" t="s">
        <v>191</v>
      </c>
      <c r="E65" s="63" t="s">
        <v>192</v>
      </c>
      <c r="F65" s="64">
        <v>4526</v>
      </c>
      <c r="G65" s="65">
        <v>4982</v>
      </c>
      <c r="H65" s="65">
        <v>5537</v>
      </c>
      <c r="I65" s="65">
        <v>6259</v>
      </c>
      <c r="J65" s="65">
        <v>7796</v>
      </c>
      <c r="K65" s="65">
        <v>9314</v>
      </c>
      <c r="L65" s="65">
        <v>10566</v>
      </c>
      <c r="M65" s="66">
        <v>541</v>
      </c>
      <c r="N65" s="67">
        <v>444</v>
      </c>
      <c r="O65" s="60"/>
      <c r="P65" s="2"/>
      <c r="Q65" s="2"/>
      <c r="R65" s="2"/>
      <c r="S65" s="2"/>
      <c r="T65" s="2"/>
      <c r="U65" s="2"/>
      <c r="V65" s="2"/>
      <c r="W65" s="2"/>
      <c r="X65" s="2"/>
      <c r="Y65" s="38"/>
    </row>
    <row r="66" spans="2:25" ht="15.75" customHeight="1" thickBot="1" x14ac:dyDescent="0.35">
      <c r="B66" s="2"/>
      <c r="C66" s="68" t="s">
        <v>177</v>
      </c>
      <c r="D66" s="69" t="s">
        <v>193</v>
      </c>
      <c r="E66" s="70" t="s">
        <v>194</v>
      </c>
      <c r="F66" s="71">
        <v>4244</v>
      </c>
      <c r="G66" s="72">
        <v>4672</v>
      </c>
      <c r="H66" s="72">
        <v>5192</v>
      </c>
      <c r="I66" s="72">
        <v>5869</v>
      </c>
      <c r="J66" s="72">
        <v>7201</v>
      </c>
      <c r="K66" s="72">
        <v>8604</v>
      </c>
      <c r="L66" s="72">
        <v>9767</v>
      </c>
      <c r="M66" s="73">
        <v>532</v>
      </c>
      <c r="N66" s="74">
        <v>436</v>
      </c>
      <c r="O66" s="60"/>
      <c r="P66" s="2"/>
      <c r="Q66" s="2"/>
      <c r="R66" s="2"/>
      <c r="S66" s="2"/>
      <c r="T66" s="2"/>
      <c r="U66" s="2"/>
      <c r="V66" s="2"/>
      <c r="W66" s="2"/>
      <c r="X66" s="2"/>
      <c r="Y66" s="38"/>
    </row>
    <row r="67" spans="2:25" ht="15.75" customHeight="1" x14ac:dyDescent="0.3">
      <c r="B67" s="2"/>
      <c r="C67" s="53" t="s">
        <v>195</v>
      </c>
      <c r="D67" s="54" t="s">
        <v>196</v>
      </c>
      <c r="E67" s="55" t="s">
        <v>197</v>
      </c>
      <c r="F67" s="56">
        <v>4244</v>
      </c>
      <c r="G67" s="57">
        <v>4672</v>
      </c>
      <c r="H67" s="57">
        <v>5192</v>
      </c>
      <c r="I67" s="57">
        <v>5869</v>
      </c>
      <c r="J67" s="57">
        <v>7201</v>
      </c>
      <c r="K67" s="57">
        <v>8604</v>
      </c>
      <c r="L67" s="57">
        <v>9767</v>
      </c>
      <c r="M67" s="58">
        <v>532</v>
      </c>
      <c r="N67" s="59">
        <v>436</v>
      </c>
      <c r="O67" s="60"/>
      <c r="P67" s="2"/>
      <c r="Q67" s="2"/>
      <c r="R67" s="2"/>
      <c r="S67" s="2"/>
      <c r="T67" s="2"/>
      <c r="U67" s="2"/>
      <c r="V67" s="2"/>
      <c r="W67" s="2"/>
      <c r="X67" s="2"/>
      <c r="Y67" s="38"/>
    </row>
    <row r="68" spans="2:25" ht="15.75" customHeight="1" x14ac:dyDescent="0.3">
      <c r="B68" s="2"/>
      <c r="C68" s="61" t="s">
        <v>195</v>
      </c>
      <c r="D68" s="62" t="s">
        <v>198</v>
      </c>
      <c r="E68" s="63" t="s">
        <v>199</v>
      </c>
      <c r="F68" s="64">
        <v>6366</v>
      </c>
      <c r="G68" s="65">
        <v>7008</v>
      </c>
      <c r="H68" s="65">
        <v>7788</v>
      </c>
      <c r="I68" s="65">
        <v>8803.5</v>
      </c>
      <c r="J68" s="65">
        <v>10801.5</v>
      </c>
      <c r="K68" s="65">
        <v>12906</v>
      </c>
      <c r="L68" s="65">
        <v>14650.5</v>
      </c>
      <c r="M68" s="66">
        <v>798</v>
      </c>
      <c r="N68" s="67">
        <v>654</v>
      </c>
      <c r="O68" s="60"/>
      <c r="P68" s="2"/>
      <c r="Q68" s="2"/>
      <c r="R68" s="2"/>
      <c r="S68" s="2"/>
      <c r="T68" s="2"/>
      <c r="U68" s="2"/>
      <c r="V68" s="2"/>
      <c r="W68" s="2"/>
      <c r="X68" s="2"/>
      <c r="Y68" s="38"/>
    </row>
    <row r="69" spans="2:25" ht="15.75" customHeight="1" x14ac:dyDescent="0.3">
      <c r="B69" s="2"/>
      <c r="C69" s="61" t="s">
        <v>195</v>
      </c>
      <c r="D69" s="62" t="s">
        <v>200</v>
      </c>
      <c r="E69" s="63" t="s">
        <v>201</v>
      </c>
      <c r="F69" s="64">
        <v>5565</v>
      </c>
      <c r="G69" s="65">
        <v>5887.5</v>
      </c>
      <c r="H69" s="65">
        <v>6813</v>
      </c>
      <c r="I69" s="65">
        <v>7923</v>
      </c>
      <c r="J69" s="65">
        <v>9793.5</v>
      </c>
      <c r="K69" s="65">
        <v>11770.5</v>
      </c>
      <c r="L69" s="65">
        <v>13221</v>
      </c>
      <c r="M69" s="66">
        <v>670.5</v>
      </c>
      <c r="N69" s="67">
        <v>564</v>
      </c>
      <c r="O69" s="60"/>
      <c r="P69" s="2"/>
      <c r="Q69" s="2"/>
      <c r="R69" s="2"/>
      <c r="S69" s="2"/>
      <c r="T69" s="2"/>
      <c r="U69" s="2"/>
      <c r="V69" s="2"/>
      <c r="W69" s="2"/>
      <c r="X69" s="2"/>
      <c r="Y69" s="38"/>
    </row>
    <row r="70" spans="2:25" ht="15.75" customHeight="1" x14ac:dyDescent="0.3">
      <c r="B70" s="2"/>
      <c r="C70" s="61" t="s">
        <v>195</v>
      </c>
      <c r="D70" s="62" t="s">
        <v>202</v>
      </c>
      <c r="E70" s="63" t="s">
        <v>203</v>
      </c>
      <c r="F70" s="64">
        <v>6457.5</v>
      </c>
      <c r="G70" s="65">
        <v>7111.5</v>
      </c>
      <c r="H70" s="65">
        <v>7900.5</v>
      </c>
      <c r="I70" s="65">
        <v>8932.5</v>
      </c>
      <c r="J70" s="65">
        <v>10696.5</v>
      </c>
      <c r="K70" s="65">
        <v>12924</v>
      </c>
      <c r="L70" s="65">
        <v>14671.5</v>
      </c>
      <c r="M70" s="66">
        <v>799.5</v>
      </c>
      <c r="N70" s="67">
        <v>655.5</v>
      </c>
      <c r="O70" s="60"/>
      <c r="P70" s="2"/>
      <c r="Q70" s="2"/>
      <c r="R70" s="2"/>
      <c r="S70" s="2"/>
      <c r="T70" s="2"/>
      <c r="U70" s="2"/>
      <c r="V70" s="2"/>
      <c r="W70" s="2"/>
      <c r="X70" s="2"/>
      <c r="Y70" s="38"/>
    </row>
    <row r="71" spans="2:25" ht="15.75" customHeight="1" x14ac:dyDescent="0.3">
      <c r="B71" s="2"/>
      <c r="C71" s="61" t="s">
        <v>195</v>
      </c>
      <c r="D71" s="62" t="s">
        <v>204</v>
      </c>
      <c r="E71" s="63" t="s">
        <v>205</v>
      </c>
      <c r="F71" s="64">
        <v>3710</v>
      </c>
      <c r="G71" s="65">
        <v>3925</v>
      </c>
      <c r="H71" s="65">
        <v>4542</v>
      </c>
      <c r="I71" s="65">
        <v>5282</v>
      </c>
      <c r="J71" s="65">
        <v>6529</v>
      </c>
      <c r="K71" s="65">
        <v>7847</v>
      </c>
      <c r="L71" s="65">
        <v>8814</v>
      </c>
      <c r="M71" s="66">
        <v>447</v>
      </c>
      <c r="N71" s="67">
        <v>376</v>
      </c>
      <c r="O71" s="60"/>
      <c r="P71" s="2"/>
      <c r="Q71" s="2"/>
      <c r="R71" s="2"/>
      <c r="S71" s="2"/>
      <c r="T71" s="2"/>
      <c r="U71" s="2"/>
      <c r="V71" s="2"/>
      <c r="W71" s="2"/>
      <c r="X71" s="2"/>
      <c r="Y71" s="38"/>
    </row>
    <row r="72" spans="2:25" ht="15.75" customHeight="1" x14ac:dyDescent="0.3">
      <c r="B72" s="2"/>
      <c r="C72" s="61" t="s">
        <v>195</v>
      </c>
      <c r="D72" s="62" t="s">
        <v>206</v>
      </c>
      <c r="E72" s="63" t="s">
        <v>22</v>
      </c>
      <c r="F72" s="64">
        <v>4244</v>
      </c>
      <c r="G72" s="65">
        <v>4672</v>
      </c>
      <c r="H72" s="65">
        <v>5192</v>
      </c>
      <c r="I72" s="65">
        <v>5869</v>
      </c>
      <c r="J72" s="65">
        <v>7201</v>
      </c>
      <c r="K72" s="65">
        <v>8604</v>
      </c>
      <c r="L72" s="65">
        <v>9767</v>
      </c>
      <c r="M72" s="66">
        <v>532</v>
      </c>
      <c r="N72" s="67">
        <v>436</v>
      </c>
      <c r="O72" s="60"/>
      <c r="P72" s="2"/>
      <c r="Q72" s="2">
        <v>9767</v>
      </c>
      <c r="R72" s="2"/>
      <c r="S72" s="2"/>
      <c r="T72" s="2"/>
      <c r="U72" s="2"/>
      <c r="V72" s="2"/>
      <c r="W72" s="2"/>
      <c r="X72" s="2"/>
      <c r="Y72" s="38"/>
    </row>
    <row r="73" spans="2:25" ht="15.75" customHeight="1" x14ac:dyDescent="0.3">
      <c r="B73" s="2"/>
      <c r="C73" s="61" t="s">
        <v>195</v>
      </c>
      <c r="D73" s="62" t="s">
        <v>207</v>
      </c>
      <c r="E73" s="63" t="s">
        <v>208</v>
      </c>
      <c r="F73" s="64">
        <v>4244</v>
      </c>
      <c r="G73" s="65">
        <v>4672</v>
      </c>
      <c r="H73" s="65">
        <v>5192</v>
      </c>
      <c r="I73" s="65">
        <v>5869</v>
      </c>
      <c r="J73" s="65">
        <v>7201</v>
      </c>
      <c r="K73" s="65">
        <v>8604</v>
      </c>
      <c r="L73" s="65">
        <v>9767</v>
      </c>
      <c r="M73" s="66">
        <v>532</v>
      </c>
      <c r="N73" s="67">
        <v>436</v>
      </c>
      <c r="O73" s="60"/>
      <c r="P73" s="2"/>
      <c r="Q73" s="146">
        <f>11*M72</f>
        <v>5852</v>
      </c>
      <c r="R73" s="2"/>
      <c r="S73" s="2"/>
      <c r="T73" s="2"/>
      <c r="U73" s="2"/>
      <c r="V73" s="2"/>
      <c r="W73" s="2"/>
      <c r="X73" s="2"/>
      <c r="Y73" s="38"/>
    </row>
    <row r="74" spans="2:25" ht="15.75" customHeight="1" x14ac:dyDescent="0.3">
      <c r="B74" s="2"/>
      <c r="C74" s="61" t="s">
        <v>195</v>
      </c>
      <c r="D74" s="62" t="s">
        <v>209</v>
      </c>
      <c r="E74" s="63" t="s">
        <v>210</v>
      </c>
      <c r="F74" s="64">
        <v>3710</v>
      </c>
      <c r="G74" s="65">
        <v>3925</v>
      </c>
      <c r="H74" s="65">
        <v>4542</v>
      </c>
      <c r="I74" s="65">
        <v>5282</v>
      </c>
      <c r="J74" s="65">
        <v>6529</v>
      </c>
      <c r="K74" s="65">
        <v>7847</v>
      </c>
      <c r="L74" s="65">
        <v>8814</v>
      </c>
      <c r="M74" s="66">
        <v>447</v>
      </c>
      <c r="N74" s="67">
        <v>376</v>
      </c>
      <c r="O74" s="60"/>
      <c r="P74" s="2"/>
      <c r="Q74" s="146">
        <f>Q72+Q73</f>
        <v>15619</v>
      </c>
      <c r="R74" s="2"/>
      <c r="S74" s="2"/>
      <c r="T74" s="2"/>
      <c r="U74" s="2"/>
      <c r="V74" s="2"/>
      <c r="W74" s="2"/>
      <c r="X74" s="2"/>
      <c r="Y74" s="38"/>
    </row>
    <row r="75" spans="2:25" ht="15.75" customHeight="1" x14ac:dyDescent="0.3">
      <c r="B75" s="2"/>
      <c r="C75" s="61" t="s">
        <v>195</v>
      </c>
      <c r="D75" s="62" t="s">
        <v>211</v>
      </c>
      <c r="E75" s="63" t="s">
        <v>212</v>
      </c>
      <c r="F75" s="64">
        <v>6457.5</v>
      </c>
      <c r="G75" s="65">
        <v>7111.5</v>
      </c>
      <c r="H75" s="65">
        <v>7900.5</v>
      </c>
      <c r="I75" s="65">
        <v>8932.5</v>
      </c>
      <c r="J75" s="65">
        <v>10696.5</v>
      </c>
      <c r="K75" s="65">
        <v>12924</v>
      </c>
      <c r="L75" s="65">
        <v>14671.5</v>
      </c>
      <c r="M75" s="66">
        <v>799.5</v>
      </c>
      <c r="N75" s="67">
        <v>655.5</v>
      </c>
      <c r="O75" s="60"/>
      <c r="P75" s="2"/>
      <c r="Q75" s="2"/>
      <c r="R75" s="2"/>
      <c r="S75" s="2"/>
      <c r="T75" s="2"/>
      <c r="U75" s="2"/>
      <c r="V75" s="2"/>
      <c r="W75" s="2"/>
      <c r="X75" s="2"/>
      <c r="Y75" s="38"/>
    </row>
    <row r="76" spans="2:25" ht="15.75" customHeight="1" x14ac:dyDescent="0.3">
      <c r="B76" s="2"/>
      <c r="C76" s="61" t="s">
        <v>195</v>
      </c>
      <c r="D76" s="62" t="s">
        <v>213</v>
      </c>
      <c r="E76" s="63" t="s">
        <v>24</v>
      </c>
      <c r="F76" s="64">
        <v>4305</v>
      </c>
      <c r="G76" s="65">
        <v>4741</v>
      </c>
      <c r="H76" s="65">
        <v>5267</v>
      </c>
      <c r="I76" s="65">
        <v>5955</v>
      </c>
      <c r="J76" s="65">
        <v>7131</v>
      </c>
      <c r="K76" s="65">
        <v>8616</v>
      </c>
      <c r="L76" s="65">
        <v>9781</v>
      </c>
      <c r="M76" s="66">
        <v>533</v>
      </c>
      <c r="N76" s="67">
        <v>437</v>
      </c>
      <c r="O76" s="60"/>
      <c r="P76" s="2"/>
      <c r="Q76" s="2"/>
      <c r="R76" s="2"/>
      <c r="S76" s="2"/>
      <c r="T76" s="2"/>
      <c r="U76" s="2"/>
      <c r="V76" s="2"/>
      <c r="W76" s="2"/>
      <c r="X76" s="2"/>
      <c r="Y76" s="38"/>
    </row>
    <row r="77" spans="2:25" ht="15.75" customHeight="1" x14ac:dyDescent="0.3">
      <c r="B77" s="2"/>
      <c r="C77" s="61" t="s">
        <v>195</v>
      </c>
      <c r="D77" s="62" t="s">
        <v>214</v>
      </c>
      <c r="E77" s="63" t="s">
        <v>215</v>
      </c>
      <c r="F77" s="64">
        <v>6366</v>
      </c>
      <c r="G77" s="65">
        <v>7008</v>
      </c>
      <c r="H77" s="65">
        <v>7788</v>
      </c>
      <c r="I77" s="65">
        <v>8803.5</v>
      </c>
      <c r="J77" s="65">
        <v>10801.5</v>
      </c>
      <c r="K77" s="65">
        <v>12906</v>
      </c>
      <c r="L77" s="65">
        <v>14650.5</v>
      </c>
      <c r="M77" s="66">
        <v>798</v>
      </c>
      <c r="N77" s="67">
        <v>654</v>
      </c>
      <c r="O77" s="60"/>
      <c r="P77" s="2"/>
      <c r="Q77" s="2"/>
      <c r="R77" s="2"/>
      <c r="S77" s="2"/>
      <c r="T77" s="2"/>
      <c r="U77" s="2"/>
      <c r="V77" s="2"/>
      <c r="W77" s="2"/>
      <c r="X77" s="2"/>
      <c r="Y77" s="38"/>
    </row>
    <row r="78" spans="2:25" ht="15.75" customHeight="1" x14ac:dyDescent="0.3">
      <c r="B78" s="2"/>
      <c r="C78" s="61" t="s">
        <v>195</v>
      </c>
      <c r="D78" s="62" t="s">
        <v>216</v>
      </c>
      <c r="E78" s="63" t="s">
        <v>217</v>
      </c>
      <c r="F78" s="64">
        <v>4305</v>
      </c>
      <c r="G78" s="65">
        <v>4741</v>
      </c>
      <c r="H78" s="65">
        <v>5267</v>
      </c>
      <c r="I78" s="65">
        <v>5955</v>
      </c>
      <c r="J78" s="65">
        <v>7131</v>
      </c>
      <c r="K78" s="65">
        <v>8616</v>
      </c>
      <c r="L78" s="65">
        <v>9781</v>
      </c>
      <c r="M78" s="66">
        <v>533</v>
      </c>
      <c r="N78" s="67">
        <v>437</v>
      </c>
      <c r="O78" s="60"/>
      <c r="P78" s="2"/>
      <c r="Q78" s="2"/>
      <c r="R78" s="2"/>
      <c r="S78" s="2"/>
      <c r="T78" s="2"/>
      <c r="U78" s="2"/>
      <c r="V78" s="2"/>
      <c r="W78" s="2"/>
      <c r="X78" s="2"/>
      <c r="Y78" s="38"/>
    </row>
    <row r="79" spans="2:25" ht="15.75" customHeight="1" x14ac:dyDescent="0.3">
      <c r="B79" s="2"/>
      <c r="C79" s="61" t="s">
        <v>195</v>
      </c>
      <c r="D79" s="62" t="s">
        <v>218</v>
      </c>
      <c r="E79" s="63" t="s">
        <v>219</v>
      </c>
      <c r="F79" s="64">
        <v>6457.5</v>
      </c>
      <c r="G79" s="65">
        <v>7111.5</v>
      </c>
      <c r="H79" s="65">
        <v>7900.5</v>
      </c>
      <c r="I79" s="65">
        <v>8932.5</v>
      </c>
      <c r="J79" s="65">
        <v>10696.5</v>
      </c>
      <c r="K79" s="65">
        <v>12924</v>
      </c>
      <c r="L79" s="65">
        <v>14671.5</v>
      </c>
      <c r="M79" s="66">
        <v>799.5</v>
      </c>
      <c r="N79" s="67">
        <v>655.5</v>
      </c>
      <c r="O79" s="60"/>
      <c r="P79" s="2"/>
      <c r="Q79" s="2"/>
      <c r="R79" s="2"/>
      <c r="S79" s="2"/>
      <c r="T79" s="2"/>
      <c r="U79" s="2"/>
      <c r="V79" s="2"/>
      <c r="W79" s="2"/>
      <c r="X79" s="2"/>
      <c r="Y79" s="38"/>
    </row>
    <row r="80" spans="2:25" ht="15.75" customHeight="1" x14ac:dyDescent="0.3">
      <c r="B80" s="2"/>
      <c r="C80" s="61" t="s">
        <v>195</v>
      </c>
      <c r="D80" s="62" t="s">
        <v>220</v>
      </c>
      <c r="E80" s="63" t="s">
        <v>221</v>
      </c>
      <c r="F80" s="64">
        <v>5565</v>
      </c>
      <c r="G80" s="65">
        <v>5887.5</v>
      </c>
      <c r="H80" s="65">
        <v>6813</v>
      </c>
      <c r="I80" s="65">
        <v>7923</v>
      </c>
      <c r="J80" s="65">
        <v>9793.5</v>
      </c>
      <c r="K80" s="65">
        <v>11770.5</v>
      </c>
      <c r="L80" s="65">
        <v>13221</v>
      </c>
      <c r="M80" s="66">
        <v>670.5</v>
      </c>
      <c r="N80" s="67">
        <v>564</v>
      </c>
      <c r="O80" s="60"/>
      <c r="P80" s="2"/>
      <c r="Q80" s="2"/>
      <c r="R80" s="2"/>
      <c r="S80" s="2"/>
      <c r="T80" s="2"/>
      <c r="U80" s="2"/>
      <c r="V80" s="2"/>
      <c r="W80" s="2"/>
      <c r="X80" s="2"/>
      <c r="Y80" s="38"/>
    </row>
    <row r="81" spans="2:25" ht="15.75" customHeight="1" thickBot="1" x14ac:dyDescent="0.35">
      <c r="B81" s="2"/>
      <c r="C81" s="68" t="s">
        <v>195</v>
      </c>
      <c r="D81" s="69" t="s">
        <v>222</v>
      </c>
      <c r="E81" s="70" t="s">
        <v>223</v>
      </c>
      <c r="F81" s="71">
        <v>4244</v>
      </c>
      <c r="G81" s="72">
        <v>4672</v>
      </c>
      <c r="H81" s="72">
        <v>5192</v>
      </c>
      <c r="I81" s="72">
        <v>5869</v>
      </c>
      <c r="J81" s="72">
        <v>7201</v>
      </c>
      <c r="K81" s="72">
        <v>8604</v>
      </c>
      <c r="L81" s="72">
        <v>9767</v>
      </c>
      <c r="M81" s="73">
        <v>532</v>
      </c>
      <c r="N81" s="74">
        <v>436</v>
      </c>
      <c r="O81" s="60"/>
      <c r="P81" s="2"/>
      <c r="Q81" s="2"/>
      <c r="R81" s="2"/>
      <c r="S81" s="2"/>
      <c r="T81" s="2"/>
      <c r="U81" s="2"/>
      <c r="V81" s="2"/>
      <c r="W81" s="2"/>
      <c r="X81" s="2"/>
      <c r="Y81" s="38"/>
    </row>
    <row r="82" spans="2:25" ht="15.75" customHeight="1" x14ac:dyDescent="0.3">
      <c r="B82" s="2"/>
      <c r="C82" s="53" t="s">
        <v>224</v>
      </c>
      <c r="D82" s="54" t="s">
        <v>225</v>
      </c>
      <c r="E82" s="55" t="s">
        <v>30</v>
      </c>
      <c r="F82" s="56">
        <v>3589</v>
      </c>
      <c r="G82" s="57">
        <v>3839</v>
      </c>
      <c r="H82" s="57">
        <v>4357</v>
      </c>
      <c r="I82" s="57">
        <v>5160</v>
      </c>
      <c r="J82" s="57">
        <v>6411</v>
      </c>
      <c r="K82" s="57">
        <v>7245</v>
      </c>
      <c r="L82" s="57">
        <v>8131</v>
      </c>
      <c r="M82" s="58">
        <v>410</v>
      </c>
      <c r="N82" s="59">
        <v>340</v>
      </c>
      <c r="O82" s="60"/>
      <c r="P82" s="2"/>
      <c r="Q82" s="2"/>
      <c r="R82" s="2"/>
      <c r="S82" s="2"/>
      <c r="T82" s="2"/>
      <c r="U82" s="2"/>
      <c r="V82" s="2"/>
      <c r="W82" s="2"/>
      <c r="X82" s="2"/>
      <c r="Y82" s="38"/>
    </row>
    <row r="83" spans="2:25" ht="15.75" customHeight="1" x14ac:dyDescent="0.3">
      <c r="B83" s="2"/>
      <c r="C83" s="61" t="s">
        <v>224</v>
      </c>
      <c r="D83" s="62" t="s">
        <v>226</v>
      </c>
      <c r="E83" s="63" t="s">
        <v>227</v>
      </c>
      <c r="F83" s="64">
        <v>3589</v>
      </c>
      <c r="G83" s="65">
        <v>3839</v>
      </c>
      <c r="H83" s="65">
        <v>4357</v>
      </c>
      <c r="I83" s="65">
        <v>5160</v>
      </c>
      <c r="J83" s="65">
        <v>6411</v>
      </c>
      <c r="K83" s="65">
        <v>7245</v>
      </c>
      <c r="L83" s="65">
        <v>8131</v>
      </c>
      <c r="M83" s="66">
        <v>410</v>
      </c>
      <c r="N83" s="67">
        <v>340</v>
      </c>
      <c r="O83" s="60"/>
      <c r="P83" s="2"/>
      <c r="Q83" s="2"/>
      <c r="R83" s="2"/>
      <c r="S83" s="2"/>
      <c r="T83" s="2"/>
      <c r="U83" s="2"/>
      <c r="V83" s="2"/>
      <c r="W83" s="2"/>
      <c r="X83" s="2"/>
      <c r="Y83" s="38"/>
    </row>
    <row r="84" spans="2:25" ht="15.75" customHeight="1" x14ac:dyDescent="0.3">
      <c r="B84" s="2"/>
      <c r="C84" s="61" t="s">
        <v>224</v>
      </c>
      <c r="D84" s="62" t="s">
        <v>228</v>
      </c>
      <c r="E84" s="63" t="s">
        <v>229</v>
      </c>
      <c r="F84" s="64">
        <v>3710</v>
      </c>
      <c r="G84" s="65">
        <v>3925</v>
      </c>
      <c r="H84" s="65">
        <v>4542</v>
      </c>
      <c r="I84" s="65">
        <v>5282</v>
      </c>
      <c r="J84" s="65">
        <v>6529</v>
      </c>
      <c r="K84" s="65">
        <v>7847</v>
      </c>
      <c r="L84" s="65">
        <v>8814</v>
      </c>
      <c r="M84" s="66">
        <v>447</v>
      </c>
      <c r="N84" s="67">
        <v>376</v>
      </c>
      <c r="O84" s="60"/>
      <c r="P84" s="2"/>
      <c r="Q84" s="2"/>
      <c r="R84" s="2"/>
      <c r="S84" s="2"/>
      <c r="T84" s="2"/>
      <c r="U84" s="2"/>
      <c r="V84" s="2"/>
      <c r="W84" s="2"/>
      <c r="X84" s="2"/>
      <c r="Y84" s="38"/>
    </row>
    <row r="85" spans="2:25" ht="15.75" customHeight="1" x14ac:dyDescent="0.3">
      <c r="B85" s="2"/>
      <c r="C85" s="61" t="s">
        <v>224</v>
      </c>
      <c r="D85" s="62" t="s">
        <v>230</v>
      </c>
      <c r="E85" s="63" t="s">
        <v>231</v>
      </c>
      <c r="F85" s="64">
        <v>3673</v>
      </c>
      <c r="G85" s="65">
        <v>3886</v>
      </c>
      <c r="H85" s="65">
        <v>4496</v>
      </c>
      <c r="I85" s="65">
        <v>5230</v>
      </c>
      <c r="J85" s="65">
        <v>6465</v>
      </c>
      <c r="K85" s="65">
        <v>7769</v>
      </c>
      <c r="L85" s="65">
        <v>8731</v>
      </c>
      <c r="M85" s="66">
        <v>445</v>
      </c>
      <c r="N85" s="67">
        <v>374</v>
      </c>
      <c r="O85" s="60"/>
      <c r="P85" s="2"/>
      <c r="Q85" s="2"/>
      <c r="R85" s="2"/>
      <c r="S85" s="2"/>
      <c r="T85" s="2"/>
      <c r="U85" s="2"/>
      <c r="V85" s="2"/>
      <c r="W85" s="2"/>
      <c r="X85" s="2"/>
      <c r="Y85" s="38"/>
    </row>
    <row r="86" spans="2:25" ht="15.75" customHeight="1" x14ac:dyDescent="0.3">
      <c r="B86" s="2"/>
      <c r="C86" s="61" t="s">
        <v>224</v>
      </c>
      <c r="D86" s="62" t="s">
        <v>232</v>
      </c>
      <c r="E86" s="63" t="s">
        <v>233</v>
      </c>
      <c r="F86" s="64">
        <v>3589</v>
      </c>
      <c r="G86" s="65">
        <v>3839</v>
      </c>
      <c r="H86" s="65">
        <v>4357</v>
      </c>
      <c r="I86" s="65">
        <v>5160</v>
      </c>
      <c r="J86" s="65">
        <v>6411</v>
      </c>
      <c r="K86" s="65">
        <v>7245</v>
      </c>
      <c r="L86" s="65">
        <v>8131</v>
      </c>
      <c r="M86" s="66">
        <v>410</v>
      </c>
      <c r="N86" s="67">
        <v>340</v>
      </c>
      <c r="O86" s="60"/>
      <c r="P86" s="2"/>
      <c r="Q86" s="2"/>
      <c r="R86" s="2"/>
      <c r="S86" s="2"/>
      <c r="T86" s="2"/>
      <c r="U86" s="2"/>
      <c r="V86" s="2"/>
      <c r="W86" s="2"/>
      <c r="X86" s="2"/>
      <c r="Y86" s="38"/>
    </row>
    <row r="87" spans="2:25" ht="15.75" customHeight="1" x14ac:dyDescent="0.3">
      <c r="B87" s="2"/>
      <c r="C87" s="61" t="s">
        <v>224</v>
      </c>
      <c r="D87" s="62" t="s">
        <v>234</v>
      </c>
      <c r="E87" s="63" t="s">
        <v>235</v>
      </c>
      <c r="F87" s="64">
        <v>3589</v>
      </c>
      <c r="G87" s="65">
        <v>3839</v>
      </c>
      <c r="H87" s="65">
        <v>4357</v>
      </c>
      <c r="I87" s="65">
        <v>5160</v>
      </c>
      <c r="J87" s="65">
        <v>6411</v>
      </c>
      <c r="K87" s="65">
        <v>7245</v>
      </c>
      <c r="L87" s="65">
        <v>8131</v>
      </c>
      <c r="M87" s="66">
        <v>410</v>
      </c>
      <c r="N87" s="67">
        <v>340</v>
      </c>
      <c r="O87" s="60"/>
      <c r="P87" s="2"/>
      <c r="Q87" s="2"/>
      <c r="R87" s="2"/>
      <c r="S87" s="2"/>
      <c r="T87" s="2"/>
      <c r="U87" s="2"/>
      <c r="V87" s="2"/>
      <c r="W87" s="2"/>
      <c r="X87" s="2"/>
      <c r="Y87" s="38"/>
    </row>
    <row r="88" spans="2:25" ht="15.75" customHeight="1" x14ac:dyDescent="0.3">
      <c r="B88" s="2"/>
      <c r="C88" s="61" t="s">
        <v>224</v>
      </c>
      <c r="D88" s="62" t="s">
        <v>236</v>
      </c>
      <c r="E88" s="63" t="s">
        <v>237</v>
      </c>
      <c r="F88" s="64">
        <v>3673</v>
      </c>
      <c r="G88" s="65">
        <v>3886</v>
      </c>
      <c r="H88" s="65">
        <v>4496</v>
      </c>
      <c r="I88" s="65">
        <v>5230</v>
      </c>
      <c r="J88" s="65">
        <v>6465</v>
      </c>
      <c r="K88" s="65">
        <v>7769</v>
      </c>
      <c r="L88" s="65">
        <v>8731</v>
      </c>
      <c r="M88" s="66">
        <v>445</v>
      </c>
      <c r="N88" s="67">
        <v>374</v>
      </c>
      <c r="O88" s="60"/>
      <c r="P88" s="2"/>
      <c r="Q88" s="2"/>
      <c r="R88" s="2"/>
      <c r="S88" s="2"/>
      <c r="T88" s="2"/>
      <c r="U88" s="2"/>
      <c r="V88" s="2"/>
      <c r="W88" s="2"/>
      <c r="X88" s="2"/>
      <c r="Y88" s="38"/>
    </row>
    <row r="89" spans="2:25" ht="15.75" customHeight="1" x14ac:dyDescent="0.3">
      <c r="B89" s="2"/>
      <c r="C89" s="61" t="s">
        <v>224</v>
      </c>
      <c r="D89" s="62" t="s">
        <v>238</v>
      </c>
      <c r="E89" s="63" t="s">
        <v>239</v>
      </c>
      <c r="F89" s="64">
        <v>3589</v>
      </c>
      <c r="G89" s="65">
        <v>3839</v>
      </c>
      <c r="H89" s="65">
        <v>4357</v>
      </c>
      <c r="I89" s="65">
        <v>5160</v>
      </c>
      <c r="J89" s="65">
        <v>6411</v>
      </c>
      <c r="K89" s="65">
        <v>7245</v>
      </c>
      <c r="L89" s="65">
        <v>8131</v>
      </c>
      <c r="M89" s="66">
        <v>410</v>
      </c>
      <c r="N89" s="67">
        <v>340</v>
      </c>
      <c r="O89" s="60"/>
      <c r="P89" s="2"/>
      <c r="Q89" s="2"/>
      <c r="R89" s="2"/>
      <c r="S89" s="2"/>
      <c r="T89" s="2"/>
      <c r="U89" s="2"/>
      <c r="V89" s="2"/>
      <c r="W89" s="2"/>
      <c r="X89" s="2"/>
      <c r="Y89" s="38"/>
    </row>
    <row r="90" spans="2:25" ht="15.75" customHeight="1" x14ac:dyDescent="0.3">
      <c r="B90" s="2"/>
      <c r="C90" s="61" t="s">
        <v>224</v>
      </c>
      <c r="D90" s="62" t="s">
        <v>240</v>
      </c>
      <c r="E90" s="63" t="s">
        <v>241</v>
      </c>
      <c r="F90" s="64">
        <v>3589</v>
      </c>
      <c r="G90" s="65">
        <v>3839</v>
      </c>
      <c r="H90" s="65">
        <v>4357</v>
      </c>
      <c r="I90" s="65">
        <v>5160</v>
      </c>
      <c r="J90" s="65">
        <v>6411</v>
      </c>
      <c r="K90" s="65">
        <v>7245</v>
      </c>
      <c r="L90" s="65">
        <v>8131</v>
      </c>
      <c r="M90" s="66">
        <v>410</v>
      </c>
      <c r="N90" s="67">
        <v>340</v>
      </c>
      <c r="O90" s="60"/>
      <c r="P90" s="2"/>
      <c r="Q90" s="2"/>
      <c r="R90" s="2"/>
      <c r="S90" s="2"/>
      <c r="T90" s="2"/>
      <c r="U90" s="2"/>
      <c r="V90" s="2"/>
      <c r="W90" s="2"/>
      <c r="X90" s="2"/>
      <c r="Y90" s="38"/>
    </row>
    <row r="91" spans="2:25" ht="15.75" customHeight="1" x14ac:dyDescent="0.3">
      <c r="B91" s="2"/>
      <c r="C91" s="61" t="s">
        <v>224</v>
      </c>
      <c r="D91" s="62" t="s">
        <v>242</v>
      </c>
      <c r="E91" s="63" t="s">
        <v>243</v>
      </c>
      <c r="F91" s="64">
        <v>3589</v>
      </c>
      <c r="G91" s="65">
        <v>3839</v>
      </c>
      <c r="H91" s="65">
        <v>4357</v>
      </c>
      <c r="I91" s="65">
        <v>5160</v>
      </c>
      <c r="J91" s="65">
        <v>6411</v>
      </c>
      <c r="K91" s="65">
        <v>7245</v>
      </c>
      <c r="L91" s="65">
        <v>8131</v>
      </c>
      <c r="M91" s="66">
        <v>410</v>
      </c>
      <c r="N91" s="67">
        <v>340</v>
      </c>
      <c r="O91" s="60"/>
      <c r="P91" s="2"/>
      <c r="Q91" s="2"/>
      <c r="R91" s="2"/>
      <c r="S91" s="2"/>
      <c r="T91" s="2"/>
      <c r="U91" s="2"/>
      <c r="V91" s="2"/>
      <c r="W91" s="2"/>
      <c r="X91" s="2"/>
      <c r="Y91" s="38"/>
    </row>
    <row r="92" spans="2:25" ht="15.75" customHeight="1" x14ac:dyDescent="0.3">
      <c r="B92" s="2"/>
      <c r="C92" s="61" t="s">
        <v>224</v>
      </c>
      <c r="D92" s="62" t="s">
        <v>244</v>
      </c>
      <c r="E92" s="63" t="s">
        <v>245</v>
      </c>
      <c r="F92" s="64">
        <v>3710</v>
      </c>
      <c r="G92" s="65">
        <v>3925</v>
      </c>
      <c r="H92" s="65">
        <v>4542</v>
      </c>
      <c r="I92" s="65">
        <v>5282</v>
      </c>
      <c r="J92" s="65">
        <v>6529</v>
      </c>
      <c r="K92" s="65">
        <v>7847</v>
      </c>
      <c r="L92" s="65">
        <v>8814</v>
      </c>
      <c r="M92" s="66">
        <v>447</v>
      </c>
      <c r="N92" s="67">
        <v>376</v>
      </c>
      <c r="O92" s="60"/>
      <c r="P92" s="2"/>
      <c r="Q92" s="2"/>
      <c r="R92" s="2"/>
      <c r="S92" s="2"/>
      <c r="T92" s="2"/>
      <c r="U92" s="2"/>
      <c r="V92" s="2"/>
      <c r="W92" s="2"/>
      <c r="X92" s="2"/>
      <c r="Y92" s="38"/>
    </row>
    <row r="93" spans="2:25" ht="15.75" customHeight="1" x14ac:dyDescent="0.3">
      <c r="B93" s="2"/>
      <c r="C93" s="61" t="s">
        <v>224</v>
      </c>
      <c r="D93" s="62" t="s">
        <v>246</v>
      </c>
      <c r="E93" s="63" t="s">
        <v>247</v>
      </c>
      <c r="F93" s="64">
        <v>19398</v>
      </c>
      <c r="G93" s="65">
        <v>19561.5</v>
      </c>
      <c r="H93" s="65">
        <v>19855.5</v>
      </c>
      <c r="I93" s="65">
        <v>20286</v>
      </c>
      <c r="J93" s="65">
        <v>21121.5</v>
      </c>
      <c r="K93" s="65">
        <v>21658.5</v>
      </c>
      <c r="L93" s="65">
        <v>22795.5</v>
      </c>
      <c r="M93" s="66">
        <v>450</v>
      </c>
      <c r="N93" s="67">
        <v>343.5</v>
      </c>
      <c r="O93" s="60"/>
      <c r="P93" s="2"/>
      <c r="Q93" s="2"/>
      <c r="R93" s="2"/>
      <c r="S93" s="2"/>
      <c r="T93" s="2"/>
      <c r="U93" s="2"/>
      <c r="V93" s="2"/>
      <c r="W93" s="2"/>
      <c r="X93" s="2"/>
      <c r="Y93" s="38"/>
    </row>
    <row r="94" spans="2:25" ht="15.75" customHeight="1" x14ac:dyDescent="0.3">
      <c r="B94" s="2"/>
      <c r="C94" s="61" t="s">
        <v>224</v>
      </c>
      <c r="D94" s="62" t="s">
        <v>248</v>
      </c>
      <c r="E94" s="63" t="s">
        <v>249</v>
      </c>
      <c r="F94" s="64">
        <v>19398</v>
      </c>
      <c r="G94" s="65">
        <v>19561.5</v>
      </c>
      <c r="H94" s="65">
        <v>19855.5</v>
      </c>
      <c r="I94" s="65">
        <v>20286</v>
      </c>
      <c r="J94" s="65">
        <v>21121.5</v>
      </c>
      <c r="K94" s="65">
        <v>21658.5</v>
      </c>
      <c r="L94" s="65">
        <v>22795.5</v>
      </c>
      <c r="M94" s="66">
        <v>450</v>
      </c>
      <c r="N94" s="67">
        <v>343.5</v>
      </c>
      <c r="O94" s="60"/>
      <c r="P94" s="2"/>
      <c r="Q94" s="2"/>
      <c r="R94" s="2"/>
      <c r="S94" s="2"/>
      <c r="T94" s="2"/>
      <c r="U94" s="2"/>
      <c r="V94" s="2"/>
      <c r="W94" s="2"/>
      <c r="X94" s="2"/>
      <c r="Y94" s="38"/>
    </row>
    <row r="95" spans="2:25" ht="15.75" customHeight="1" x14ac:dyDescent="0.3">
      <c r="B95" s="2"/>
      <c r="C95" s="61" t="s">
        <v>224</v>
      </c>
      <c r="D95" s="62" t="s">
        <v>250</v>
      </c>
      <c r="E95" s="63" t="s">
        <v>251</v>
      </c>
      <c r="F95" s="64">
        <v>3710</v>
      </c>
      <c r="G95" s="65">
        <v>3925</v>
      </c>
      <c r="H95" s="65">
        <v>4542</v>
      </c>
      <c r="I95" s="65">
        <v>5282</v>
      </c>
      <c r="J95" s="65">
        <v>6529</v>
      </c>
      <c r="K95" s="65">
        <v>7847</v>
      </c>
      <c r="L95" s="65">
        <v>8814</v>
      </c>
      <c r="M95" s="66">
        <v>447</v>
      </c>
      <c r="N95" s="67">
        <v>376</v>
      </c>
      <c r="O95" s="60"/>
      <c r="P95" s="2"/>
      <c r="Q95" s="2"/>
      <c r="R95" s="2"/>
      <c r="S95" s="2"/>
      <c r="T95" s="2"/>
      <c r="U95" s="2"/>
      <c r="V95" s="2"/>
      <c r="W95" s="2"/>
      <c r="X95" s="2"/>
      <c r="Y95" s="38"/>
    </row>
    <row r="96" spans="2:25" ht="15.75" customHeight="1" x14ac:dyDescent="0.3">
      <c r="B96" s="2"/>
      <c r="C96" s="61" t="s">
        <v>224</v>
      </c>
      <c r="D96" s="62" t="s">
        <v>252</v>
      </c>
      <c r="E96" s="63" t="s">
        <v>253</v>
      </c>
      <c r="F96" s="64">
        <v>3710</v>
      </c>
      <c r="G96" s="65">
        <v>3925</v>
      </c>
      <c r="H96" s="65">
        <v>4542</v>
      </c>
      <c r="I96" s="65">
        <v>5282</v>
      </c>
      <c r="J96" s="65">
        <v>6529</v>
      </c>
      <c r="K96" s="65">
        <v>7847</v>
      </c>
      <c r="L96" s="65">
        <v>8814</v>
      </c>
      <c r="M96" s="66">
        <v>447</v>
      </c>
      <c r="N96" s="67">
        <v>376</v>
      </c>
      <c r="O96" s="60"/>
      <c r="P96" s="2"/>
      <c r="Q96" s="2"/>
      <c r="R96" s="2"/>
      <c r="S96" s="2"/>
      <c r="T96" s="2"/>
      <c r="U96" s="2"/>
      <c r="V96" s="2"/>
      <c r="W96" s="2"/>
      <c r="X96" s="2"/>
      <c r="Y96" s="38"/>
    </row>
    <row r="97" spans="2:25" ht="15.75" customHeight="1" x14ac:dyDescent="0.3">
      <c r="B97" s="2"/>
      <c r="C97" s="61" t="s">
        <v>224</v>
      </c>
      <c r="D97" s="62" t="s">
        <v>254</v>
      </c>
      <c r="E97" s="63" t="s">
        <v>255</v>
      </c>
      <c r="F97" s="64">
        <v>3710</v>
      </c>
      <c r="G97" s="65">
        <v>3925</v>
      </c>
      <c r="H97" s="65">
        <v>4542</v>
      </c>
      <c r="I97" s="65">
        <v>5282</v>
      </c>
      <c r="J97" s="65">
        <v>6529</v>
      </c>
      <c r="K97" s="65">
        <v>7847</v>
      </c>
      <c r="L97" s="65">
        <v>8814</v>
      </c>
      <c r="M97" s="66">
        <v>447</v>
      </c>
      <c r="N97" s="67">
        <v>376</v>
      </c>
      <c r="O97" s="60"/>
      <c r="P97" s="2"/>
      <c r="Q97" s="2"/>
      <c r="R97" s="2"/>
      <c r="S97" s="2"/>
      <c r="T97" s="2"/>
      <c r="U97" s="2"/>
      <c r="V97" s="2"/>
      <c r="W97" s="2"/>
      <c r="X97" s="2"/>
      <c r="Y97" s="38"/>
    </row>
    <row r="98" spans="2:25" ht="15.75" customHeight="1" x14ac:dyDescent="0.3">
      <c r="B98" s="2"/>
      <c r="C98" s="61" t="s">
        <v>224</v>
      </c>
      <c r="D98" s="62" t="s">
        <v>256</v>
      </c>
      <c r="E98" s="63" t="s">
        <v>257</v>
      </c>
      <c r="F98" s="64">
        <v>3710</v>
      </c>
      <c r="G98" s="65">
        <v>3925</v>
      </c>
      <c r="H98" s="65">
        <v>4542</v>
      </c>
      <c r="I98" s="65">
        <v>5282</v>
      </c>
      <c r="J98" s="65">
        <v>6529</v>
      </c>
      <c r="K98" s="65">
        <v>7847</v>
      </c>
      <c r="L98" s="65">
        <v>8814</v>
      </c>
      <c r="M98" s="66">
        <v>447</v>
      </c>
      <c r="N98" s="67">
        <v>376</v>
      </c>
      <c r="O98" s="60"/>
      <c r="P98" s="2"/>
      <c r="Q98" s="2"/>
      <c r="R98" s="2"/>
      <c r="S98" s="2"/>
      <c r="T98" s="2"/>
      <c r="U98" s="2"/>
      <c r="V98" s="2"/>
      <c r="W98" s="2"/>
      <c r="X98" s="2"/>
      <c r="Y98" s="38"/>
    </row>
    <row r="99" spans="2:25" ht="15.75" customHeight="1" x14ac:dyDescent="0.3">
      <c r="B99" s="2"/>
      <c r="C99" s="61" t="s">
        <v>224</v>
      </c>
      <c r="D99" s="62" t="s">
        <v>258</v>
      </c>
      <c r="E99" s="63" t="s">
        <v>259</v>
      </c>
      <c r="F99" s="64">
        <v>3673</v>
      </c>
      <c r="G99" s="65">
        <v>3886</v>
      </c>
      <c r="H99" s="65">
        <v>4496</v>
      </c>
      <c r="I99" s="65">
        <v>5230</v>
      </c>
      <c r="J99" s="65">
        <v>6465</v>
      </c>
      <c r="K99" s="65">
        <v>7769</v>
      </c>
      <c r="L99" s="65">
        <v>8731</v>
      </c>
      <c r="M99" s="66">
        <v>445</v>
      </c>
      <c r="N99" s="67">
        <v>374</v>
      </c>
      <c r="O99" s="60"/>
      <c r="P99" s="2"/>
      <c r="Q99" s="2"/>
      <c r="R99" s="2"/>
      <c r="S99" s="2"/>
      <c r="T99" s="2"/>
      <c r="U99" s="2"/>
      <c r="V99" s="2"/>
      <c r="W99" s="2"/>
      <c r="X99" s="2"/>
      <c r="Y99" s="38"/>
    </row>
    <row r="100" spans="2:25" ht="15.75" customHeight="1" x14ac:dyDescent="0.3">
      <c r="B100" s="2"/>
      <c r="C100" s="61" t="s">
        <v>224</v>
      </c>
      <c r="D100" s="62" t="s">
        <v>260</v>
      </c>
      <c r="E100" s="63" t="s">
        <v>28</v>
      </c>
      <c r="F100" s="64">
        <v>3673</v>
      </c>
      <c r="G100" s="65">
        <v>3886</v>
      </c>
      <c r="H100" s="65">
        <v>4496</v>
      </c>
      <c r="I100" s="65">
        <v>5230</v>
      </c>
      <c r="J100" s="65">
        <v>6465</v>
      </c>
      <c r="K100" s="65">
        <v>7769</v>
      </c>
      <c r="L100" s="65">
        <v>8731</v>
      </c>
      <c r="M100" s="66">
        <v>445</v>
      </c>
      <c r="N100" s="67">
        <v>374</v>
      </c>
      <c r="O100" s="60"/>
      <c r="P100" s="2"/>
      <c r="Q100" s="2"/>
      <c r="R100" s="2"/>
      <c r="S100" s="2"/>
      <c r="T100" s="2"/>
      <c r="U100" s="2"/>
      <c r="V100" s="2"/>
      <c r="W100" s="2"/>
      <c r="X100" s="2"/>
      <c r="Y100" s="38"/>
    </row>
    <row r="101" spans="2:25" ht="15.75" customHeight="1" x14ac:dyDescent="0.3">
      <c r="B101" s="2"/>
      <c r="C101" s="61" t="s">
        <v>224</v>
      </c>
      <c r="D101" s="62" t="s">
        <v>261</v>
      </c>
      <c r="E101" s="63" t="s">
        <v>262</v>
      </c>
      <c r="F101" s="64">
        <v>3710</v>
      </c>
      <c r="G101" s="65">
        <v>3925</v>
      </c>
      <c r="H101" s="65">
        <v>4542</v>
      </c>
      <c r="I101" s="65">
        <v>5282</v>
      </c>
      <c r="J101" s="65">
        <v>6529</v>
      </c>
      <c r="K101" s="65">
        <v>7847</v>
      </c>
      <c r="L101" s="65">
        <v>8814</v>
      </c>
      <c r="M101" s="66">
        <v>447</v>
      </c>
      <c r="N101" s="67">
        <v>376</v>
      </c>
      <c r="O101" s="60"/>
      <c r="P101" s="2"/>
      <c r="Q101" s="2"/>
      <c r="R101" s="2"/>
      <c r="S101" s="2"/>
      <c r="T101" s="2"/>
      <c r="U101" s="2"/>
      <c r="V101" s="2"/>
      <c r="W101" s="2"/>
      <c r="X101" s="2"/>
      <c r="Y101" s="38"/>
    </row>
    <row r="102" spans="2:25" ht="15.75" customHeight="1" x14ac:dyDescent="0.3">
      <c r="B102" s="2"/>
      <c r="C102" s="61" t="s">
        <v>224</v>
      </c>
      <c r="D102" s="62" t="s">
        <v>263</v>
      </c>
      <c r="E102" s="63" t="s">
        <v>264</v>
      </c>
      <c r="F102" s="64">
        <v>3710</v>
      </c>
      <c r="G102" s="65">
        <v>3925</v>
      </c>
      <c r="H102" s="65">
        <v>4542</v>
      </c>
      <c r="I102" s="65">
        <v>5282</v>
      </c>
      <c r="J102" s="65">
        <v>6529</v>
      </c>
      <c r="K102" s="65">
        <v>7847</v>
      </c>
      <c r="L102" s="65">
        <v>8814</v>
      </c>
      <c r="M102" s="66">
        <v>447</v>
      </c>
      <c r="N102" s="67">
        <v>376</v>
      </c>
      <c r="O102" s="60"/>
      <c r="P102" s="2"/>
      <c r="Q102" s="2"/>
      <c r="R102" s="2"/>
      <c r="S102" s="2"/>
      <c r="T102" s="2"/>
      <c r="U102" s="2"/>
      <c r="V102" s="2"/>
      <c r="W102" s="2"/>
      <c r="X102" s="2"/>
      <c r="Y102" s="38"/>
    </row>
    <row r="103" spans="2:25" ht="15.75" customHeight="1" x14ac:dyDescent="0.3">
      <c r="B103" s="2"/>
      <c r="C103" s="61" t="s">
        <v>224</v>
      </c>
      <c r="D103" s="62" t="s">
        <v>265</v>
      </c>
      <c r="E103" s="63" t="s">
        <v>266</v>
      </c>
      <c r="F103" s="64">
        <v>3673</v>
      </c>
      <c r="G103" s="65">
        <v>3886</v>
      </c>
      <c r="H103" s="65">
        <v>4496</v>
      </c>
      <c r="I103" s="65">
        <v>5230</v>
      </c>
      <c r="J103" s="65">
        <v>6465</v>
      </c>
      <c r="K103" s="65">
        <v>7769</v>
      </c>
      <c r="L103" s="65">
        <v>8731</v>
      </c>
      <c r="M103" s="66">
        <v>445</v>
      </c>
      <c r="N103" s="67">
        <v>374</v>
      </c>
      <c r="O103" s="60"/>
      <c r="P103" s="2"/>
      <c r="Q103" s="2"/>
      <c r="R103" s="2"/>
      <c r="S103" s="2"/>
      <c r="T103" s="2"/>
      <c r="U103" s="2"/>
      <c r="V103" s="2"/>
      <c r="W103" s="2"/>
      <c r="X103" s="2"/>
      <c r="Y103" s="38"/>
    </row>
    <row r="104" spans="2:25" ht="15.75" customHeight="1" x14ac:dyDescent="0.3">
      <c r="B104" s="2"/>
      <c r="C104" s="61" t="s">
        <v>224</v>
      </c>
      <c r="D104" s="62" t="s">
        <v>267</v>
      </c>
      <c r="E104" s="63" t="s">
        <v>268</v>
      </c>
      <c r="F104" s="64">
        <v>3710</v>
      </c>
      <c r="G104" s="65">
        <v>3925</v>
      </c>
      <c r="H104" s="65">
        <v>4542</v>
      </c>
      <c r="I104" s="65">
        <v>5282</v>
      </c>
      <c r="J104" s="65">
        <v>6529</v>
      </c>
      <c r="K104" s="65">
        <v>7847</v>
      </c>
      <c r="L104" s="65">
        <v>8814</v>
      </c>
      <c r="M104" s="66">
        <v>447</v>
      </c>
      <c r="N104" s="67">
        <v>376</v>
      </c>
      <c r="O104" s="60"/>
      <c r="P104" s="2"/>
      <c r="Q104" s="2"/>
      <c r="R104" s="2"/>
      <c r="S104" s="2"/>
      <c r="T104" s="2"/>
      <c r="U104" s="2"/>
      <c r="V104" s="2"/>
      <c r="W104" s="2"/>
      <c r="X104" s="2"/>
      <c r="Y104" s="38"/>
    </row>
    <row r="105" spans="2:25" ht="15.75" customHeight="1" x14ac:dyDescent="0.3">
      <c r="B105" s="2"/>
      <c r="C105" s="61" t="s">
        <v>224</v>
      </c>
      <c r="D105" s="62" t="s">
        <v>269</v>
      </c>
      <c r="E105" s="63" t="s">
        <v>270</v>
      </c>
      <c r="F105" s="64">
        <v>5565</v>
      </c>
      <c r="G105" s="65">
        <v>5887.5</v>
      </c>
      <c r="H105" s="65">
        <v>6813</v>
      </c>
      <c r="I105" s="65">
        <v>7923</v>
      </c>
      <c r="J105" s="65">
        <v>9793.5</v>
      </c>
      <c r="K105" s="65">
        <v>11770.5</v>
      </c>
      <c r="L105" s="65">
        <v>13221</v>
      </c>
      <c r="M105" s="66">
        <v>670.5</v>
      </c>
      <c r="N105" s="67">
        <v>564</v>
      </c>
      <c r="O105" s="60"/>
      <c r="P105" s="2"/>
      <c r="Q105" s="2"/>
      <c r="R105" s="2"/>
      <c r="S105" s="2"/>
      <c r="T105" s="2"/>
      <c r="U105" s="2"/>
      <c r="V105" s="2"/>
      <c r="W105" s="2"/>
      <c r="X105" s="2"/>
      <c r="Y105" s="38"/>
    </row>
    <row r="106" spans="2:25" ht="15.75" customHeight="1" x14ac:dyDescent="0.3">
      <c r="B106" s="2"/>
      <c r="C106" s="61" t="s">
        <v>224</v>
      </c>
      <c r="D106" s="62" t="s">
        <v>271</v>
      </c>
      <c r="E106" s="63" t="s">
        <v>272</v>
      </c>
      <c r="F106" s="64">
        <v>3710</v>
      </c>
      <c r="G106" s="65">
        <v>3925</v>
      </c>
      <c r="H106" s="65">
        <v>4542</v>
      </c>
      <c r="I106" s="65">
        <v>5282</v>
      </c>
      <c r="J106" s="65">
        <v>6529</v>
      </c>
      <c r="K106" s="65">
        <v>7847</v>
      </c>
      <c r="L106" s="65">
        <v>8814</v>
      </c>
      <c r="M106" s="66">
        <v>447</v>
      </c>
      <c r="N106" s="67">
        <v>376</v>
      </c>
      <c r="O106" s="60"/>
      <c r="P106" s="2"/>
      <c r="Q106" s="2"/>
      <c r="R106" s="2"/>
      <c r="S106" s="2"/>
      <c r="T106" s="2"/>
      <c r="U106" s="2"/>
      <c r="V106" s="2"/>
      <c r="W106" s="2"/>
      <c r="X106" s="2"/>
      <c r="Y106" s="38"/>
    </row>
    <row r="107" spans="2:25" ht="15.75" customHeight="1" x14ac:dyDescent="0.3">
      <c r="B107" s="2"/>
      <c r="C107" s="61" t="s">
        <v>224</v>
      </c>
      <c r="D107" s="62" t="s">
        <v>273</v>
      </c>
      <c r="E107" s="63" t="s">
        <v>274</v>
      </c>
      <c r="F107" s="64">
        <v>3673</v>
      </c>
      <c r="G107" s="65">
        <v>3886</v>
      </c>
      <c r="H107" s="65">
        <v>4496</v>
      </c>
      <c r="I107" s="65">
        <v>5230</v>
      </c>
      <c r="J107" s="65">
        <v>6465</v>
      </c>
      <c r="K107" s="65">
        <v>7769</v>
      </c>
      <c r="L107" s="65">
        <v>8731</v>
      </c>
      <c r="M107" s="66">
        <v>445</v>
      </c>
      <c r="N107" s="67">
        <v>374</v>
      </c>
      <c r="O107" s="60"/>
      <c r="P107" s="2"/>
      <c r="Q107" s="2"/>
      <c r="R107" s="2"/>
      <c r="S107" s="2"/>
      <c r="T107" s="2"/>
      <c r="U107" s="2"/>
      <c r="V107" s="2"/>
      <c r="W107" s="2"/>
      <c r="X107" s="2"/>
      <c r="Y107" s="38"/>
    </row>
    <row r="108" spans="2:25" ht="15.75" customHeight="1" x14ac:dyDescent="0.3">
      <c r="B108" s="2"/>
      <c r="C108" s="61" t="s">
        <v>224</v>
      </c>
      <c r="D108" s="62" t="s">
        <v>275</v>
      </c>
      <c r="E108" s="63" t="s">
        <v>276</v>
      </c>
      <c r="F108" s="64">
        <v>3710</v>
      </c>
      <c r="G108" s="65">
        <v>3925</v>
      </c>
      <c r="H108" s="65">
        <v>4542</v>
      </c>
      <c r="I108" s="65">
        <v>5282</v>
      </c>
      <c r="J108" s="65">
        <v>6529</v>
      </c>
      <c r="K108" s="65">
        <v>7847</v>
      </c>
      <c r="L108" s="65">
        <v>8814</v>
      </c>
      <c r="M108" s="66">
        <v>447</v>
      </c>
      <c r="N108" s="67">
        <v>376</v>
      </c>
      <c r="O108" s="60"/>
      <c r="P108" s="2"/>
      <c r="Q108" s="2"/>
      <c r="R108" s="2"/>
      <c r="S108" s="2"/>
      <c r="T108" s="2"/>
      <c r="U108" s="2"/>
      <c r="V108" s="2"/>
      <c r="W108" s="2"/>
      <c r="X108" s="2"/>
      <c r="Y108" s="38"/>
    </row>
    <row r="109" spans="2:25" ht="15.75" customHeight="1" x14ac:dyDescent="0.3">
      <c r="B109" s="2"/>
      <c r="C109" s="61" t="s">
        <v>224</v>
      </c>
      <c r="D109" s="62" t="s">
        <v>277</v>
      </c>
      <c r="E109" s="63" t="s">
        <v>278</v>
      </c>
      <c r="F109" s="64">
        <v>3589</v>
      </c>
      <c r="G109" s="65">
        <v>3839</v>
      </c>
      <c r="H109" s="65">
        <v>4357</v>
      </c>
      <c r="I109" s="65">
        <v>5160</v>
      </c>
      <c r="J109" s="65">
        <v>6411</v>
      </c>
      <c r="K109" s="65">
        <v>7245</v>
      </c>
      <c r="L109" s="65">
        <v>8131</v>
      </c>
      <c r="M109" s="66">
        <v>410</v>
      </c>
      <c r="N109" s="67">
        <v>340</v>
      </c>
      <c r="O109" s="60"/>
      <c r="P109" s="2"/>
      <c r="Q109" s="2"/>
      <c r="R109" s="2"/>
      <c r="S109" s="2"/>
      <c r="T109" s="2"/>
      <c r="U109" s="2"/>
      <c r="V109" s="2"/>
      <c r="W109" s="2"/>
      <c r="X109" s="2"/>
      <c r="Y109" s="38"/>
    </row>
    <row r="110" spans="2:25" ht="15.75" customHeight="1" x14ac:dyDescent="0.3">
      <c r="B110" s="2"/>
      <c r="C110" s="61" t="s">
        <v>224</v>
      </c>
      <c r="D110" s="62" t="s">
        <v>279</v>
      </c>
      <c r="E110" s="63" t="s">
        <v>280</v>
      </c>
      <c r="F110" s="64">
        <v>3589</v>
      </c>
      <c r="G110" s="65">
        <v>3839</v>
      </c>
      <c r="H110" s="65">
        <v>4357</v>
      </c>
      <c r="I110" s="65">
        <v>5160</v>
      </c>
      <c r="J110" s="65">
        <v>6411</v>
      </c>
      <c r="K110" s="65">
        <v>7245</v>
      </c>
      <c r="L110" s="65">
        <v>8131</v>
      </c>
      <c r="M110" s="66">
        <v>410</v>
      </c>
      <c r="N110" s="67">
        <v>340</v>
      </c>
      <c r="O110" s="60"/>
      <c r="P110" s="2"/>
      <c r="Q110" s="2"/>
      <c r="R110" s="2"/>
      <c r="S110" s="2"/>
      <c r="T110" s="2"/>
      <c r="U110" s="2"/>
      <c r="V110" s="2"/>
      <c r="W110" s="2"/>
      <c r="X110" s="2"/>
      <c r="Y110" s="38"/>
    </row>
    <row r="111" spans="2:25" ht="15.75" customHeight="1" x14ac:dyDescent="0.3">
      <c r="B111" s="2"/>
      <c r="C111" s="61" t="s">
        <v>224</v>
      </c>
      <c r="D111" s="62" t="s">
        <v>281</v>
      </c>
      <c r="E111" s="63" t="s">
        <v>282</v>
      </c>
      <c r="F111" s="64">
        <v>3673</v>
      </c>
      <c r="G111" s="65">
        <v>3886</v>
      </c>
      <c r="H111" s="65">
        <v>4496</v>
      </c>
      <c r="I111" s="65">
        <v>5230</v>
      </c>
      <c r="J111" s="65">
        <v>6465</v>
      </c>
      <c r="K111" s="65">
        <v>7769</v>
      </c>
      <c r="L111" s="65">
        <v>8731</v>
      </c>
      <c r="M111" s="66">
        <v>445</v>
      </c>
      <c r="N111" s="67">
        <v>374</v>
      </c>
      <c r="O111" s="60"/>
      <c r="P111" s="2"/>
      <c r="Q111" s="2"/>
      <c r="R111" s="2"/>
      <c r="S111" s="2"/>
      <c r="T111" s="2"/>
      <c r="U111" s="2"/>
      <c r="V111" s="2"/>
      <c r="W111" s="2"/>
      <c r="X111" s="2"/>
      <c r="Y111" s="38"/>
    </row>
    <row r="112" spans="2:25" ht="15.75" customHeight="1" x14ac:dyDescent="0.3">
      <c r="B112" s="2"/>
      <c r="C112" s="61" t="s">
        <v>224</v>
      </c>
      <c r="D112" s="62" t="s">
        <v>283</v>
      </c>
      <c r="E112" s="63" t="s">
        <v>284</v>
      </c>
      <c r="F112" s="64">
        <v>3589</v>
      </c>
      <c r="G112" s="65">
        <v>3839</v>
      </c>
      <c r="H112" s="65">
        <v>4357</v>
      </c>
      <c r="I112" s="65">
        <v>5160</v>
      </c>
      <c r="J112" s="65">
        <v>6411</v>
      </c>
      <c r="K112" s="65">
        <v>7245</v>
      </c>
      <c r="L112" s="65">
        <v>8131</v>
      </c>
      <c r="M112" s="66">
        <v>410</v>
      </c>
      <c r="N112" s="67">
        <v>340</v>
      </c>
      <c r="O112" s="60"/>
      <c r="P112" s="2"/>
      <c r="Q112" s="2"/>
      <c r="R112" s="2"/>
      <c r="S112" s="2"/>
      <c r="T112" s="2"/>
      <c r="U112" s="2"/>
      <c r="V112" s="2"/>
      <c r="W112" s="2"/>
      <c r="X112" s="2"/>
      <c r="Y112" s="38"/>
    </row>
    <row r="113" spans="2:25" ht="15.75" customHeight="1" x14ac:dyDescent="0.3">
      <c r="B113" s="2"/>
      <c r="C113" s="61" t="s">
        <v>224</v>
      </c>
      <c r="D113" s="62" t="s">
        <v>285</v>
      </c>
      <c r="E113" s="63" t="s">
        <v>286</v>
      </c>
      <c r="F113" s="64">
        <v>3589</v>
      </c>
      <c r="G113" s="65">
        <v>3839</v>
      </c>
      <c r="H113" s="65">
        <v>4357</v>
      </c>
      <c r="I113" s="65">
        <v>5160</v>
      </c>
      <c r="J113" s="65">
        <v>6411</v>
      </c>
      <c r="K113" s="65">
        <v>7245</v>
      </c>
      <c r="L113" s="65">
        <v>8131</v>
      </c>
      <c r="M113" s="66">
        <v>410</v>
      </c>
      <c r="N113" s="67">
        <v>340</v>
      </c>
      <c r="O113" s="60"/>
      <c r="P113" s="2"/>
      <c r="Q113" s="2"/>
      <c r="R113" s="2"/>
      <c r="S113" s="2"/>
      <c r="T113" s="2"/>
      <c r="U113" s="2"/>
      <c r="V113" s="2"/>
      <c r="W113" s="2"/>
      <c r="X113" s="2"/>
      <c r="Y113" s="38"/>
    </row>
    <row r="114" spans="2:25" ht="15.75" customHeight="1" x14ac:dyDescent="0.3">
      <c r="B114" s="2"/>
      <c r="C114" s="61" t="s">
        <v>224</v>
      </c>
      <c r="D114" s="62" t="s">
        <v>287</v>
      </c>
      <c r="E114" s="63" t="s">
        <v>288</v>
      </c>
      <c r="F114" s="64">
        <v>3673</v>
      </c>
      <c r="G114" s="65">
        <v>3886</v>
      </c>
      <c r="H114" s="65">
        <v>4496</v>
      </c>
      <c r="I114" s="65">
        <v>5230</v>
      </c>
      <c r="J114" s="65">
        <v>6465</v>
      </c>
      <c r="K114" s="65">
        <v>7769</v>
      </c>
      <c r="L114" s="65">
        <v>8731</v>
      </c>
      <c r="M114" s="66">
        <v>445</v>
      </c>
      <c r="N114" s="67">
        <v>374</v>
      </c>
      <c r="O114" s="60"/>
      <c r="P114" s="2"/>
      <c r="Q114" s="2"/>
      <c r="R114" s="2"/>
      <c r="S114" s="2"/>
      <c r="T114" s="2"/>
      <c r="U114" s="2"/>
      <c r="V114" s="2"/>
      <c r="W114" s="2"/>
      <c r="X114" s="2"/>
      <c r="Y114" s="38"/>
    </row>
    <row r="115" spans="2:25" ht="15.75" customHeight="1" x14ac:dyDescent="0.3">
      <c r="B115" s="2"/>
      <c r="C115" s="61" t="s">
        <v>224</v>
      </c>
      <c r="D115" s="62" t="s">
        <v>289</v>
      </c>
      <c r="E115" s="63" t="s">
        <v>290</v>
      </c>
      <c r="F115" s="64">
        <v>3673</v>
      </c>
      <c r="G115" s="65">
        <v>3886</v>
      </c>
      <c r="H115" s="65">
        <v>4496</v>
      </c>
      <c r="I115" s="65">
        <v>5230</v>
      </c>
      <c r="J115" s="65">
        <v>6465</v>
      </c>
      <c r="K115" s="65">
        <v>7769</v>
      </c>
      <c r="L115" s="65">
        <v>8731</v>
      </c>
      <c r="M115" s="66">
        <v>445</v>
      </c>
      <c r="N115" s="67">
        <v>374</v>
      </c>
      <c r="O115" s="60"/>
      <c r="P115" s="2"/>
      <c r="Q115" s="2"/>
      <c r="R115" s="2"/>
      <c r="S115" s="2"/>
      <c r="T115" s="2"/>
      <c r="U115" s="2"/>
      <c r="V115" s="2"/>
      <c r="W115" s="2"/>
      <c r="X115" s="2"/>
      <c r="Y115" s="38"/>
    </row>
    <row r="116" spans="2:25" ht="15.75" customHeight="1" x14ac:dyDescent="0.3">
      <c r="B116" s="2"/>
      <c r="C116" s="61" t="s">
        <v>224</v>
      </c>
      <c r="D116" s="62" t="s">
        <v>291</v>
      </c>
      <c r="E116" s="63" t="s">
        <v>292</v>
      </c>
      <c r="F116" s="64">
        <v>3673</v>
      </c>
      <c r="G116" s="65">
        <v>3886</v>
      </c>
      <c r="H116" s="65">
        <v>4496</v>
      </c>
      <c r="I116" s="65">
        <v>5230</v>
      </c>
      <c r="J116" s="65">
        <v>6465</v>
      </c>
      <c r="K116" s="65">
        <v>7769</v>
      </c>
      <c r="L116" s="65">
        <v>8731</v>
      </c>
      <c r="M116" s="66">
        <v>445</v>
      </c>
      <c r="N116" s="67">
        <v>374</v>
      </c>
      <c r="O116" s="60"/>
      <c r="P116" s="2"/>
      <c r="Q116" s="2"/>
      <c r="R116" s="2"/>
      <c r="S116" s="2"/>
      <c r="T116" s="2"/>
      <c r="U116" s="2"/>
      <c r="V116" s="2"/>
      <c r="W116" s="2"/>
      <c r="X116" s="2"/>
      <c r="Y116" s="38"/>
    </row>
    <row r="117" spans="2:25" ht="15.75" customHeight="1" x14ac:dyDescent="0.3">
      <c r="B117" s="2"/>
      <c r="C117" s="61" t="s">
        <v>224</v>
      </c>
      <c r="D117" s="62" t="s">
        <v>293</v>
      </c>
      <c r="E117" s="63" t="s">
        <v>294</v>
      </c>
      <c r="F117" s="64">
        <v>3589</v>
      </c>
      <c r="G117" s="65">
        <v>3839</v>
      </c>
      <c r="H117" s="65">
        <v>4357</v>
      </c>
      <c r="I117" s="65">
        <v>5160</v>
      </c>
      <c r="J117" s="65">
        <v>6411</v>
      </c>
      <c r="K117" s="65">
        <v>7245</v>
      </c>
      <c r="L117" s="65">
        <v>8131</v>
      </c>
      <c r="M117" s="66">
        <v>410</v>
      </c>
      <c r="N117" s="67">
        <v>340</v>
      </c>
      <c r="O117" s="60"/>
      <c r="P117" s="2"/>
      <c r="Q117" s="2"/>
      <c r="R117" s="2"/>
      <c r="S117" s="2"/>
      <c r="T117" s="2"/>
      <c r="U117" s="2"/>
      <c r="V117" s="2"/>
      <c r="W117" s="2"/>
      <c r="X117" s="2"/>
      <c r="Y117" s="38"/>
    </row>
    <row r="118" spans="2:25" ht="15.75" customHeight="1" x14ac:dyDescent="0.3">
      <c r="B118" s="2"/>
      <c r="C118" s="61" t="s">
        <v>224</v>
      </c>
      <c r="D118" s="62" t="s">
        <v>295</v>
      </c>
      <c r="E118" s="63" t="s">
        <v>296</v>
      </c>
      <c r="F118" s="64">
        <v>3589</v>
      </c>
      <c r="G118" s="65">
        <v>3839</v>
      </c>
      <c r="H118" s="65">
        <v>4357</v>
      </c>
      <c r="I118" s="65">
        <v>5160</v>
      </c>
      <c r="J118" s="65">
        <v>6411</v>
      </c>
      <c r="K118" s="65">
        <v>7245</v>
      </c>
      <c r="L118" s="65">
        <v>8131</v>
      </c>
      <c r="M118" s="66">
        <v>410</v>
      </c>
      <c r="N118" s="67">
        <v>340</v>
      </c>
      <c r="O118" s="60"/>
      <c r="P118" s="2"/>
      <c r="Q118" s="2"/>
      <c r="R118" s="2"/>
      <c r="S118" s="2"/>
      <c r="T118" s="2"/>
      <c r="U118" s="2"/>
      <c r="V118" s="2"/>
      <c r="W118" s="2"/>
      <c r="X118" s="2"/>
      <c r="Y118" s="38"/>
    </row>
    <row r="119" spans="2:25" ht="15.75" customHeight="1" thickBot="1" x14ac:dyDescent="0.35">
      <c r="B119" s="2"/>
      <c r="C119" s="68" t="s">
        <v>224</v>
      </c>
      <c r="D119" s="69" t="s">
        <v>297</v>
      </c>
      <c r="E119" s="70" t="s">
        <v>298</v>
      </c>
      <c r="F119" s="71">
        <v>3710</v>
      </c>
      <c r="G119" s="72">
        <v>3925</v>
      </c>
      <c r="H119" s="72">
        <v>4542</v>
      </c>
      <c r="I119" s="72">
        <v>5282</v>
      </c>
      <c r="J119" s="72">
        <v>6529</v>
      </c>
      <c r="K119" s="72">
        <v>7847</v>
      </c>
      <c r="L119" s="72">
        <v>8814</v>
      </c>
      <c r="M119" s="73">
        <v>447</v>
      </c>
      <c r="N119" s="74">
        <v>376</v>
      </c>
      <c r="O119" s="60"/>
      <c r="P119" s="2"/>
      <c r="Q119" s="2"/>
      <c r="R119" s="2"/>
      <c r="S119" s="2"/>
      <c r="T119" s="2"/>
      <c r="U119" s="2"/>
      <c r="V119" s="2"/>
      <c r="W119" s="2"/>
      <c r="X119" s="2"/>
      <c r="Y119" s="38"/>
    </row>
    <row r="120" spans="2:25" ht="15.75" customHeight="1" x14ac:dyDescent="0.3">
      <c r="B120" s="2"/>
      <c r="C120" s="53" t="s">
        <v>299</v>
      </c>
      <c r="D120" s="54" t="s">
        <v>300</v>
      </c>
      <c r="E120" s="55" t="s">
        <v>36</v>
      </c>
      <c r="F120" s="56">
        <v>3673</v>
      </c>
      <c r="G120" s="57">
        <v>3886</v>
      </c>
      <c r="H120" s="57">
        <v>4496</v>
      </c>
      <c r="I120" s="57">
        <v>5230</v>
      </c>
      <c r="J120" s="57">
        <v>6465</v>
      </c>
      <c r="K120" s="57">
        <v>7769</v>
      </c>
      <c r="L120" s="57">
        <v>8731</v>
      </c>
      <c r="M120" s="58">
        <v>445</v>
      </c>
      <c r="N120" s="59">
        <v>374</v>
      </c>
      <c r="O120" s="60"/>
      <c r="P120" s="2"/>
      <c r="Q120" s="2"/>
      <c r="R120" s="2"/>
      <c r="S120" s="2"/>
      <c r="T120" s="2"/>
      <c r="U120" s="2"/>
      <c r="V120" s="2"/>
      <c r="W120" s="2"/>
      <c r="X120" s="2"/>
      <c r="Y120" s="38"/>
    </row>
    <row r="121" spans="2:25" ht="15.75" customHeight="1" x14ac:dyDescent="0.3">
      <c r="B121" s="2"/>
      <c r="C121" s="61" t="s">
        <v>299</v>
      </c>
      <c r="D121" s="62" t="s">
        <v>301</v>
      </c>
      <c r="E121" s="63" t="s">
        <v>302</v>
      </c>
      <c r="F121" s="64">
        <v>3822</v>
      </c>
      <c r="G121" s="65">
        <v>4089</v>
      </c>
      <c r="H121" s="65">
        <v>4695</v>
      </c>
      <c r="I121" s="65">
        <v>5392</v>
      </c>
      <c r="J121" s="65">
        <v>6756</v>
      </c>
      <c r="K121" s="65">
        <v>8188</v>
      </c>
      <c r="L121" s="65">
        <v>9170</v>
      </c>
      <c r="M121" s="66">
        <v>454</v>
      </c>
      <c r="N121" s="67">
        <v>386</v>
      </c>
      <c r="O121" s="60"/>
      <c r="P121" s="2"/>
      <c r="Q121" s="2"/>
      <c r="R121" s="2"/>
      <c r="S121" s="2"/>
      <c r="T121" s="2"/>
      <c r="U121" s="2"/>
      <c r="V121" s="2"/>
      <c r="W121" s="2"/>
      <c r="X121" s="2"/>
      <c r="Y121" s="38"/>
    </row>
    <row r="122" spans="2:25" ht="15.75" customHeight="1" x14ac:dyDescent="0.3">
      <c r="B122" s="2"/>
      <c r="C122" s="61" t="s">
        <v>299</v>
      </c>
      <c r="D122" s="62" t="s">
        <v>303</v>
      </c>
      <c r="E122" s="63" t="s">
        <v>304</v>
      </c>
      <c r="F122" s="64">
        <v>5509.5</v>
      </c>
      <c r="G122" s="65">
        <v>5829</v>
      </c>
      <c r="H122" s="65">
        <v>6744</v>
      </c>
      <c r="I122" s="65">
        <v>7845</v>
      </c>
      <c r="J122" s="65">
        <v>9697.5</v>
      </c>
      <c r="K122" s="65">
        <v>11653.5</v>
      </c>
      <c r="L122" s="65">
        <v>13096.5</v>
      </c>
      <c r="M122" s="66">
        <v>667.5</v>
      </c>
      <c r="N122" s="67">
        <v>561</v>
      </c>
      <c r="O122" s="60"/>
      <c r="P122" s="2"/>
      <c r="Q122" s="2"/>
      <c r="R122" s="2"/>
      <c r="S122" s="2"/>
      <c r="T122" s="2"/>
      <c r="U122" s="2"/>
      <c r="V122" s="2"/>
      <c r="W122" s="2"/>
      <c r="X122" s="2"/>
      <c r="Y122" s="38"/>
    </row>
    <row r="123" spans="2:25" ht="15.75" customHeight="1" x14ac:dyDescent="0.3">
      <c r="B123" s="2"/>
      <c r="C123" s="61" t="s">
        <v>299</v>
      </c>
      <c r="D123" s="62" t="s">
        <v>305</v>
      </c>
      <c r="E123" s="63" t="s">
        <v>306</v>
      </c>
      <c r="F123" s="64">
        <v>3673</v>
      </c>
      <c r="G123" s="65">
        <v>3886</v>
      </c>
      <c r="H123" s="65">
        <v>4496</v>
      </c>
      <c r="I123" s="65">
        <v>5230</v>
      </c>
      <c r="J123" s="65">
        <v>6465</v>
      </c>
      <c r="K123" s="65">
        <v>7769</v>
      </c>
      <c r="L123" s="65">
        <v>8731</v>
      </c>
      <c r="M123" s="66">
        <v>445</v>
      </c>
      <c r="N123" s="67">
        <v>374</v>
      </c>
      <c r="O123" s="60"/>
      <c r="P123" s="2"/>
      <c r="Q123" s="2"/>
      <c r="R123" s="2"/>
      <c r="S123" s="2"/>
      <c r="T123" s="2"/>
      <c r="U123" s="2"/>
      <c r="V123" s="2"/>
      <c r="W123" s="2"/>
      <c r="X123" s="2"/>
      <c r="Y123" s="38"/>
    </row>
    <row r="124" spans="2:25" ht="15.75" customHeight="1" x14ac:dyDescent="0.3">
      <c r="B124" s="2"/>
      <c r="C124" s="61" t="s">
        <v>299</v>
      </c>
      <c r="D124" s="62" t="s">
        <v>307</v>
      </c>
      <c r="E124" s="63" t="s">
        <v>308</v>
      </c>
      <c r="F124" s="64">
        <v>3673</v>
      </c>
      <c r="G124" s="65">
        <v>3886</v>
      </c>
      <c r="H124" s="65">
        <v>4496</v>
      </c>
      <c r="I124" s="65">
        <v>5230</v>
      </c>
      <c r="J124" s="65">
        <v>6465</v>
      </c>
      <c r="K124" s="65">
        <v>7769</v>
      </c>
      <c r="L124" s="65">
        <v>8731</v>
      </c>
      <c r="M124" s="66">
        <v>445</v>
      </c>
      <c r="N124" s="67">
        <v>374</v>
      </c>
      <c r="O124" s="60"/>
      <c r="P124" s="2"/>
      <c r="Q124" s="2"/>
      <c r="R124" s="2"/>
      <c r="S124" s="2"/>
      <c r="T124" s="2"/>
      <c r="U124" s="2"/>
      <c r="V124" s="2"/>
      <c r="W124" s="2"/>
      <c r="X124" s="2"/>
      <c r="Y124" s="38"/>
    </row>
    <row r="125" spans="2:25" ht="15.75" customHeight="1" x14ac:dyDescent="0.3">
      <c r="B125" s="2"/>
      <c r="C125" s="61" t="s">
        <v>299</v>
      </c>
      <c r="D125" s="62" t="s">
        <v>309</v>
      </c>
      <c r="E125" s="63" t="s">
        <v>310</v>
      </c>
      <c r="F125" s="64">
        <v>3673</v>
      </c>
      <c r="G125" s="65">
        <v>3886</v>
      </c>
      <c r="H125" s="65">
        <v>4496</v>
      </c>
      <c r="I125" s="65">
        <v>5230</v>
      </c>
      <c r="J125" s="65">
        <v>6465</v>
      </c>
      <c r="K125" s="65">
        <v>7769</v>
      </c>
      <c r="L125" s="65">
        <v>8731</v>
      </c>
      <c r="M125" s="66">
        <v>445</v>
      </c>
      <c r="N125" s="67">
        <v>374</v>
      </c>
      <c r="O125" s="60"/>
      <c r="P125" s="2"/>
      <c r="Q125" s="2"/>
      <c r="R125" s="2"/>
      <c r="S125" s="2"/>
      <c r="T125" s="2"/>
      <c r="U125" s="2"/>
      <c r="V125" s="2"/>
      <c r="W125" s="2"/>
      <c r="X125" s="2"/>
      <c r="Y125" s="38"/>
    </row>
    <row r="126" spans="2:25" ht="15.75" customHeight="1" x14ac:dyDescent="0.3">
      <c r="B126" s="2"/>
      <c r="C126" s="61" t="s">
        <v>299</v>
      </c>
      <c r="D126" s="62" t="s">
        <v>311</v>
      </c>
      <c r="E126" s="63" t="s">
        <v>312</v>
      </c>
      <c r="F126" s="64">
        <v>3673</v>
      </c>
      <c r="G126" s="65">
        <v>3886</v>
      </c>
      <c r="H126" s="65">
        <v>4496</v>
      </c>
      <c r="I126" s="65">
        <v>5230</v>
      </c>
      <c r="J126" s="65">
        <v>6465</v>
      </c>
      <c r="K126" s="65">
        <v>7769</v>
      </c>
      <c r="L126" s="65">
        <v>8731</v>
      </c>
      <c r="M126" s="66">
        <v>445</v>
      </c>
      <c r="N126" s="67">
        <v>374</v>
      </c>
      <c r="O126" s="60"/>
      <c r="P126" s="2"/>
      <c r="Q126" s="2"/>
      <c r="R126" s="2"/>
      <c r="S126" s="2"/>
      <c r="T126" s="2"/>
      <c r="U126" s="2"/>
      <c r="V126" s="2"/>
      <c r="W126" s="2"/>
      <c r="X126" s="2"/>
      <c r="Y126" s="38"/>
    </row>
    <row r="127" spans="2:25" ht="15.75" customHeight="1" x14ac:dyDescent="0.3">
      <c r="B127" s="2"/>
      <c r="C127" s="61" t="s">
        <v>299</v>
      </c>
      <c r="D127" s="62" t="s">
        <v>313</v>
      </c>
      <c r="E127" s="63" t="s">
        <v>314</v>
      </c>
      <c r="F127" s="64">
        <v>3673</v>
      </c>
      <c r="G127" s="65">
        <v>3886</v>
      </c>
      <c r="H127" s="65">
        <v>4496</v>
      </c>
      <c r="I127" s="65">
        <v>5230</v>
      </c>
      <c r="J127" s="65">
        <v>6465</v>
      </c>
      <c r="K127" s="65">
        <v>7769</v>
      </c>
      <c r="L127" s="65">
        <v>8731</v>
      </c>
      <c r="M127" s="66">
        <v>445</v>
      </c>
      <c r="N127" s="67">
        <v>374</v>
      </c>
      <c r="O127" s="60"/>
      <c r="P127" s="2"/>
      <c r="Q127" s="2"/>
      <c r="R127" s="2"/>
      <c r="S127" s="2"/>
      <c r="T127" s="2"/>
      <c r="U127" s="2"/>
      <c r="V127" s="2"/>
      <c r="W127" s="2"/>
      <c r="X127" s="2"/>
      <c r="Y127" s="38"/>
    </row>
    <row r="128" spans="2:25" ht="15.75" customHeight="1" x14ac:dyDescent="0.3">
      <c r="B128" s="2"/>
      <c r="C128" s="61" t="s">
        <v>299</v>
      </c>
      <c r="D128" s="62" t="s">
        <v>315</v>
      </c>
      <c r="E128" s="63" t="s">
        <v>316</v>
      </c>
      <c r="F128" s="64">
        <v>5383.5</v>
      </c>
      <c r="G128" s="65">
        <v>5758.5</v>
      </c>
      <c r="H128" s="65">
        <v>6535.5</v>
      </c>
      <c r="I128" s="65">
        <v>7740</v>
      </c>
      <c r="J128" s="65">
        <v>9616.5</v>
      </c>
      <c r="K128" s="65">
        <v>10867.5</v>
      </c>
      <c r="L128" s="65">
        <v>12196.5</v>
      </c>
      <c r="M128" s="66">
        <v>615</v>
      </c>
      <c r="N128" s="67">
        <v>510</v>
      </c>
      <c r="O128" s="60"/>
      <c r="P128" s="2"/>
      <c r="Q128" s="2"/>
      <c r="R128" s="2"/>
      <c r="S128" s="2"/>
      <c r="T128" s="2"/>
      <c r="U128" s="2"/>
      <c r="V128" s="2"/>
      <c r="W128" s="2"/>
      <c r="X128" s="2"/>
      <c r="Y128" s="38"/>
    </row>
    <row r="129" spans="2:25" ht="15.75" customHeight="1" x14ac:dyDescent="0.3">
      <c r="B129" s="2"/>
      <c r="C129" s="61" t="s">
        <v>299</v>
      </c>
      <c r="D129" s="62" t="s">
        <v>317</v>
      </c>
      <c r="E129" s="63" t="s">
        <v>318</v>
      </c>
      <c r="F129" s="64">
        <v>3673</v>
      </c>
      <c r="G129" s="65">
        <v>3886</v>
      </c>
      <c r="H129" s="65">
        <v>4496</v>
      </c>
      <c r="I129" s="65">
        <v>5230</v>
      </c>
      <c r="J129" s="65">
        <v>6465</v>
      </c>
      <c r="K129" s="65">
        <v>7769</v>
      </c>
      <c r="L129" s="65">
        <v>8731</v>
      </c>
      <c r="M129" s="66">
        <v>445</v>
      </c>
      <c r="N129" s="67">
        <v>374</v>
      </c>
      <c r="O129" s="60"/>
      <c r="P129" s="2"/>
      <c r="Q129" s="2"/>
      <c r="R129" s="2"/>
      <c r="S129" s="2"/>
      <c r="T129" s="2"/>
      <c r="U129" s="2"/>
      <c r="V129" s="2"/>
      <c r="W129" s="2"/>
      <c r="X129" s="2"/>
      <c r="Y129" s="38"/>
    </row>
    <row r="130" spans="2:25" ht="15.75" customHeight="1" x14ac:dyDescent="0.3">
      <c r="B130" s="2"/>
      <c r="C130" s="61" t="s">
        <v>299</v>
      </c>
      <c r="D130" s="62" t="s">
        <v>319</v>
      </c>
      <c r="E130" s="63" t="s">
        <v>320</v>
      </c>
      <c r="F130" s="64">
        <v>5383.5</v>
      </c>
      <c r="G130" s="65">
        <v>5758.5</v>
      </c>
      <c r="H130" s="65">
        <v>6535.5</v>
      </c>
      <c r="I130" s="65">
        <v>7740</v>
      </c>
      <c r="J130" s="65">
        <v>9616.5</v>
      </c>
      <c r="K130" s="65">
        <v>10867.5</v>
      </c>
      <c r="L130" s="65">
        <v>12196.5</v>
      </c>
      <c r="M130" s="66">
        <v>615</v>
      </c>
      <c r="N130" s="67">
        <v>510</v>
      </c>
      <c r="O130" s="60"/>
      <c r="P130" s="2"/>
      <c r="Q130" s="2"/>
      <c r="R130" s="2"/>
      <c r="S130" s="2"/>
      <c r="T130" s="2"/>
      <c r="U130" s="2"/>
      <c r="V130" s="2"/>
      <c r="W130" s="2"/>
      <c r="X130" s="2"/>
      <c r="Y130" s="38"/>
    </row>
    <row r="131" spans="2:25" ht="15.75" customHeight="1" x14ac:dyDescent="0.3">
      <c r="B131" s="2"/>
      <c r="C131" s="61" t="s">
        <v>299</v>
      </c>
      <c r="D131" s="62" t="s">
        <v>321</v>
      </c>
      <c r="E131" s="63" t="s">
        <v>322</v>
      </c>
      <c r="F131" s="64">
        <v>5509.5</v>
      </c>
      <c r="G131" s="65">
        <v>5829</v>
      </c>
      <c r="H131" s="65">
        <v>6744</v>
      </c>
      <c r="I131" s="65">
        <v>7845</v>
      </c>
      <c r="J131" s="65">
        <v>9697.5</v>
      </c>
      <c r="K131" s="65">
        <v>11653.5</v>
      </c>
      <c r="L131" s="65">
        <v>13096.5</v>
      </c>
      <c r="M131" s="66">
        <v>667.5</v>
      </c>
      <c r="N131" s="67">
        <v>561</v>
      </c>
      <c r="O131" s="60"/>
      <c r="P131" s="2"/>
      <c r="Q131" s="2"/>
      <c r="R131" s="2"/>
      <c r="S131" s="2"/>
      <c r="T131" s="2"/>
      <c r="U131" s="2"/>
      <c r="V131" s="2"/>
      <c r="W131" s="2"/>
      <c r="X131" s="2"/>
      <c r="Y131" s="38"/>
    </row>
    <row r="132" spans="2:25" ht="15.75" customHeight="1" x14ac:dyDescent="0.3">
      <c r="B132" s="2"/>
      <c r="C132" s="61" t="s">
        <v>299</v>
      </c>
      <c r="D132" s="62" t="s">
        <v>323</v>
      </c>
      <c r="E132" s="63" t="s">
        <v>324</v>
      </c>
      <c r="F132" s="64">
        <v>3673</v>
      </c>
      <c r="G132" s="65">
        <v>3886</v>
      </c>
      <c r="H132" s="65">
        <v>4496</v>
      </c>
      <c r="I132" s="65">
        <v>5230</v>
      </c>
      <c r="J132" s="65">
        <v>6465</v>
      </c>
      <c r="K132" s="65">
        <v>7769</v>
      </c>
      <c r="L132" s="65">
        <v>8731</v>
      </c>
      <c r="M132" s="66">
        <v>445</v>
      </c>
      <c r="N132" s="67">
        <v>374</v>
      </c>
      <c r="O132" s="60"/>
      <c r="P132" s="2"/>
      <c r="Q132" s="2"/>
      <c r="R132" s="2"/>
      <c r="S132" s="2"/>
      <c r="T132" s="2"/>
      <c r="U132" s="2"/>
      <c r="V132" s="2"/>
      <c r="W132" s="2"/>
      <c r="X132" s="2"/>
      <c r="Y132" s="38"/>
    </row>
    <row r="133" spans="2:25" ht="15.75" customHeight="1" x14ac:dyDescent="0.3">
      <c r="B133" s="2"/>
      <c r="C133" s="61" t="s">
        <v>299</v>
      </c>
      <c r="D133" s="62" t="s">
        <v>325</v>
      </c>
      <c r="E133" s="63" t="s">
        <v>326</v>
      </c>
      <c r="F133" s="64">
        <v>3673</v>
      </c>
      <c r="G133" s="65">
        <v>3886</v>
      </c>
      <c r="H133" s="65">
        <v>4496</v>
      </c>
      <c r="I133" s="65">
        <v>5230</v>
      </c>
      <c r="J133" s="65">
        <v>6465</v>
      </c>
      <c r="K133" s="65">
        <v>7769</v>
      </c>
      <c r="L133" s="65">
        <v>8731</v>
      </c>
      <c r="M133" s="66">
        <v>445</v>
      </c>
      <c r="N133" s="67">
        <v>374</v>
      </c>
      <c r="O133" s="60"/>
      <c r="P133" s="2"/>
      <c r="Q133" s="2"/>
      <c r="R133" s="2"/>
      <c r="S133" s="2"/>
      <c r="T133" s="2"/>
      <c r="U133" s="2"/>
      <c r="V133" s="2"/>
      <c r="W133" s="2"/>
      <c r="X133" s="2"/>
      <c r="Y133" s="38"/>
    </row>
    <row r="134" spans="2:25" ht="15.75" customHeight="1" x14ac:dyDescent="0.3">
      <c r="B134" s="2"/>
      <c r="C134" s="61" t="s">
        <v>299</v>
      </c>
      <c r="D134" s="62" t="s">
        <v>327</v>
      </c>
      <c r="E134" s="63" t="s">
        <v>328</v>
      </c>
      <c r="F134" s="64">
        <v>3673</v>
      </c>
      <c r="G134" s="65">
        <v>3886</v>
      </c>
      <c r="H134" s="65">
        <v>4496</v>
      </c>
      <c r="I134" s="65">
        <v>5230</v>
      </c>
      <c r="J134" s="65">
        <v>6465</v>
      </c>
      <c r="K134" s="65">
        <v>7769</v>
      </c>
      <c r="L134" s="65">
        <v>8731</v>
      </c>
      <c r="M134" s="66">
        <v>445</v>
      </c>
      <c r="N134" s="67">
        <v>374</v>
      </c>
      <c r="O134" s="60"/>
      <c r="P134" s="2"/>
      <c r="Q134" s="2"/>
      <c r="R134" s="2"/>
      <c r="S134" s="2"/>
      <c r="T134" s="2"/>
      <c r="U134" s="2"/>
      <c r="V134" s="2"/>
      <c r="W134" s="2"/>
      <c r="X134" s="2"/>
      <c r="Y134" s="38"/>
    </row>
    <row r="135" spans="2:25" ht="15.75" customHeight="1" x14ac:dyDescent="0.3">
      <c r="B135" s="2"/>
      <c r="C135" s="61" t="s">
        <v>299</v>
      </c>
      <c r="D135" s="62" t="s">
        <v>329</v>
      </c>
      <c r="E135" s="63" t="s">
        <v>330</v>
      </c>
      <c r="F135" s="64">
        <v>3673</v>
      </c>
      <c r="G135" s="65">
        <v>3886</v>
      </c>
      <c r="H135" s="65">
        <v>4496</v>
      </c>
      <c r="I135" s="65">
        <v>5230</v>
      </c>
      <c r="J135" s="65">
        <v>6465</v>
      </c>
      <c r="K135" s="65">
        <v>7769</v>
      </c>
      <c r="L135" s="65">
        <v>8731</v>
      </c>
      <c r="M135" s="66">
        <v>445</v>
      </c>
      <c r="N135" s="67">
        <v>374</v>
      </c>
      <c r="O135" s="60"/>
      <c r="P135" s="2"/>
      <c r="Q135" s="2"/>
      <c r="R135" s="2"/>
      <c r="S135" s="2"/>
      <c r="T135" s="2"/>
      <c r="U135" s="2"/>
      <c r="V135" s="2"/>
      <c r="W135" s="2"/>
      <c r="X135" s="2"/>
      <c r="Y135" s="38"/>
    </row>
    <row r="136" spans="2:25" ht="15.75" customHeight="1" x14ac:dyDescent="0.3">
      <c r="B136" s="2"/>
      <c r="C136" s="61" t="s">
        <v>299</v>
      </c>
      <c r="D136" s="62" t="s">
        <v>331</v>
      </c>
      <c r="E136" s="63" t="s">
        <v>332</v>
      </c>
      <c r="F136" s="64">
        <v>5383.5</v>
      </c>
      <c r="G136" s="65">
        <v>5758.5</v>
      </c>
      <c r="H136" s="65">
        <v>6535.5</v>
      </c>
      <c r="I136" s="65">
        <v>7740</v>
      </c>
      <c r="J136" s="65">
        <v>9616.5</v>
      </c>
      <c r="K136" s="65">
        <v>10867.5</v>
      </c>
      <c r="L136" s="65">
        <v>12196.5</v>
      </c>
      <c r="M136" s="66">
        <v>615</v>
      </c>
      <c r="N136" s="67">
        <v>510</v>
      </c>
      <c r="O136" s="60"/>
      <c r="P136" s="2"/>
      <c r="Q136" s="2"/>
      <c r="R136" s="2"/>
      <c r="S136" s="2"/>
      <c r="T136" s="2"/>
      <c r="U136" s="2"/>
      <c r="V136" s="2"/>
      <c r="W136" s="2"/>
      <c r="X136" s="2"/>
      <c r="Y136" s="38"/>
    </row>
    <row r="137" spans="2:25" ht="15.75" customHeight="1" x14ac:dyDescent="0.3">
      <c r="B137" s="2"/>
      <c r="C137" s="61" t="s">
        <v>299</v>
      </c>
      <c r="D137" s="62" t="s">
        <v>333</v>
      </c>
      <c r="E137" s="63" t="s">
        <v>334</v>
      </c>
      <c r="F137" s="64">
        <v>3673</v>
      </c>
      <c r="G137" s="65">
        <v>3886</v>
      </c>
      <c r="H137" s="65">
        <v>4496</v>
      </c>
      <c r="I137" s="65">
        <v>5230</v>
      </c>
      <c r="J137" s="65">
        <v>6465</v>
      </c>
      <c r="K137" s="65">
        <v>7769</v>
      </c>
      <c r="L137" s="65">
        <v>8731</v>
      </c>
      <c r="M137" s="66">
        <v>445</v>
      </c>
      <c r="N137" s="67">
        <v>374</v>
      </c>
      <c r="O137" s="60"/>
      <c r="P137" s="2"/>
      <c r="Q137" s="2"/>
      <c r="R137" s="2"/>
      <c r="S137" s="2"/>
      <c r="T137" s="2"/>
      <c r="U137" s="2"/>
      <c r="V137" s="2"/>
      <c r="W137" s="2"/>
      <c r="X137" s="2"/>
      <c r="Y137" s="38"/>
    </row>
    <row r="138" spans="2:25" ht="15.75" customHeight="1" x14ac:dyDescent="0.3">
      <c r="B138" s="2"/>
      <c r="C138" s="61" t="s">
        <v>299</v>
      </c>
      <c r="D138" s="62" t="s">
        <v>335</v>
      </c>
      <c r="E138" s="63" t="s">
        <v>336</v>
      </c>
      <c r="F138" s="64">
        <v>3673</v>
      </c>
      <c r="G138" s="65">
        <v>3886</v>
      </c>
      <c r="H138" s="65">
        <v>4496</v>
      </c>
      <c r="I138" s="65">
        <v>5230</v>
      </c>
      <c r="J138" s="65">
        <v>6465</v>
      </c>
      <c r="K138" s="65">
        <v>7769</v>
      </c>
      <c r="L138" s="65">
        <v>8731</v>
      </c>
      <c r="M138" s="66">
        <v>445</v>
      </c>
      <c r="N138" s="67">
        <v>374</v>
      </c>
      <c r="O138" s="60"/>
      <c r="P138" s="2"/>
      <c r="Q138" s="2"/>
      <c r="R138" s="2"/>
      <c r="S138" s="2"/>
      <c r="T138" s="2"/>
      <c r="U138" s="2"/>
      <c r="V138" s="2"/>
      <c r="W138" s="2"/>
      <c r="X138" s="2"/>
      <c r="Y138" s="38"/>
    </row>
    <row r="139" spans="2:25" ht="15.75" customHeight="1" x14ac:dyDescent="0.3">
      <c r="B139" s="2"/>
      <c r="C139" s="61" t="s">
        <v>299</v>
      </c>
      <c r="D139" s="62" t="s">
        <v>337</v>
      </c>
      <c r="E139" s="63" t="s">
        <v>338</v>
      </c>
      <c r="F139" s="64">
        <v>5509.5</v>
      </c>
      <c r="G139" s="65">
        <v>5829</v>
      </c>
      <c r="H139" s="65">
        <v>6744</v>
      </c>
      <c r="I139" s="65">
        <v>7845</v>
      </c>
      <c r="J139" s="65">
        <v>9697.5</v>
      </c>
      <c r="K139" s="65">
        <v>11653.5</v>
      </c>
      <c r="L139" s="65">
        <v>13096.5</v>
      </c>
      <c r="M139" s="66">
        <v>667.5</v>
      </c>
      <c r="N139" s="67">
        <v>561</v>
      </c>
      <c r="O139" s="60"/>
      <c r="P139" s="2"/>
      <c r="Q139" s="2"/>
      <c r="R139" s="2"/>
      <c r="S139" s="2"/>
      <c r="T139" s="2"/>
      <c r="U139" s="2"/>
      <c r="V139" s="2"/>
      <c r="W139" s="2"/>
      <c r="X139" s="2"/>
      <c r="Y139" s="38"/>
    </row>
    <row r="140" spans="2:25" ht="15.75" customHeight="1" x14ac:dyDescent="0.3">
      <c r="B140" s="2"/>
      <c r="C140" s="61" t="s">
        <v>299</v>
      </c>
      <c r="D140" s="62" t="s">
        <v>339</v>
      </c>
      <c r="E140" s="63" t="s">
        <v>340</v>
      </c>
      <c r="F140" s="64">
        <v>3673</v>
      </c>
      <c r="G140" s="65">
        <v>3886</v>
      </c>
      <c r="H140" s="65">
        <v>4496</v>
      </c>
      <c r="I140" s="65">
        <v>5230</v>
      </c>
      <c r="J140" s="65">
        <v>6465</v>
      </c>
      <c r="K140" s="65">
        <v>7769</v>
      </c>
      <c r="L140" s="65">
        <v>8731</v>
      </c>
      <c r="M140" s="66">
        <v>445</v>
      </c>
      <c r="N140" s="67">
        <v>374</v>
      </c>
      <c r="O140" s="60"/>
      <c r="P140" s="2"/>
      <c r="Q140" s="2"/>
      <c r="R140" s="2"/>
      <c r="S140" s="2"/>
      <c r="T140" s="2"/>
      <c r="U140" s="2"/>
      <c r="V140" s="2"/>
      <c r="W140" s="2"/>
      <c r="X140" s="2"/>
      <c r="Y140" s="38"/>
    </row>
    <row r="141" spans="2:25" ht="15.75" customHeight="1" x14ac:dyDescent="0.3">
      <c r="B141" s="2"/>
      <c r="C141" s="61" t="s">
        <v>299</v>
      </c>
      <c r="D141" s="62" t="s">
        <v>341</v>
      </c>
      <c r="E141" s="63" t="s">
        <v>342</v>
      </c>
      <c r="F141" s="64">
        <v>3673</v>
      </c>
      <c r="G141" s="65">
        <v>3886</v>
      </c>
      <c r="H141" s="65">
        <v>4496</v>
      </c>
      <c r="I141" s="65">
        <v>5230</v>
      </c>
      <c r="J141" s="65">
        <v>6465</v>
      </c>
      <c r="K141" s="65">
        <v>7769</v>
      </c>
      <c r="L141" s="65">
        <v>8731</v>
      </c>
      <c r="M141" s="66">
        <v>445</v>
      </c>
      <c r="N141" s="67">
        <v>374</v>
      </c>
      <c r="O141" s="60"/>
      <c r="P141" s="2"/>
      <c r="Q141" s="2"/>
      <c r="R141" s="2"/>
      <c r="S141" s="2"/>
      <c r="T141" s="2"/>
      <c r="U141" s="2"/>
      <c r="V141" s="2"/>
      <c r="W141" s="2"/>
      <c r="X141" s="2"/>
      <c r="Y141" s="38"/>
    </row>
    <row r="142" spans="2:25" ht="15.75" customHeight="1" x14ac:dyDescent="0.3">
      <c r="B142" s="2"/>
      <c r="C142" s="61" t="s">
        <v>299</v>
      </c>
      <c r="D142" s="62" t="s">
        <v>343</v>
      </c>
      <c r="E142" s="63" t="s">
        <v>344</v>
      </c>
      <c r="F142" s="64">
        <v>5509.5</v>
      </c>
      <c r="G142" s="65">
        <v>5829</v>
      </c>
      <c r="H142" s="65">
        <v>6744</v>
      </c>
      <c r="I142" s="65">
        <v>7845</v>
      </c>
      <c r="J142" s="65">
        <v>9697.5</v>
      </c>
      <c r="K142" s="65">
        <v>11653.5</v>
      </c>
      <c r="L142" s="65">
        <v>13096.5</v>
      </c>
      <c r="M142" s="66">
        <v>667.5</v>
      </c>
      <c r="N142" s="67">
        <v>561</v>
      </c>
      <c r="O142" s="60"/>
      <c r="P142" s="2"/>
      <c r="Q142" s="2"/>
      <c r="R142" s="2"/>
      <c r="S142" s="2"/>
      <c r="T142" s="2"/>
      <c r="U142" s="2"/>
      <c r="V142" s="2"/>
      <c r="W142" s="2"/>
      <c r="X142" s="2"/>
      <c r="Y142" s="38"/>
    </row>
    <row r="143" spans="2:25" ht="15.75" customHeight="1" x14ac:dyDescent="0.3">
      <c r="B143" s="2"/>
      <c r="C143" s="61" t="s">
        <v>299</v>
      </c>
      <c r="D143" s="62" t="s">
        <v>345</v>
      </c>
      <c r="E143" s="63" t="s">
        <v>346</v>
      </c>
      <c r="F143" s="64">
        <v>3673</v>
      </c>
      <c r="G143" s="65">
        <v>3886</v>
      </c>
      <c r="H143" s="65">
        <v>4496</v>
      </c>
      <c r="I143" s="65">
        <v>5230</v>
      </c>
      <c r="J143" s="65">
        <v>6465</v>
      </c>
      <c r="K143" s="65">
        <v>7769</v>
      </c>
      <c r="L143" s="65">
        <v>8731</v>
      </c>
      <c r="M143" s="66">
        <v>445</v>
      </c>
      <c r="N143" s="67">
        <v>374</v>
      </c>
      <c r="O143" s="60"/>
      <c r="P143" s="2"/>
      <c r="Q143" s="2"/>
      <c r="R143" s="2"/>
      <c r="S143" s="2"/>
      <c r="T143" s="2"/>
      <c r="U143" s="2"/>
      <c r="V143" s="2"/>
      <c r="W143" s="2"/>
      <c r="X143" s="2"/>
      <c r="Y143" s="38"/>
    </row>
    <row r="144" spans="2:25" ht="15.75" customHeight="1" x14ac:dyDescent="0.3">
      <c r="B144" s="2"/>
      <c r="C144" s="61" t="s">
        <v>299</v>
      </c>
      <c r="D144" s="62" t="s">
        <v>347</v>
      </c>
      <c r="E144" s="63" t="s">
        <v>348</v>
      </c>
      <c r="F144" s="64">
        <v>3673</v>
      </c>
      <c r="G144" s="65">
        <v>3886</v>
      </c>
      <c r="H144" s="65">
        <v>4496</v>
      </c>
      <c r="I144" s="65">
        <v>5230</v>
      </c>
      <c r="J144" s="65">
        <v>6465</v>
      </c>
      <c r="K144" s="65">
        <v>7769</v>
      </c>
      <c r="L144" s="65">
        <v>8731</v>
      </c>
      <c r="M144" s="66">
        <v>445</v>
      </c>
      <c r="N144" s="67">
        <v>374</v>
      </c>
      <c r="O144" s="60"/>
      <c r="P144" s="2"/>
      <c r="Q144" s="2"/>
      <c r="R144" s="2"/>
      <c r="S144" s="2"/>
      <c r="T144" s="2"/>
      <c r="U144" s="2"/>
      <c r="V144" s="2"/>
      <c r="W144" s="2"/>
      <c r="X144" s="2"/>
      <c r="Y144" s="38"/>
    </row>
    <row r="145" spans="2:25" ht="15.75" customHeight="1" x14ac:dyDescent="0.3">
      <c r="B145" s="2"/>
      <c r="C145" s="61" t="s">
        <v>299</v>
      </c>
      <c r="D145" s="62" t="s">
        <v>349</v>
      </c>
      <c r="E145" s="63" t="s">
        <v>350</v>
      </c>
      <c r="F145" s="64">
        <v>5509.5</v>
      </c>
      <c r="G145" s="65">
        <v>5829</v>
      </c>
      <c r="H145" s="65">
        <v>6744</v>
      </c>
      <c r="I145" s="65">
        <v>7845</v>
      </c>
      <c r="J145" s="65">
        <v>9697.5</v>
      </c>
      <c r="K145" s="65">
        <v>11653.5</v>
      </c>
      <c r="L145" s="65">
        <v>13096.5</v>
      </c>
      <c r="M145" s="66">
        <v>667.5</v>
      </c>
      <c r="N145" s="67">
        <v>561</v>
      </c>
      <c r="O145" s="60"/>
      <c r="P145" s="2"/>
      <c r="Q145" s="2"/>
      <c r="R145" s="2"/>
      <c r="S145" s="2"/>
      <c r="T145" s="2"/>
      <c r="U145" s="2"/>
      <c r="V145" s="2"/>
      <c r="W145" s="2"/>
      <c r="X145" s="2"/>
      <c r="Y145" s="38"/>
    </row>
    <row r="146" spans="2:25" ht="15.75" customHeight="1" x14ac:dyDescent="0.3">
      <c r="B146" s="2"/>
      <c r="C146" s="61" t="s">
        <v>299</v>
      </c>
      <c r="D146" s="62" t="s">
        <v>351</v>
      </c>
      <c r="E146" s="63" t="s">
        <v>352</v>
      </c>
      <c r="F146" s="64">
        <v>3673</v>
      </c>
      <c r="G146" s="65">
        <v>3886</v>
      </c>
      <c r="H146" s="65">
        <v>4496</v>
      </c>
      <c r="I146" s="65">
        <v>5230</v>
      </c>
      <c r="J146" s="65">
        <v>6465</v>
      </c>
      <c r="K146" s="65">
        <v>7769</v>
      </c>
      <c r="L146" s="65">
        <v>8731</v>
      </c>
      <c r="M146" s="66">
        <v>445</v>
      </c>
      <c r="N146" s="67">
        <v>374</v>
      </c>
      <c r="O146" s="60"/>
      <c r="P146" s="2"/>
      <c r="Q146" s="2"/>
      <c r="R146" s="2"/>
      <c r="S146" s="2"/>
      <c r="T146" s="2"/>
      <c r="U146" s="2"/>
      <c r="V146" s="2"/>
      <c r="W146" s="2"/>
      <c r="X146" s="2"/>
      <c r="Y146" s="38"/>
    </row>
    <row r="147" spans="2:25" ht="15.75" customHeight="1" x14ac:dyDescent="0.3">
      <c r="B147" s="2"/>
      <c r="C147" s="61" t="s">
        <v>299</v>
      </c>
      <c r="D147" s="62" t="s">
        <v>353</v>
      </c>
      <c r="E147" s="63" t="s">
        <v>354</v>
      </c>
      <c r="F147" s="64">
        <v>3673</v>
      </c>
      <c r="G147" s="65">
        <v>3886</v>
      </c>
      <c r="H147" s="65">
        <v>4496</v>
      </c>
      <c r="I147" s="65">
        <v>5230</v>
      </c>
      <c r="J147" s="65">
        <v>6465</v>
      </c>
      <c r="K147" s="65">
        <v>7769</v>
      </c>
      <c r="L147" s="65">
        <v>8731</v>
      </c>
      <c r="M147" s="66">
        <v>445</v>
      </c>
      <c r="N147" s="67">
        <v>374</v>
      </c>
      <c r="O147" s="60"/>
      <c r="P147" s="2"/>
      <c r="Q147" s="2"/>
      <c r="R147" s="2"/>
      <c r="S147" s="2"/>
      <c r="T147" s="2"/>
      <c r="U147" s="2"/>
      <c r="V147" s="2"/>
      <c r="W147" s="2"/>
      <c r="X147" s="2"/>
      <c r="Y147" s="38"/>
    </row>
    <row r="148" spans="2:25" ht="15.75" customHeight="1" x14ac:dyDescent="0.3">
      <c r="B148" s="2"/>
      <c r="C148" s="61" t="s">
        <v>299</v>
      </c>
      <c r="D148" s="62" t="s">
        <v>355</v>
      </c>
      <c r="E148" s="63" t="s">
        <v>356</v>
      </c>
      <c r="F148" s="64">
        <v>3673</v>
      </c>
      <c r="G148" s="65">
        <v>3886</v>
      </c>
      <c r="H148" s="65">
        <v>4496</v>
      </c>
      <c r="I148" s="65">
        <v>5230</v>
      </c>
      <c r="J148" s="65">
        <v>6465</v>
      </c>
      <c r="K148" s="65">
        <v>7769</v>
      </c>
      <c r="L148" s="65">
        <v>8731</v>
      </c>
      <c r="M148" s="66">
        <v>445</v>
      </c>
      <c r="N148" s="67">
        <v>374</v>
      </c>
      <c r="O148" s="60"/>
      <c r="P148" s="2"/>
      <c r="Q148" s="2"/>
      <c r="R148" s="2"/>
      <c r="S148" s="2"/>
      <c r="T148" s="2"/>
      <c r="U148" s="2"/>
      <c r="V148" s="2"/>
      <c r="W148" s="2"/>
      <c r="X148" s="2"/>
      <c r="Y148" s="38"/>
    </row>
    <row r="149" spans="2:25" ht="15.75" customHeight="1" x14ac:dyDescent="0.3">
      <c r="B149" s="2"/>
      <c r="C149" s="61" t="s">
        <v>299</v>
      </c>
      <c r="D149" s="62" t="s">
        <v>357</v>
      </c>
      <c r="E149" s="63" t="s">
        <v>358</v>
      </c>
      <c r="F149" s="64">
        <v>3673</v>
      </c>
      <c r="G149" s="65">
        <v>3886</v>
      </c>
      <c r="H149" s="65">
        <v>4496</v>
      </c>
      <c r="I149" s="65">
        <v>5230</v>
      </c>
      <c r="J149" s="65">
        <v>6465</v>
      </c>
      <c r="K149" s="65">
        <v>7769</v>
      </c>
      <c r="L149" s="65">
        <v>8731</v>
      </c>
      <c r="M149" s="66">
        <v>445</v>
      </c>
      <c r="N149" s="67">
        <v>374</v>
      </c>
      <c r="O149" s="60"/>
      <c r="P149" s="2"/>
      <c r="Q149" s="2"/>
      <c r="R149" s="2"/>
      <c r="S149" s="2"/>
      <c r="T149" s="2"/>
      <c r="U149" s="2"/>
      <c r="V149" s="2"/>
      <c r="W149" s="2"/>
      <c r="X149" s="2"/>
      <c r="Y149" s="38"/>
    </row>
    <row r="150" spans="2:25" ht="15.75" customHeight="1" x14ac:dyDescent="0.3">
      <c r="B150" s="2"/>
      <c r="C150" s="61" t="s">
        <v>299</v>
      </c>
      <c r="D150" s="62" t="s">
        <v>359</v>
      </c>
      <c r="E150" s="63" t="s">
        <v>360</v>
      </c>
      <c r="F150" s="64">
        <v>3673</v>
      </c>
      <c r="G150" s="65">
        <v>3886</v>
      </c>
      <c r="H150" s="65">
        <v>4496</v>
      </c>
      <c r="I150" s="65">
        <v>5230</v>
      </c>
      <c r="J150" s="65">
        <v>6465</v>
      </c>
      <c r="K150" s="65">
        <v>7769</v>
      </c>
      <c r="L150" s="65">
        <v>8731</v>
      </c>
      <c r="M150" s="66">
        <v>445</v>
      </c>
      <c r="N150" s="67">
        <v>374</v>
      </c>
      <c r="O150" s="60"/>
      <c r="P150" s="2"/>
      <c r="Q150" s="2"/>
      <c r="R150" s="2"/>
      <c r="S150" s="2"/>
      <c r="T150" s="2"/>
      <c r="U150" s="2"/>
      <c r="V150" s="2"/>
      <c r="W150" s="2"/>
      <c r="X150" s="2"/>
      <c r="Y150" s="38"/>
    </row>
    <row r="151" spans="2:25" ht="15.75" customHeight="1" x14ac:dyDescent="0.3">
      <c r="B151" s="2"/>
      <c r="C151" s="61" t="s">
        <v>299</v>
      </c>
      <c r="D151" s="62" t="s">
        <v>361</v>
      </c>
      <c r="E151" s="63" t="s">
        <v>362</v>
      </c>
      <c r="F151" s="64">
        <v>5509.5</v>
      </c>
      <c r="G151" s="65">
        <v>5829</v>
      </c>
      <c r="H151" s="65">
        <v>6744</v>
      </c>
      <c r="I151" s="65">
        <v>7845</v>
      </c>
      <c r="J151" s="65">
        <v>9697.5</v>
      </c>
      <c r="K151" s="65">
        <v>11653.5</v>
      </c>
      <c r="L151" s="65">
        <v>13096.5</v>
      </c>
      <c r="M151" s="66">
        <v>667.5</v>
      </c>
      <c r="N151" s="67">
        <v>561</v>
      </c>
      <c r="O151" s="60"/>
      <c r="P151" s="2"/>
      <c r="Q151" s="2"/>
      <c r="R151" s="2"/>
      <c r="S151" s="2"/>
      <c r="T151" s="2"/>
      <c r="U151" s="2"/>
      <c r="V151" s="2"/>
      <c r="W151" s="2"/>
      <c r="X151" s="2"/>
      <c r="Y151" s="38"/>
    </row>
    <row r="152" spans="2:25" ht="15.75" customHeight="1" thickBot="1" x14ac:dyDescent="0.35">
      <c r="B152" s="2"/>
      <c r="C152" s="68" t="s">
        <v>299</v>
      </c>
      <c r="D152" s="69" t="s">
        <v>363</v>
      </c>
      <c r="E152" s="70" t="s">
        <v>364</v>
      </c>
      <c r="F152" s="71">
        <v>3673</v>
      </c>
      <c r="G152" s="72">
        <v>3886</v>
      </c>
      <c r="H152" s="72">
        <v>4496</v>
      </c>
      <c r="I152" s="72">
        <v>5230</v>
      </c>
      <c r="J152" s="72">
        <v>6465</v>
      </c>
      <c r="K152" s="72">
        <v>7769</v>
      </c>
      <c r="L152" s="72">
        <v>8731</v>
      </c>
      <c r="M152" s="73">
        <v>445</v>
      </c>
      <c r="N152" s="74">
        <v>374</v>
      </c>
      <c r="O152" s="60"/>
      <c r="P152" s="2"/>
      <c r="Q152" s="2"/>
      <c r="R152" s="2"/>
      <c r="S152" s="2"/>
      <c r="T152" s="2"/>
      <c r="U152" s="2"/>
      <c r="V152" s="2"/>
      <c r="W152" s="2"/>
      <c r="X152" s="2"/>
      <c r="Y152" s="38"/>
    </row>
    <row r="153" spans="2:25" ht="15.75" customHeight="1" x14ac:dyDescent="0.3">
      <c r="B153" s="2"/>
      <c r="C153" s="53" t="s">
        <v>365</v>
      </c>
      <c r="D153" s="54" t="s">
        <v>366</v>
      </c>
      <c r="E153" s="55" t="s">
        <v>38</v>
      </c>
      <c r="F153" s="56">
        <v>3822</v>
      </c>
      <c r="G153" s="57">
        <v>4089</v>
      </c>
      <c r="H153" s="57">
        <v>4695</v>
      </c>
      <c r="I153" s="57">
        <v>5392</v>
      </c>
      <c r="J153" s="57">
        <v>6756</v>
      </c>
      <c r="K153" s="57">
        <v>8188</v>
      </c>
      <c r="L153" s="57">
        <v>9170</v>
      </c>
      <c r="M153" s="58">
        <v>454</v>
      </c>
      <c r="N153" s="59">
        <v>386</v>
      </c>
      <c r="O153" s="60"/>
      <c r="P153" s="2"/>
      <c r="Q153" s="2"/>
      <c r="R153" s="2"/>
      <c r="S153" s="2"/>
      <c r="T153" s="2"/>
      <c r="U153" s="2"/>
      <c r="V153" s="2"/>
      <c r="W153" s="2"/>
      <c r="X153" s="2"/>
      <c r="Y153" s="38"/>
    </row>
    <row r="154" spans="2:25" ht="15.75" customHeight="1" x14ac:dyDescent="0.3">
      <c r="B154" s="2"/>
      <c r="C154" s="61" t="s">
        <v>365</v>
      </c>
      <c r="D154" s="62" t="s">
        <v>367</v>
      </c>
      <c r="E154" s="63" t="s">
        <v>40</v>
      </c>
      <c r="F154" s="64">
        <v>3822</v>
      </c>
      <c r="G154" s="65">
        <v>4089</v>
      </c>
      <c r="H154" s="65">
        <v>4695</v>
      </c>
      <c r="I154" s="65">
        <v>5392</v>
      </c>
      <c r="J154" s="65">
        <v>6756</v>
      </c>
      <c r="K154" s="65">
        <v>8188</v>
      </c>
      <c r="L154" s="65">
        <v>9170</v>
      </c>
      <c r="M154" s="66">
        <v>454</v>
      </c>
      <c r="N154" s="67">
        <v>386</v>
      </c>
      <c r="O154" s="60"/>
      <c r="P154" s="2"/>
      <c r="Q154" s="2"/>
      <c r="R154" s="2"/>
      <c r="S154" s="2"/>
      <c r="T154" s="2"/>
      <c r="U154" s="2"/>
      <c r="V154" s="2"/>
      <c r="W154" s="2"/>
      <c r="X154" s="2"/>
      <c r="Y154" s="38"/>
    </row>
    <row r="155" spans="2:25" ht="15.75" customHeight="1" x14ac:dyDescent="0.3">
      <c r="B155" s="2"/>
      <c r="C155" s="61" t="s">
        <v>365</v>
      </c>
      <c r="D155" s="62" t="s">
        <v>368</v>
      </c>
      <c r="E155" s="63" t="s">
        <v>369</v>
      </c>
      <c r="F155" s="64">
        <v>5733</v>
      </c>
      <c r="G155" s="65">
        <v>6133.5</v>
      </c>
      <c r="H155" s="65">
        <v>7042.5</v>
      </c>
      <c r="I155" s="65">
        <v>8088</v>
      </c>
      <c r="J155" s="65">
        <v>10134</v>
      </c>
      <c r="K155" s="65">
        <v>12282</v>
      </c>
      <c r="L155" s="65">
        <v>13755</v>
      </c>
      <c r="M155" s="66">
        <v>681</v>
      </c>
      <c r="N155" s="67">
        <v>579</v>
      </c>
      <c r="O155" s="60"/>
      <c r="P155" s="2"/>
      <c r="Q155" s="2"/>
      <c r="R155" s="2"/>
      <c r="S155" s="2"/>
      <c r="T155" s="2"/>
      <c r="U155" s="2"/>
      <c r="V155" s="2"/>
      <c r="W155" s="2"/>
      <c r="X155" s="2"/>
      <c r="Y155" s="38"/>
    </row>
    <row r="156" spans="2:25" ht="15.75" customHeight="1" x14ac:dyDescent="0.3">
      <c r="B156" s="2"/>
      <c r="C156" s="61" t="s">
        <v>365</v>
      </c>
      <c r="D156" s="62" t="s">
        <v>370</v>
      </c>
      <c r="E156" s="63" t="s">
        <v>371</v>
      </c>
      <c r="F156" s="64">
        <v>5733</v>
      </c>
      <c r="G156" s="65">
        <v>6133.5</v>
      </c>
      <c r="H156" s="65">
        <v>7042.5</v>
      </c>
      <c r="I156" s="65">
        <v>8088</v>
      </c>
      <c r="J156" s="65">
        <v>10134</v>
      </c>
      <c r="K156" s="65">
        <v>12282</v>
      </c>
      <c r="L156" s="65">
        <v>13755</v>
      </c>
      <c r="M156" s="66">
        <v>681</v>
      </c>
      <c r="N156" s="67">
        <v>579</v>
      </c>
      <c r="O156" s="60"/>
      <c r="P156" s="2"/>
      <c r="Q156" s="2"/>
      <c r="R156" s="2"/>
      <c r="S156" s="2"/>
      <c r="T156" s="2"/>
      <c r="U156" s="2"/>
      <c r="V156" s="2"/>
      <c r="W156" s="2"/>
      <c r="X156" s="2"/>
      <c r="Y156" s="38"/>
    </row>
    <row r="157" spans="2:25" ht="15.75" customHeight="1" x14ac:dyDescent="0.3">
      <c r="B157" s="2"/>
      <c r="C157" s="61" t="s">
        <v>365</v>
      </c>
      <c r="D157" s="62" t="s">
        <v>372</v>
      </c>
      <c r="E157" s="63" t="s">
        <v>373</v>
      </c>
      <c r="F157" s="64">
        <v>3822</v>
      </c>
      <c r="G157" s="65">
        <v>4089</v>
      </c>
      <c r="H157" s="65">
        <v>4695</v>
      </c>
      <c r="I157" s="65">
        <v>5392</v>
      </c>
      <c r="J157" s="65">
        <v>6756</v>
      </c>
      <c r="K157" s="65">
        <v>8188</v>
      </c>
      <c r="L157" s="65">
        <v>9170</v>
      </c>
      <c r="M157" s="66">
        <v>454</v>
      </c>
      <c r="N157" s="67">
        <v>386</v>
      </c>
      <c r="O157" s="60"/>
      <c r="P157" s="2"/>
      <c r="Q157" s="2"/>
      <c r="R157" s="2"/>
      <c r="S157" s="2"/>
      <c r="T157" s="2"/>
      <c r="U157" s="2"/>
      <c r="V157" s="2"/>
      <c r="W157" s="2"/>
      <c r="X157" s="2"/>
      <c r="Y157" s="38"/>
    </row>
    <row r="158" spans="2:25" ht="15.75" customHeight="1" x14ac:dyDescent="0.3">
      <c r="B158" s="2"/>
      <c r="C158" s="61" t="s">
        <v>365</v>
      </c>
      <c r="D158" s="62" t="s">
        <v>374</v>
      </c>
      <c r="E158" s="63" t="s">
        <v>375</v>
      </c>
      <c r="F158" s="64">
        <v>3822</v>
      </c>
      <c r="G158" s="65">
        <v>4089</v>
      </c>
      <c r="H158" s="65">
        <v>4695</v>
      </c>
      <c r="I158" s="65">
        <v>5392</v>
      </c>
      <c r="J158" s="65">
        <v>6756</v>
      </c>
      <c r="K158" s="65">
        <v>8188</v>
      </c>
      <c r="L158" s="65">
        <v>9170</v>
      </c>
      <c r="M158" s="66">
        <v>454</v>
      </c>
      <c r="N158" s="67">
        <v>386</v>
      </c>
      <c r="O158" s="60"/>
      <c r="P158" s="2"/>
      <c r="Q158" s="2"/>
      <c r="R158" s="2"/>
      <c r="S158" s="2"/>
      <c r="T158" s="2"/>
      <c r="U158" s="2"/>
      <c r="V158" s="2"/>
      <c r="W158" s="2"/>
      <c r="X158" s="2"/>
      <c r="Y158" s="38"/>
    </row>
    <row r="159" spans="2:25" ht="15.75" customHeight="1" x14ac:dyDescent="0.3">
      <c r="B159" s="2"/>
      <c r="C159" s="61" t="s">
        <v>365</v>
      </c>
      <c r="D159" s="62" t="s">
        <v>376</v>
      </c>
      <c r="E159" s="63" t="s">
        <v>377</v>
      </c>
      <c r="F159" s="64">
        <v>5733</v>
      </c>
      <c r="G159" s="65">
        <v>6133.5</v>
      </c>
      <c r="H159" s="65">
        <v>7042.5</v>
      </c>
      <c r="I159" s="65">
        <v>8088</v>
      </c>
      <c r="J159" s="65">
        <v>10134</v>
      </c>
      <c r="K159" s="65">
        <v>12282</v>
      </c>
      <c r="L159" s="65">
        <v>13755</v>
      </c>
      <c r="M159" s="66">
        <v>681</v>
      </c>
      <c r="N159" s="67">
        <v>579</v>
      </c>
      <c r="O159" s="60"/>
      <c r="P159" s="2"/>
      <c r="Q159" s="2"/>
      <c r="R159" s="2"/>
      <c r="S159" s="2"/>
      <c r="T159" s="2"/>
      <c r="U159" s="2"/>
      <c r="V159" s="2"/>
      <c r="W159" s="2"/>
      <c r="X159" s="2"/>
      <c r="Y159" s="38"/>
    </row>
    <row r="160" spans="2:25" ht="15.75" customHeight="1" x14ac:dyDescent="0.3">
      <c r="B160" s="2"/>
      <c r="C160" s="61" t="s">
        <v>365</v>
      </c>
      <c r="D160" s="62" t="s">
        <v>378</v>
      </c>
      <c r="E160" s="63" t="s">
        <v>379</v>
      </c>
      <c r="F160" s="64">
        <v>5733</v>
      </c>
      <c r="G160" s="65">
        <v>6133.5</v>
      </c>
      <c r="H160" s="65">
        <v>7042.5</v>
      </c>
      <c r="I160" s="65">
        <v>8088</v>
      </c>
      <c r="J160" s="65">
        <v>10134</v>
      </c>
      <c r="K160" s="65">
        <v>12282</v>
      </c>
      <c r="L160" s="65">
        <v>13755</v>
      </c>
      <c r="M160" s="66">
        <v>681</v>
      </c>
      <c r="N160" s="67">
        <v>579</v>
      </c>
      <c r="O160" s="60"/>
      <c r="P160" s="2"/>
      <c r="Q160" s="2"/>
      <c r="R160" s="2"/>
      <c r="S160" s="2"/>
      <c r="T160" s="2"/>
      <c r="U160" s="2"/>
      <c r="V160" s="2"/>
      <c r="W160" s="2"/>
      <c r="X160" s="2"/>
      <c r="Y160" s="38"/>
    </row>
    <row r="161" spans="2:25" ht="15.75" customHeight="1" x14ac:dyDescent="0.3">
      <c r="B161" s="2"/>
      <c r="C161" s="61" t="s">
        <v>365</v>
      </c>
      <c r="D161" s="62" t="s">
        <v>380</v>
      </c>
      <c r="E161" s="63" t="s">
        <v>381</v>
      </c>
      <c r="F161" s="64">
        <v>5733</v>
      </c>
      <c r="G161" s="65">
        <v>6133.5</v>
      </c>
      <c r="H161" s="65">
        <v>7042.5</v>
      </c>
      <c r="I161" s="65">
        <v>8088</v>
      </c>
      <c r="J161" s="65">
        <v>10134</v>
      </c>
      <c r="K161" s="65">
        <v>12282</v>
      </c>
      <c r="L161" s="65">
        <v>13755</v>
      </c>
      <c r="M161" s="66">
        <v>681</v>
      </c>
      <c r="N161" s="67">
        <v>579</v>
      </c>
      <c r="O161" s="60"/>
      <c r="P161" s="2"/>
      <c r="Q161" s="2"/>
      <c r="R161" s="2"/>
      <c r="S161" s="2"/>
      <c r="T161" s="2"/>
      <c r="U161" s="2"/>
      <c r="V161" s="2"/>
      <c r="W161" s="2"/>
      <c r="X161" s="2"/>
      <c r="Y161" s="38"/>
    </row>
    <row r="162" spans="2:25" ht="15.75" customHeight="1" x14ac:dyDescent="0.3">
      <c r="B162" s="2"/>
      <c r="C162" s="61" t="s">
        <v>365</v>
      </c>
      <c r="D162" s="62" t="s">
        <v>382</v>
      </c>
      <c r="E162" s="63" t="s">
        <v>383</v>
      </c>
      <c r="F162" s="64">
        <v>5733</v>
      </c>
      <c r="G162" s="65">
        <v>6133.5</v>
      </c>
      <c r="H162" s="65">
        <v>7042.5</v>
      </c>
      <c r="I162" s="65">
        <v>8088</v>
      </c>
      <c r="J162" s="65">
        <v>10134</v>
      </c>
      <c r="K162" s="65">
        <v>12282</v>
      </c>
      <c r="L162" s="65">
        <v>13755</v>
      </c>
      <c r="M162" s="66">
        <v>681</v>
      </c>
      <c r="N162" s="67">
        <v>579</v>
      </c>
      <c r="O162" s="60"/>
      <c r="P162" s="2"/>
      <c r="Q162" s="2"/>
      <c r="R162" s="2"/>
      <c r="S162" s="2"/>
      <c r="T162" s="2"/>
      <c r="U162" s="2"/>
      <c r="V162" s="2"/>
      <c r="W162" s="2"/>
      <c r="X162" s="2"/>
      <c r="Y162" s="38"/>
    </row>
    <row r="163" spans="2:25" ht="15.75" customHeight="1" x14ac:dyDescent="0.3">
      <c r="B163" s="2"/>
      <c r="C163" s="61" t="s">
        <v>365</v>
      </c>
      <c r="D163" s="62" t="s">
        <v>384</v>
      </c>
      <c r="E163" s="63" t="s">
        <v>385</v>
      </c>
      <c r="F163" s="64">
        <v>3822</v>
      </c>
      <c r="G163" s="65">
        <v>4089</v>
      </c>
      <c r="H163" s="65">
        <v>4695</v>
      </c>
      <c r="I163" s="65">
        <v>5392</v>
      </c>
      <c r="J163" s="65">
        <v>6756</v>
      </c>
      <c r="K163" s="65">
        <v>8188</v>
      </c>
      <c r="L163" s="65">
        <v>9170</v>
      </c>
      <c r="M163" s="66">
        <v>454</v>
      </c>
      <c r="N163" s="67">
        <v>386</v>
      </c>
      <c r="O163" s="60"/>
      <c r="P163" s="2"/>
      <c r="Q163" s="2"/>
      <c r="R163" s="2"/>
      <c r="S163" s="2"/>
      <c r="T163" s="2"/>
      <c r="U163" s="2"/>
      <c r="V163" s="2"/>
      <c r="W163" s="2"/>
      <c r="X163" s="2"/>
      <c r="Y163" s="38"/>
    </row>
    <row r="164" spans="2:25" ht="15.75" customHeight="1" x14ac:dyDescent="0.3">
      <c r="B164" s="2"/>
      <c r="C164" s="61" t="s">
        <v>365</v>
      </c>
      <c r="D164" s="62" t="s">
        <v>386</v>
      </c>
      <c r="E164" s="63" t="s">
        <v>387</v>
      </c>
      <c r="F164" s="64">
        <v>3822</v>
      </c>
      <c r="G164" s="65">
        <v>4089</v>
      </c>
      <c r="H164" s="65">
        <v>4695</v>
      </c>
      <c r="I164" s="65">
        <v>5392</v>
      </c>
      <c r="J164" s="65">
        <v>6756</v>
      </c>
      <c r="K164" s="65">
        <v>8188</v>
      </c>
      <c r="L164" s="65">
        <v>9170</v>
      </c>
      <c r="M164" s="66">
        <v>454</v>
      </c>
      <c r="N164" s="67">
        <v>386</v>
      </c>
      <c r="O164" s="60"/>
      <c r="P164" s="2"/>
      <c r="Q164" s="2"/>
      <c r="R164" s="2"/>
      <c r="S164" s="2"/>
      <c r="T164" s="2"/>
      <c r="U164" s="2"/>
      <c r="V164" s="2"/>
      <c r="W164" s="2"/>
      <c r="X164" s="2"/>
      <c r="Y164" s="38"/>
    </row>
    <row r="165" spans="2:25" ht="15.75" customHeight="1" x14ac:dyDescent="0.3">
      <c r="B165" s="2"/>
      <c r="C165" s="61" t="s">
        <v>365</v>
      </c>
      <c r="D165" s="62" t="s">
        <v>388</v>
      </c>
      <c r="E165" s="63" t="s">
        <v>389</v>
      </c>
      <c r="F165" s="64">
        <v>3822</v>
      </c>
      <c r="G165" s="65">
        <v>4089</v>
      </c>
      <c r="H165" s="65">
        <v>4695</v>
      </c>
      <c r="I165" s="65">
        <v>5392</v>
      </c>
      <c r="J165" s="65">
        <v>6756</v>
      </c>
      <c r="K165" s="65">
        <v>8188</v>
      </c>
      <c r="L165" s="65">
        <v>9170</v>
      </c>
      <c r="M165" s="66">
        <v>454</v>
      </c>
      <c r="N165" s="67">
        <v>386</v>
      </c>
      <c r="O165" s="60"/>
      <c r="P165" s="2"/>
      <c r="Q165" s="2"/>
      <c r="R165" s="2"/>
      <c r="S165" s="2"/>
      <c r="T165" s="2"/>
      <c r="U165" s="2"/>
      <c r="V165" s="2"/>
      <c r="W165" s="2"/>
      <c r="X165" s="2"/>
      <c r="Y165" s="38"/>
    </row>
    <row r="166" spans="2:25" ht="15.75" customHeight="1" x14ac:dyDescent="0.3">
      <c r="B166" s="2"/>
      <c r="C166" s="61" t="s">
        <v>365</v>
      </c>
      <c r="D166" s="62" t="s">
        <v>390</v>
      </c>
      <c r="E166" s="63" t="s">
        <v>391</v>
      </c>
      <c r="F166" s="64">
        <v>3822</v>
      </c>
      <c r="G166" s="65">
        <v>4089</v>
      </c>
      <c r="H166" s="65">
        <v>4695</v>
      </c>
      <c r="I166" s="65">
        <v>5392</v>
      </c>
      <c r="J166" s="65">
        <v>6756</v>
      </c>
      <c r="K166" s="65">
        <v>8188</v>
      </c>
      <c r="L166" s="65">
        <v>9170</v>
      </c>
      <c r="M166" s="66">
        <v>454</v>
      </c>
      <c r="N166" s="67">
        <v>386</v>
      </c>
      <c r="O166" s="60"/>
      <c r="P166" s="2"/>
      <c r="Q166" s="2"/>
      <c r="R166" s="2"/>
      <c r="S166" s="2"/>
      <c r="T166" s="2"/>
      <c r="U166" s="2"/>
      <c r="V166" s="2"/>
      <c r="W166" s="2"/>
      <c r="X166" s="2"/>
      <c r="Y166" s="38"/>
    </row>
    <row r="167" spans="2:25" ht="15.75" customHeight="1" x14ac:dyDescent="0.3">
      <c r="B167" s="2"/>
      <c r="C167" s="61" t="s">
        <v>365</v>
      </c>
      <c r="D167" s="62" t="s">
        <v>392</v>
      </c>
      <c r="E167" s="63" t="s">
        <v>393</v>
      </c>
      <c r="F167" s="64">
        <v>5733</v>
      </c>
      <c r="G167" s="65">
        <v>6133.5</v>
      </c>
      <c r="H167" s="65">
        <v>7042.5</v>
      </c>
      <c r="I167" s="65">
        <v>8088</v>
      </c>
      <c r="J167" s="65">
        <v>10134</v>
      </c>
      <c r="K167" s="65">
        <v>12282</v>
      </c>
      <c r="L167" s="65">
        <v>13755</v>
      </c>
      <c r="M167" s="66">
        <v>681</v>
      </c>
      <c r="N167" s="67">
        <v>579</v>
      </c>
      <c r="O167" s="60"/>
      <c r="P167" s="2"/>
      <c r="Q167" s="2"/>
      <c r="R167" s="2"/>
      <c r="S167" s="2"/>
      <c r="T167" s="2"/>
      <c r="U167" s="2"/>
      <c r="V167" s="2"/>
      <c r="W167" s="2"/>
      <c r="X167" s="2"/>
      <c r="Y167" s="38"/>
    </row>
    <row r="168" spans="2:25" ht="15.75" customHeight="1" x14ac:dyDescent="0.3">
      <c r="B168" s="2"/>
      <c r="C168" s="61" t="s">
        <v>365</v>
      </c>
      <c r="D168" s="62" t="s">
        <v>394</v>
      </c>
      <c r="E168" s="63" t="s">
        <v>395</v>
      </c>
      <c r="F168" s="64">
        <v>3822</v>
      </c>
      <c r="G168" s="65">
        <v>4089</v>
      </c>
      <c r="H168" s="65">
        <v>4695</v>
      </c>
      <c r="I168" s="65">
        <v>5392</v>
      </c>
      <c r="J168" s="65">
        <v>6756</v>
      </c>
      <c r="K168" s="65">
        <v>8188</v>
      </c>
      <c r="L168" s="65">
        <v>9170</v>
      </c>
      <c r="M168" s="66">
        <v>454</v>
      </c>
      <c r="N168" s="67">
        <v>386</v>
      </c>
      <c r="O168" s="60"/>
      <c r="P168" s="2"/>
      <c r="Q168" s="2"/>
      <c r="R168" s="2"/>
      <c r="S168" s="2"/>
      <c r="T168" s="2"/>
      <c r="U168" s="2"/>
      <c r="V168" s="2"/>
      <c r="W168" s="2"/>
      <c r="X168" s="2"/>
      <c r="Y168" s="38"/>
    </row>
    <row r="169" spans="2:25" ht="15.75" customHeight="1" x14ac:dyDescent="0.3">
      <c r="B169" s="2"/>
      <c r="C169" s="61" t="s">
        <v>365</v>
      </c>
      <c r="D169" s="62" t="s">
        <v>396</v>
      </c>
      <c r="E169" s="63" t="s">
        <v>397</v>
      </c>
      <c r="F169" s="64">
        <v>5733</v>
      </c>
      <c r="G169" s="65">
        <v>6133.5</v>
      </c>
      <c r="H169" s="65">
        <v>7042.5</v>
      </c>
      <c r="I169" s="65">
        <v>8088</v>
      </c>
      <c r="J169" s="65">
        <v>10134</v>
      </c>
      <c r="K169" s="65">
        <v>12282</v>
      </c>
      <c r="L169" s="65">
        <v>13755</v>
      </c>
      <c r="M169" s="66">
        <v>681</v>
      </c>
      <c r="N169" s="67">
        <v>579</v>
      </c>
      <c r="O169" s="60"/>
      <c r="P169" s="2"/>
      <c r="Q169" s="2"/>
      <c r="R169" s="2"/>
      <c r="S169" s="2"/>
      <c r="T169" s="2"/>
      <c r="U169" s="2"/>
      <c r="V169" s="2"/>
      <c r="W169" s="2"/>
      <c r="X169" s="2"/>
      <c r="Y169" s="38"/>
    </row>
    <row r="170" spans="2:25" ht="15.75" customHeight="1" x14ac:dyDescent="0.3">
      <c r="B170" s="2"/>
      <c r="C170" s="61" t="s">
        <v>365</v>
      </c>
      <c r="D170" s="62" t="s">
        <v>398</v>
      </c>
      <c r="E170" s="63" t="s">
        <v>399</v>
      </c>
      <c r="F170" s="64">
        <v>3822</v>
      </c>
      <c r="G170" s="65">
        <v>4089</v>
      </c>
      <c r="H170" s="65">
        <v>4695</v>
      </c>
      <c r="I170" s="65">
        <v>5392</v>
      </c>
      <c r="J170" s="65">
        <v>6756</v>
      </c>
      <c r="K170" s="65">
        <v>8188</v>
      </c>
      <c r="L170" s="65">
        <v>9170</v>
      </c>
      <c r="M170" s="66">
        <v>454</v>
      </c>
      <c r="N170" s="67">
        <v>386</v>
      </c>
      <c r="O170" s="60"/>
      <c r="P170" s="2"/>
      <c r="Q170" s="2"/>
      <c r="R170" s="2"/>
      <c r="S170" s="2"/>
      <c r="T170" s="2"/>
      <c r="U170" s="2"/>
      <c r="V170" s="2"/>
      <c r="W170" s="2"/>
      <c r="X170" s="2"/>
      <c r="Y170" s="38"/>
    </row>
    <row r="171" spans="2:25" ht="15.75" customHeight="1" x14ac:dyDescent="0.3">
      <c r="B171" s="2"/>
      <c r="C171" s="61" t="s">
        <v>365</v>
      </c>
      <c r="D171" s="62" t="s">
        <v>400</v>
      </c>
      <c r="E171" s="63" t="s">
        <v>401</v>
      </c>
      <c r="F171" s="64">
        <v>3822</v>
      </c>
      <c r="G171" s="65">
        <v>4089</v>
      </c>
      <c r="H171" s="65">
        <v>4695</v>
      </c>
      <c r="I171" s="65">
        <v>5392</v>
      </c>
      <c r="J171" s="65">
        <v>6756</v>
      </c>
      <c r="K171" s="65">
        <v>8188</v>
      </c>
      <c r="L171" s="65">
        <v>9170</v>
      </c>
      <c r="M171" s="66">
        <v>454</v>
      </c>
      <c r="N171" s="67">
        <v>386</v>
      </c>
      <c r="O171" s="60"/>
      <c r="P171" s="2"/>
      <c r="Q171" s="2"/>
      <c r="R171" s="2"/>
      <c r="S171" s="2"/>
      <c r="T171" s="2"/>
      <c r="U171" s="2"/>
      <c r="V171" s="2"/>
      <c r="W171" s="2"/>
      <c r="X171" s="2"/>
      <c r="Y171" s="38"/>
    </row>
    <row r="172" spans="2:25" ht="15.75" customHeight="1" x14ac:dyDescent="0.3">
      <c r="B172" s="2"/>
      <c r="C172" s="61" t="s">
        <v>365</v>
      </c>
      <c r="D172" s="62" t="s">
        <v>402</v>
      </c>
      <c r="E172" s="63" t="s">
        <v>403</v>
      </c>
      <c r="F172" s="64">
        <v>3822</v>
      </c>
      <c r="G172" s="65">
        <v>4089</v>
      </c>
      <c r="H172" s="65">
        <v>4695</v>
      </c>
      <c r="I172" s="65">
        <v>5392</v>
      </c>
      <c r="J172" s="65">
        <v>6756</v>
      </c>
      <c r="K172" s="65">
        <v>8188</v>
      </c>
      <c r="L172" s="65">
        <v>9170</v>
      </c>
      <c r="M172" s="66">
        <v>454</v>
      </c>
      <c r="N172" s="67">
        <v>386</v>
      </c>
      <c r="O172" s="60"/>
      <c r="P172" s="2"/>
      <c r="Q172" s="2"/>
      <c r="R172" s="2"/>
      <c r="S172" s="2"/>
      <c r="T172" s="2"/>
      <c r="U172" s="2"/>
      <c r="V172" s="2"/>
      <c r="W172" s="2"/>
      <c r="X172" s="2"/>
      <c r="Y172" s="38"/>
    </row>
    <row r="173" spans="2:25" ht="15.75" customHeight="1" x14ac:dyDescent="0.3">
      <c r="B173" s="2"/>
      <c r="C173" s="61" t="s">
        <v>365</v>
      </c>
      <c r="D173" s="62" t="s">
        <v>404</v>
      </c>
      <c r="E173" s="63" t="s">
        <v>405</v>
      </c>
      <c r="F173" s="64">
        <v>5733</v>
      </c>
      <c r="G173" s="65">
        <v>6133.5</v>
      </c>
      <c r="H173" s="65">
        <v>7042.5</v>
      </c>
      <c r="I173" s="65">
        <v>8088</v>
      </c>
      <c r="J173" s="65">
        <v>10134</v>
      </c>
      <c r="K173" s="65">
        <v>12282</v>
      </c>
      <c r="L173" s="65">
        <v>13755</v>
      </c>
      <c r="M173" s="66">
        <v>681</v>
      </c>
      <c r="N173" s="67">
        <v>579</v>
      </c>
      <c r="O173" s="60"/>
      <c r="P173" s="2"/>
      <c r="Q173" s="2"/>
      <c r="R173" s="2"/>
      <c r="S173" s="2"/>
      <c r="T173" s="2"/>
      <c r="U173" s="2"/>
      <c r="V173" s="2"/>
      <c r="W173" s="2"/>
      <c r="X173" s="2"/>
      <c r="Y173" s="38"/>
    </row>
    <row r="174" spans="2:25" ht="15.75" customHeight="1" x14ac:dyDescent="0.3">
      <c r="B174" s="2"/>
      <c r="C174" s="61" t="s">
        <v>365</v>
      </c>
      <c r="D174" s="62" t="s">
        <v>406</v>
      </c>
      <c r="E174" s="63" t="s">
        <v>407</v>
      </c>
      <c r="F174" s="64">
        <v>3822</v>
      </c>
      <c r="G174" s="65">
        <v>4089</v>
      </c>
      <c r="H174" s="65">
        <v>4695</v>
      </c>
      <c r="I174" s="65">
        <v>5392</v>
      </c>
      <c r="J174" s="65">
        <v>6756</v>
      </c>
      <c r="K174" s="65">
        <v>8188</v>
      </c>
      <c r="L174" s="65">
        <v>9170</v>
      </c>
      <c r="M174" s="66">
        <v>454</v>
      </c>
      <c r="N174" s="67">
        <v>386</v>
      </c>
      <c r="O174" s="60"/>
      <c r="P174" s="2"/>
      <c r="Q174" s="2"/>
      <c r="R174" s="2"/>
      <c r="S174" s="2"/>
      <c r="T174" s="2"/>
      <c r="U174" s="2"/>
      <c r="V174" s="2"/>
      <c r="W174" s="2"/>
      <c r="X174" s="2"/>
      <c r="Y174" s="38"/>
    </row>
    <row r="175" spans="2:25" ht="15.75" customHeight="1" x14ac:dyDescent="0.3">
      <c r="B175" s="2"/>
      <c r="C175" s="61" t="s">
        <v>365</v>
      </c>
      <c r="D175" s="62" t="s">
        <v>408</v>
      </c>
      <c r="E175" s="63" t="s">
        <v>409</v>
      </c>
      <c r="F175" s="64">
        <v>3822</v>
      </c>
      <c r="G175" s="65">
        <v>4089</v>
      </c>
      <c r="H175" s="65">
        <v>4695</v>
      </c>
      <c r="I175" s="65">
        <v>5392</v>
      </c>
      <c r="J175" s="65">
        <v>6756</v>
      </c>
      <c r="K175" s="65">
        <v>8188</v>
      </c>
      <c r="L175" s="65">
        <v>9170</v>
      </c>
      <c r="M175" s="66">
        <v>454</v>
      </c>
      <c r="N175" s="67">
        <v>386</v>
      </c>
      <c r="O175" s="60"/>
      <c r="P175" s="2"/>
      <c r="Q175" s="2"/>
      <c r="R175" s="2"/>
      <c r="S175" s="2"/>
      <c r="T175" s="2"/>
      <c r="U175" s="2"/>
      <c r="V175" s="2"/>
      <c r="W175" s="2"/>
      <c r="X175" s="2"/>
      <c r="Y175" s="38"/>
    </row>
    <row r="176" spans="2:25" ht="15.75" customHeight="1" x14ac:dyDescent="0.3">
      <c r="B176" s="2"/>
      <c r="C176" s="61" t="s">
        <v>365</v>
      </c>
      <c r="D176" s="62" t="s">
        <v>410</v>
      </c>
      <c r="E176" s="63" t="s">
        <v>411</v>
      </c>
      <c r="F176" s="64">
        <v>3822</v>
      </c>
      <c r="G176" s="65">
        <v>4089</v>
      </c>
      <c r="H176" s="65">
        <v>4695</v>
      </c>
      <c r="I176" s="65">
        <v>5392</v>
      </c>
      <c r="J176" s="65">
        <v>6756</v>
      </c>
      <c r="K176" s="65">
        <v>8188</v>
      </c>
      <c r="L176" s="65">
        <v>9170</v>
      </c>
      <c r="M176" s="66">
        <v>454</v>
      </c>
      <c r="N176" s="67">
        <v>386</v>
      </c>
      <c r="O176" s="60"/>
      <c r="P176" s="2"/>
      <c r="Q176" s="2"/>
      <c r="R176" s="2"/>
      <c r="S176" s="2"/>
      <c r="T176" s="2"/>
      <c r="U176" s="2"/>
      <c r="V176" s="2"/>
      <c r="W176" s="2"/>
      <c r="X176" s="2"/>
      <c r="Y176" s="38"/>
    </row>
    <row r="177" spans="2:25" ht="15.75" customHeight="1" x14ac:dyDescent="0.3">
      <c r="B177" s="2"/>
      <c r="C177" s="61" t="s">
        <v>365</v>
      </c>
      <c r="D177" s="62" t="s">
        <v>412</v>
      </c>
      <c r="E177" s="63" t="s">
        <v>413</v>
      </c>
      <c r="F177" s="64">
        <v>3822</v>
      </c>
      <c r="G177" s="65">
        <v>4089</v>
      </c>
      <c r="H177" s="65">
        <v>4695</v>
      </c>
      <c r="I177" s="65">
        <v>5392</v>
      </c>
      <c r="J177" s="65">
        <v>6756</v>
      </c>
      <c r="K177" s="65">
        <v>8188</v>
      </c>
      <c r="L177" s="65">
        <v>9170</v>
      </c>
      <c r="M177" s="66">
        <v>454</v>
      </c>
      <c r="N177" s="67">
        <v>386</v>
      </c>
      <c r="O177" s="60"/>
      <c r="P177" s="2"/>
      <c r="Q177" s="2"/>
      <c r="R177" s="2"/>
      <c r="S177" s="2"/>
      <c r="T177" s="2"/>
      <c r="U177" s="2"/>
      <c r="V177" s="2"/>
      <c r="W177" s="2"/>
      <c r="X177" s="2"/>
      <c r="Y177" s="38"/>
    </row>
    <row r="178" spans="2:25" ht="15.75" customHeight="1" x14ac:dyDescent="0.3">
      <c r="B178" s="2"/>
      <c r="C178" s="61" t="s">
        <v>365</v>
      </c>
      <c r="D178" s="62" t="s">
        <v>414</v>
      </c>
      <c r="E178" s="63" t="s">
        <v>415</v>
      </c>
      <c r="F178" s="64">
        <v>3822</v>
      </c>
      <c r="G178" s="65">
        <v>4089</v>
      </c>
      <c r="H178" s="65">
        <v>4695</v>
      </c>
      <c r="I178" s="65">
        <v>5392</v>
      </c>
      <c r="J178" s="65">
        <v>6756</v>
      </c>
      <c r="K178" s="65">
        <v>8188</v>
      </c>
      <c r="L178" s="65">
        <v>9170</v>
      </c>
      <c r="M178" s="66">
        <v>454</v>
      </c>
      <c r="N178" s="67">
        <v>386</v>
      </c>
      <c r="O178" s="60"/>
      <c r="P178" s="2"/>
      <c r="Q178" s="2"/>
      <c r="R178" s="2"/>
      <c r="S178" s="2"/>
      <c r="T178" s="2"/>
      <c r="U178" s="2"/>
      <c r="V178" s="2"/>
      <c r="W178" s="2"/>
      <c r="X178" s="2"/>
      <c r="Y178" s="38"/>
    </row>
    <row r="179" spans="2:25" ht="15.75" customHeight="1" x14ac:dyDescent="0.3">
      <c r="B179" s="2"/>
      <c r="C179" s="61" t="s">
        <v>365</v>
      </c>
      <c r="D179" s="62" t="s">
        <v>416</v>
      </c>
      <c r="E179" s="63" t="s">
        <v>417</v>
      </c>
      <c r="F179" s="64">
        <v>3822</v>
      </c>
      <c r="G179" s="65">
        <v>4089</v>
      </c>
      <c r="H179" s="65">
        <v>4695</v>
      </c>
      <c r="I179" s="65">
        <v>5392</v>
      </c>
      <c r="J179" s="65">
        <v>6756</v>
      </c>
      <c r="K179" s="65">
        <v>8188</v>
      </c>
      <c r="L179" s="65">
        <v>9170</v>
      </c>
      <c r="M179" s="66">
        <v>454</v>
      </c>
      <c r="N179" s="67">
        <v>386</v>
      </c>
      <c r="O179" s="60"/>
      <c r="P179" s="2"/>
      <c r="Q179" s="2"/>
      <c r="R179" s="2"/>
      <c r="S179" s="2"/>
      <c r="T179" s="2"/>
      <c r="U179" s="2"/>
      <c r="V179" s="2"/>
      <c r="W179" s="2"/>
      <c r="X179" s="2"/>
      <c r="Y179" s="38"/>
    </row>
    <row r="180" spans="2:25" ht="15.75" customHeight="1" x14ac:dyDescent="0.3">
      <c r="B180" s="2"/>
      <c r="C180" s="61" t="s">
        <v>365</v>
      </c>
      <c r="D180" s="62" t="s">
        <v>418</v>
      </c>
      <c r="E180" s="63" t="s">
        <v>419</v>
      </c>
      <c r="F180" s="64">
        <v>5733</v>
      </c>
      <c r="G180" s="65">
        <v>6133.5</v>
      </c>
      <c r="H180" s="65">
        <v>7042.5</v>
      </c>
      <c r="I180" s="65">
        <v>8088</v>
      </c>
      <c r="J180" s="65">
        <v>10134</v>
      </c>
      <c r="K180" s="65">
        <v>12282</v>
      </c>
      <c r="L180" s="65">
        <v>13755</v>
      </c>
      <c r="M180" s="66">
        <v>681</v>
      </c>
      <c r="N180" s="67">
        <v>579</v>
      </c>
      <c r="O180" s="60"/>
      <c r="P180" s="2"/>
      <c r="Q180" s="2"/>
      <c r="R180" s="2"/>
      <c r="S180" s="2"/>
      <c r="T180" s="2"/>
      <c r="U180" s="2"/>
      <c r="V180" s="2"/>
      <c r="W180" s="2"/>
      <c r="X180" s="2"/>
      <c r="Y180" s="38"/>
    </row>
    <row r="181" spans="2:25" ht="15.75" customHeight="1" x14ac:dyDescent="0.3">
      <c r="B181" s="2"/>
      <c r="C181" s="61" t="s">
        <v>365</v>
      </c>
      <c r="D181" s="62" t="s">
        <v>420</v>
      </c>
      <c r="E181" s="63" t="s">
        <v>421</v>
      </c>
      <c r="F181" s="64">
        <v>3822</v>
      </c>
      <c r="G181" s="65">
        <v>4089</v>
      </c>
      <c r="H181" s="65">
        <v>4695</v>
      </c>
      <c r="I181" s="65">
        <v>5392</v>
      </c>
      <c r="J181" s="65">
        <v>6756</v>
      </c>
      <c r="K181" s="65">
        <v>8188</v>
      </c>
      <c r="L181" s="65">
        <v>9170</v>
      </c>
      <c r="M181" s="66">
        <v>454</v>
      </c>
      <c r="N181" s="67">
        <v>386</v>
      </c>
      <c r="O181" s="60"/>
      <c r="P181" s="2"/>
      <c r="Q181" s="2"/>
      <c r="R181" s="2"/>
      <c r="S181" s="2"/>
      <c r="T181" s="2"/>
      <c r="U181" s="2"/>
      <c r="V181" s="2"/>
      <c r="W181" s="2"/>
      <c r="X181" s="2"/>
      <c r="Y181" s="38"/>
    </row>
    <row r="182" spans="2:25" ht="15.75" customHeight="1" thickBot="1" x14ac:dyDescent="0.35">
      <c r="B182" s="2"/>
      <c r="C182" s="68" t="s">
        <v>365</v>
      </c>
      <c r="D182" s="69" t="s">
        <v>422</v>
      </c>
      <c r="E182" s="70" t="s">
        <v>423</v>
      </c>
      <c r="F182" s="71">
        <v>3822</v>
      </c>
      <c r="G182" s="72">
        <v>4089</v>
      </c>
      <c r="H182" s="72">
        <v>4695</v>
      </c>
      <c r="I182" s="72">
        <v>5392</v>
      </c>
      <c r="J182" s="72">
        <v>6756</v>
      </c>
      <c r="K182" s="72">
        <v>8188</v>
      </c>
      <c r="L182" s="72">
        <v>9170</v>
      </c>
      <c r="M182" s="73">
        <v>454</v>
      </c>
      <c r="N182" s="74">
        <v>386</v>
      </c>
      <c r="O182" s="60"/>
      <c r="P182" s="2"/>
      <c r="Q182" s="2"/>
      <c r="R182" s="2"/>
      <c r="S182" s="2"/>
      <c r="T182" s="2"/>
      <c r="U182" s="2"/>
      <c r="V182" s="2"/>
      <c r="W182" s="2"/>
      <c r="X182" s="2"/>
      <c r="Y182" s="38"/>
    </row>
    <row r="183" spans="2:25" ht="15.75" customHeight="1" x14ac:dyDescent="0.3">
      <c r="B183" s="2"/>
      <c r="C183" s="75" t="s">
        <v>424</v>
      </c>
      <c r="D183" s="76" t="s">
        <v>425</v>
      </c>
      <c r="E183" s="77" t="s">
        <v>41</v>
      </c>
      <c r="F183" s="64">
        <v>4288</v>
      </c>
      <c r="G183" s="65">
        <v>4579</v>
      </c>
      <c r="H183" s="65">
        <v>5092</v>
      </c>
      <c r="I183" s="65">
        <v>5807</v>
      </c>
      <c r="J183" s="65">
        <v>7082</v>
      </c>
      <c r="K183" s="65">
        <v>8385</v>
      </c>
      <c r="L183" s="65">
        <v>9580</v>
      </c>
      <c r="M183" s="66">
        <v>547</v>
      </c>
      <c r="N183" s="67">
        <v>441</v>
      </c>
      <c r="O183" s="60"/>
      <c r="P183" s="2"/>
      <c r="Q183" s="2"/>
      <c r="R183" s="2"/>
      <c r="S183" s="2"/>
      <c r="T183" s="2"/>
      <c r="U183" s="2"/>
      <c r="V183" s="2"/>
      <c r="W183" s="2"/>
      <c r="X183" s="2"/>
      <c r="Y183" s="38"/>
    </row>
    <row r="184" spans="2:25" ht="15.75" customHeight="1" x14ac:dyDescent="0.3">
      <c r="B184" s="2"/>
      <c r="C184" s="61" t="s">
        <v>424</v>
      </c>
      <c r="D184" s="62" t="s">
        <v>426</v>
      </c>
      <c r="E184" s="63" t="s">
        <v>427</v>
      </c>
      <c r="F184" s="64">
        <v>4288</v>
      </c>
      <c r="G184" s="65">
        <v>4579</v>
      </c>
      <c r="H184" s="65">
        <v>5092</v>
      </c>
      <c r="I184" s="65">
        <v>5807</v>
      </c>
      <c r="J184" s="65">
        <v>7082</v>
      </c>
      <c r="K184" s="65">
        <v>8385</v>
      </c>
      <c r="L184" s="65">
        <v>9580</v>
      </c>
      <c r="M184" s="66">
        <v>547</v>
      </c>
      <c r="N184" s="67">
        <v>441</v>
      </c>
      <c r="O184" s="60"/>
      <c r="P184" s="2"/>
      <c r="Q184" s="2"/>
      <c r="R184" s="2"/>
      <c r="S184" s="2"/>
      <c r="T184" s="2"/>
      <c r="U184" s="2"/>
      <c r="V184" s="2"/>
      <c r="W184" s="2"/>
      <c r="X184" s="2"/>
      <c r="Y184" s="38"/>
    </row>
    <row r="185" spans="2:25" ht="15.75" customHeight="1" x14ac:dyDescent="0.3">
      <c r="B185" s="2"/>
      <c r="C185" s="61" t="s">
        <v>424</v>
      </c>
      <c r="D185" s="62" t="s">
        <v>428</v>
      </c>
      <c r="E185" s="63" t="s">
        <v>429</v>
      </c>
      <c r="F185" s="64">
        <v>4288</v>
      </c>
      <c r="G185" s="65">
        <v>4579</v>
      </c>
      <c r="H185" s="65">
        <v>5092</v>
      </c>
      <c r="I185" s="65">
        <v>5807</v>
      </c>
      <c r="J185" s="65">
        <v>7082</v>
      </c>
      <c r="K185" s="65">
        <v>8385</v>
      </c>
      <c r="L185" s="65">
        <v>9580</v>
      </c>
      <c r="M185" s="66">
        <v>547</v>
      </c>
      <c r="N185" s="67">
        <v>441</v>
      </c>
      <c r="O185" s="60"/>
      <c r="P185" s="2"/>
      <c r="Q185" s="2"/>
      <c r="R185" s="2"/>
      <c r="S185" s="2"/>
      <c r="T185" s="2"/>
      <c r="U185" s="2"/>
      <c r="V185" s="2"/>
      <c r="W185" s="2"/>
      <c r="X185" s="2"/>
      <c r="Y185" s="38"/>
    </row>
    <row r="186" spans="2:25" ht="15.75" customHeight="1" x14ac:dyDescent="0.3">
      <c r="B186" s="2"/>
      <c r="C186" s="61" t="s">
        <v>424</v>
      </c>
      <c r="D186" s="62" t="s">
        <v>430</v>
      </c>
      <c r="E186" s="63" t="s">
        <v>431</v>
      </c>
      <c r="F186" s="64">
        <v>6432</v>
      </c>
      <c r="G186" s="65">
        <v>6868.5</v>
      </c>
      <c r="H186" s="65">
        <v>7638</v>
      </c>
      <c r="I186" s="65">
        <v>8710.5</v>
      </c>
      <c r="J186" s="65">
        <v>10623</v>
      </c>
      <c r="K186" s="65">
        <v>12577.5</v>
      </c>
      <c r="L186" s="65">
        <v>14370</v>
      </c>
      <c r="M186" s="66">
        <v>820.5</v>
      </c>
      <c r="N186" s="67">
        <v>661.5</v>
      </c>
      <c r="O186" s="60"/>
      <c r="P186" s="2"/>
      <c r="Q186" s="2"/>
      <c r="R186" s="2"/>
      <c r="S186" s="2"/>
      <c r="T186" s="2"/>
      <c r="U186" s="2"/>
      <c r="V186" s="2"/>
      <c r="W186" s="2"/>
      <c r="X186" s="2"/>
      <c r="Y186" s="38"/>
    </row>
    <row r="187" spans="2:25" ht="15.75" customHeight="1" x14ac:dyDescent="0.3">
      <c r="B187" s="2"/>
      <c r="C187" s="61" t="s">
        <v>424</v>
      </c>
      <c r="D187" s="62" t="s">
        <v>432</v>
      </c>
      <c r="E187" s="63" t="s">
        <v>433</v>
      </c>
      <c r="F187" s="64">
        <v>6432</v>
      </c>
      <c r="G187" s="65">
        <v>6868.5</v>
      </c>
      <c r="H187" s="65">
        <v>7638</v>
      </c>
      <c r="I187" s="65">
        <v>8710.5</v>
      </c>
      <c r="J187" s="65">
        <v>10623</v>
      </c>
      <c r="K187" s="65">
        <v>12577.5</v>
      </c>
      <c r="L187" s="65">
        <v>14370</v>
      </c>
      <c r="M187" s="66">
        <v>820.5</v>
      </c>
      <c r="N187" s="67">
        <v>661.5</v>
      </c>
      <c r="O187" s="60"/>
      <c r="P187" s="2"/>
      <c r="Q187" s="2"/>
      <c r="R187" s="2"/>
      <c r="S187" s="2"/>
      <c r="T187" s="2"/>
      <c r="U187" s="2"/>
      <c r="V187" s="2"/>
      <c r="W187" s="2"/>
      <c r="X187" s="2"/>
      <c r="Y187" s="38"/>
    </row>
    <row r="188" spans="2:25" ht="15.75" customHeight="1" x14ac:dyDescent="0.3">
      <c r="B188" s="2"/>
      <c r="C188" s="61" t="s">
        <v>424</v>
      </c>
      <c r="D188" s="62" t="s">
        <v>434</v>
      </c>
      <c r="E188" s="63" t="s">
        <v>435</v>
      </c>
      <c r="F188" s="64">
        <v>4288</v>
      </c>
      <c r="G188" s="65">
        <v>4579</v>
      </c>
      <c r="H188" s="65">
        <v>5092</v>
      </c>
      <c r="I188" s="65">
        <v>5807</v>
      </c>
      <c r="J188" s="65">
        <v>7082</v>
      </c>
      <c r="K188" s="65">
        <v>8385</v>
      </c>
      <c r="L188" s="65">
        <v>9580</v>
      </c>
      <c r="M188" s="66">
        <v>547</v>
      </c>
      <c r="N188" s="67">
        <v>441</v>
      </c>
      <c r="O188" s="60"/>
      <c r="P188" s="2"/>
      <c r="Q188" s="2"/>
      <c r="R188" s="2"/>
      <c r="S188" s="2"/>
      <c r="T188" s="2"/>
      <c r="U188" s="2"/>
      <c r="V188" s="2"/>
      <c r="W188" s="2"/>
      <c r="X188" s="2"/>
      <c r="Y188" s="38"/>
    </row>
    <row r="189" spans="2:25" ht="15.75" customHeight="1" x14ac:dyDescent="0.3">
      <c r="B189" s="2"/>
      <c r="C189" s="61" t="s">
        <v>424</v>
      </c>
      <c r="D189" s="62" t="s">
        <v>436</v>
      </c>
      <c r="E189" s="63" t="s">
        <v>437</v>
      </c>
      <c r="F189" s="64">
        <v>4288</v>
      </c>
      <c r="G189" s="65">
        <v>4579</v>
      </c>
      <c r="H189" s="65">
        <v>5092</v>
      </c>
      <c r="I189" s="65">
        <v>5807</v>
      </c>
      <c r="J189" s="65">
        <v>7082</v>
      </c>
      <c r="K189" s="65">
        <v>8385</v>
      </c>
      <c r="L189" s="65">
        <v>9580</v>
      </c>
      <c r="M189" s="66">
        <v>547</v>
      </c>
      <c r="N189" s="67">
        <v>441</v>
      </c>
      <c r="O189" s="60"/>
      <c r="P189" s="2"/>
      <c r="Q189" s="2"/>
      <c r="R189" s="2"/>
      <c r="S189" s="2"/>
      <c r="T189" s="2"/>
      <c r="U189" s="2"/>
      <c r="V189" s="2"/>
      <c r="W189" s="2"/>
      <c r="X189" s="2"/>
      <c r="Y189" s="38"/>
    </row>
    <row r="190" spans="2:25" ht="15.75" customHeight="1" x14ac:dyDescent="0.3">
      <c r="B190" s="2"/>
      <c r="C190" s="61" t="s">
        <v>424</v>
      </c>
      <c r="D190" s="62" t="s">
        <v>438</v>
      </c>
      <c r="E190" s="63" t="s">
        <v>439</v>
      </c>
      <c r="F190" s="64">
        <v>4288</v>
      </c>
      <c r="G190" s="65">
        <v>4579</v>
      </c>
      <c r="H190" s="65">
        <v>5092</v>
      </c>
      <c r="I190" s="65">
        <v>5807</v>
      </c>
      <c r="J190" s="65">
        <v>7082</v>
      </c>
      <c r="K190" s="65">
        <v>8385</v>
      </c>
      <c r="L190" s="65">
        <v>9580</v>
      </c>
      <c r="M190" s="66">
        <v>547</v>
      </c>
      <c r="N190" s="67">
        <v>441</v>
      </c>
      <c r="O190" s="60"/>
      <c r="P190" s="2"/>
      <c r="Q190" s="2"/>
      <c r="R190" s="2"/>
      <c r="S190" s="2"/>
      <c r="T190" s="2"/>
      <c r="U190" s="2"/>
      <c r="V190" s="2"/>
      <c r="W190" s="2"/>
      <c r="X190" s="2"/>
      <c r="Y190" s="38"/>
    </row>
    <row r="191" spans="2:25" ht="15.75" customHeight="1" x14ac:dyDescent="0.3">
      <c r="B191" s="2"/>
      <c r="C191" s="61" t="s">
        <v>424</v>
      </c>
      <c r="D191" s="62" t="s">
        <v>440</v>
      </c>
      <c r="E191" s="63" t="s">
        <v>441</v>
      </c>
      <c r="F191" s="64">
        <v>4288</v>
      </c>
      <c r="G191" s="65">
        <v>4579</v>
      </c>
      <c r="H191" s="65">
        <v>5092</v>
      </c>
      <c r="I191" s="65">
        <v>5807</v>
      </c>
      <c r="J191" s="65">
        <v>7082</v>
      </c>
      <c r="K191" s="65">
        <v>8385</v>
      </c>
      <c r="L191" s="65">
        <v>9580</v>
      </c>
      <c r="M191" s="66">
        <v>547</v>
      </c>
      <c r="N191" s="67">
        <v>441</v>
      </c>
      <c r="O191" s="60"/>
      <c r="P191" s="2"/>
      <c r="Q191" s="2"/>
      <c r="R191" s="2"/>
      <c r="S191" s="2"/>
      <c r="T191" s="2"/>
      <c r="U191" s="2"/>
      <c r="V191" s="2"/>
      <c r="W191" s="2"/>
      <c r="X191" s="2"/>
      <c r="Y191" s="38"/>
    </row>
    <row r="192" spans="2:25" ht="15.75" customHeight="1" x14ac:dyDescent="0.3">
      <c r="B192" s="2"/>
      <c r="C192" s="61" t="s">
        <v>424</v>
      </c>
      <c r="D192" s="62" t="s">
        <v>442</v>
      </c>
      <c r="E192" s="63" t="s">
        <v>443</v>
      </c>
      <c r="F192" s="64">
        <v>4288</v>
      </c>
      <c r="G192" s="65">
        <v>4579</v>
      </c>
      <c r="H192" s="65">
        <v>5092</v>
      </c>
      <c r="I192" s="65">
        <v>5807</v>
      </c>
      <c r="J192" s="65">
        <v>7082</v>
      </c>
      <c r="K192" s="65">
        <v>8385</v>
      </c>
      <c r="L192" s="65">
        <v>9580</v>
      </c>
      <c r="M192" s="66">
        <v>547</v>
      </c>
      <c r="N192" s="67">
        <v>441</v>
      </c>
      <c r="O192" s="60"/>
      <c r="P192" s="2"/>
      <c r="Q192" s="2"/>
      <c r="R192" s="2"/>
      <c r="S192" s="2"/>
      <c r="T192" s="2"/>
      <c r="U192" s="2"/>
      <c r="V192" s="2"/>
      <c r="W192" s="2"/>
      <c r="X192" s="2"/>
      <c r="Y192" s="38"/>
    </row>
    <row r="193" spans="2:25" ht="15.75" customHeight="1" x14ac:dyDescent="0.3">
      <c r="B193" s="2"/>
      <c r="C193" s="61" t="s">
        <v>424</v>
      </c>
      <c r="D193" s="62" t="s">
        <v>444</v>
      </c>
      <c r="E193" s="63" t="s">
        <v>445</v>
      </c>
      <c r="F193" s="64">
        <v>4288</v>
      </c>
      <c r="G193" s="65">
        <v>4579</v>
      </c>
      <c r="H193" s="65">
        <v>5092</v>
      </c>
      <c r="I193" s="65">
        <v>5807</v>
      </c>
      <c r="J193" s="65">
        <v>7082</v>
      </c>
      <c r="K193" s="65">
        <v>8385</v>
      </c>
      <c r="L193" s="65">
        <v>9580</v>
      </c>
      <c r="M193" s="66">
        <v>547</v>
      </c>
      <c r="N193" s="67">
        <v>441</v>
      </c>
      <c r="O193" s="60"/>
      <c r="P193" s="2"/>
      <c r="Q193" s="2"/>
      <c r="R193" s="2"/>
      <c r="S193" s="2"/>
      <c r="T193" s="2"/>
      <c r="U193" s="2"/>
      <c r="V193" s="2"/>
      <c r="W193" s="2"/>
      <c r="X193" s="2"/>
      <c r="Y193" s="38"/>
    </row>
    <row r="194" spans="2:25" ht="15.75" customHeight="1" x14ac:dyDescent="0.3">
      <c r="B194" s="2"/>
      <c r="C194" s="61" t="s">
        <v>424</v>
      </c>
      <c r="D194" s="62" t="s">
        <v>446</v>
      </c>
      <c r="E194" s="63" t="s">
        <v>447</v>
      </c>
      <c r="F194" s="64">
        <v>6432</v>
      </c>
      <c r="G194" s="65">
        <v>6868.5</v>
      </c>
      <c r="H194" s="65">
        <v>7638</v>
      </c>
      <c r="I194" s="65">
        <v>8710.5</v>
      </c>
      <c r="J194" s="65">
        <v>10623</v>
      </c>
      <c r="K194" s="65">
        <v>12577.5</v>
      </c>
      <c r="L194" s="65">
        <v>14370</v>
      </c>
      <c r="M194" s="66">
        <v>820.5</v>
      </c>
      <c r="N194" s="67">
        <v>661.5</v>
      </c>
      <c r="O194" s="60"/>
      <c r="P194" s="2"/>
      <c r="Q194" s="2"/>
      <c r="R194" s="2"/>
      <c r="S194" s="2"/>
      <c r="T194" s="2"/>
      <c r="U194" s="2"/>
      <c r="V194" s="2"/>
      <c r="W194" s="2"/>
      <c r="X194" s="2"/>
      <c r="Y194" s="38"/>
    </row>
    <row r="195" spans="2:25" ht="15.75" customHeight="1" x14ac:dyDescent="0.3">
      <c r="B195" s="2"/>
      <c r="C195" s="61" t="s">
        <v>424</v>
      </c>
      <c r="D195" s="62" t="s">
        <v>448</v>
      </c>
      <c r="E195" s="63" t="s">
        <v>449</v>
      </c>
      <c r="F195" s="64">
        <v>4288</v>
      </c>
      <c r="G195" s="65">
        <v>4579</v>
      </c>
      <c r="H195" s="65">
        <v>5092</v>
      </c>
      <c r="I195" s="65">
        <v>5807</v>
      </c>
      <c r="J195" s="65">
        <v>7082</v>
      </c>
      <c r="K195" s="65">
        <v>8385</v>
      </c>
      <c r="L195" s="65">
        <v>9580</v>
      </c>
      <c r="M195" s="66">
        <v>547</v>
      </c>
      <c r="N195" s="67">
        <v>441</v>
      </c>
      <c r="O195" s="60"/>
      <c r="P195" s="2"/>
      <c r="Q195" s="2"/>
      <c r="R195" s="2"/>
      <c r="S195" s="2"/>
      <c r="T195" s="2"/>
      <c r="U195" s="2"/>
      <c r="V195" s="2"/>
      <c r="W195" s="2"/>
      <c r="X195" s="2"/>
      <c r="Y195" s="38"/>
    </row>
    <row r="196" spans="2:25" ht="15.75" customHeight="1" x14ac:dyDescent="0.3">
      <c r="B196" s="2"/>
      <c r="C196" s="61" t="s">
        <v>424</v>
      </c>
      <c r="D196" s="62" t="s">
        <v>450</v>
      </c>
      <c r="E196" s="63" t="s">
        <v>451</v>
      </c>
      <c r="F196" s="64">
        <v>4288</v>
      </c>
      <c r="G196" s="65">
        <v>4579</v>
      </c>
      <c r="H196" s="65">
        <v>5092</v>
      </c>
      <c r="I196" s="65">
        <v>5807</v>
      </c>
      <c r="J196" s="65">
        <v>7082</v>
      </c>
      <c r="K196" s="65">
        <v>8385</v>
      </c>
      <c r="L196" s="65">
        <v>9580</v>
      </c>
      <c r="M196" s="66">
        <v>547</v>
      </c>
      <c r="N196" s="67">
        <v>441</v>
      </c>
      <c r="O196" s="60"/>
      <c r="P196" s="2"/>
      <c r="Q196" s="2"/>
      <c r="R196" s="2"/>
      <c r="S196" s="2"/>
      <c r="T196" s="2"/>
      <c r="U196" s="2"/>
      <c r="V196" s="2"/>
      <c r="W196" s="2"/>
      <c r="X196" s="2"/>
      <c r="Y196" s="38"/>
    </row>
    <row r="197" spans="2:25" ht="15.75" customHeight="1" x14ac:dyDescent="0.3">
      <c r="B197" s="2"/>
      <c r="C197" s="61" t="s">
        <v>424</v>
      </c>
      <c r="D197" s="62" t="s">
        <v>452</v>
      </c>
      <c r="E197" s="63" t="s">
        <v>453</v>
      </c>
      <c r="F197" s="64">
        <v>6432</v>
      </c>
      <c r="G197" s="65">
        <v>6868.5</v>
      </c>
      <c r="H197" s="65">
        <v>7638</v>
      </c>
      <c r="I197" s="65">
        <v>8710.5</v>
      </c>
      <c r="J197" s="65">
        <v>10623</v>
      </c>
      <c r="K197" s="65">
        <v>12577.5</v>
      </c>
      <c r="L197" s="65">
        <v>14370</v>
      </c>
      <c r="M197" s="66">
        <v>820.5</v>
      </c>
      <c r="N197" s="67">
        <v>661.5</v>
      </c>
      <c r="O197" s="60"/>
      <c r="P197" s="2"/>
      <c r="Q197" s="2"/>
      <c r="R197" s="2"/>
      <c r="S197" s="2"/>
      <c r="T197" s="2"/>
      <c r="U197" s="2"/>
      <c r="V197" s="2"/>
      <c r="W197" s="2"/>
      <c r="X197" s="2"/>
      <c r="Y197" s="38"/>
    </row>
    <row r="198" spans="2:25" ht="15.75" customHeight="1" x14ac:dyDescent="0.3">
      <c r="B198" s="2"/>
      <c r="C198" s="61" t="s">
        <v>424</v>
      </c>
      <c r="D198" s="62" t="s">
        <v>454</v>
      </c>
      <c r="E198" s="63" t="s">
        <v>455</v>
      </c>
      <c r="F198" s="64">
        <v>4288</v>
      </c>
      <c r="G198" s="65">
        <v>4579</v>
      </c>
      <c r="H198" s="65">
        <v>5092</v>
      </c>
      <c r="I198" s="65">
        <v>5807</v>
      </c>
      <c r="J198" s="65">
        <v>7082</v>
      </c>
      <c r="K198" s="65">
        <v>8385</v>
      </c>
      <c r="L198" s="65">
        <v>9580</v>
      </c>
      <c r="M198" s="66">
        <v>547</v>
      </c>
      <c r="N198" s="67">
        <v>441</v>
      </c>
      <c r="O198" s="60"/>
      <c r="P198" s="2"/>
      <c r="Q198" s="2"/>
      <c r="R198" s="2"/>
      <c r="S198" s="2"/>
      <c r="T198" s="2"/>
      <c r="U198" s="2"/>
      <c r="V198" s="2"/>
      <c r="W198" s="2"/>
      <c r="X198" s="2"/>
      <c r="Y198" s="38"/>
    </row>
    <row r="199" spans="2:25" ht="15.75" customHeight="1" x14ac:dyDescent="0.3">
      <c r="B199" s="2"/>
      <c r="C199" s="61" t="s">
        <v>424</v>
      </c>
      <c r="D199" s="62" t="s">
        <v>456</v>
      </c>
      <c r="E199" s="63" t="s">
        <v>457</v>
      </c>
      <c r="F199" s="64">
        <v>6432</v>
      </c>
      <c r="G199" s="65">
        <v>6868.5</v>
      </c>
      <c r="H199" s="65">
        <v>7638</v>
      </c>
      <c r="I199" s="65">
        <v>8710.5</v>
      </c>
      <c r="J199" s="65">
        <v>10623</v>
      </c>
      <c r="K199" s="65">
        <v>12577.5</v>
      </c>
      <c r="L199" s="65">
        <v>14370</v>
      </c>
      <c r="M199" s="66">
        <v>820.5</v>
      </c>
      <c r="N199" s="67">
        <v>661.5</v>
      </c>
      <c r="O199" s="60"/>
      <c r="P199" s="2"/>
      <c r="Q199" s="2"/>
      <c r="R199" s="2"/>
      <c r="S199" s="2"/>
      <c r="T199" s="2"/>
      <c r="U199" s="2"/>
      <c r="V199" s="2"/>
      <c r="W199" s="2"/>
      <c r="X199" s="2"/>
      <c r="Y199" s="38"/>
    </row>
    <row r="200" spans="2:25" ht="15.75" customHeight="1" x14ac:dyDescent="0.3">
      <c r="B200" s="2"/>
      <c r="C200" s="61" t="s">
        <v>424</v>
      </c>
      <c r="D200" s="62" t="s">
        <v>458</v>
      </c>
      <c r="E200" s="63" t="s">
        <v>459</v>
      </c>
      <c r="F200" s="64">
        <v>4288</v>
      </c>
      <c r="G200" s="65">
        <v>4579</v>
      </c>
      <c r="H200" s="65">
        <v>5092</v>
      </c>
      <c r="I200" s="65">
        <v>5807</v>
      </c>
      <c r="J200" s="65">
        <v>7082</v>
      </c>
      <c r="K200" s="65">
        <v>8385</v>
      </c>
      <c r="L200" s="65">
        <v>9580</v>
      </c>
      <c r="M200" s="66">
        <v>547</v>
      </c>
      <c r="N200" s="67">
        <v>441</v>
      </c>
      <c r="O200" s="60"/>
      <c r="P200" s="2"/>
      <c r="Q200" s="2"/>
      <c r="R200" s="2"/>
      <c r="S200" s="2"/>
      <c r="T200" s="2"/>
      <c r="U200" s="2"/>
      <c r="V200" s="2"/>
      <c r="W200" s="2"/>
      <c r="X200" s="2"/>
      <c r="Y200" s="38"/>
    </row>
    <row r="201" spans="2:25" ht="15.75" customHeight="1" x14ac:dyDescent="0.3">
      <c r="B201" s="2"/>
      <c r="C201" s="61" t="s">
        <v>424</v>
      </c>
      <c r="D201" s="62" t="s">
        <v>460</v>
      </c>
      <c r="E201" s="63" t="s">
        <v>461</v>
      </c>
      <c r="F201" s="64">
        <v>4288</v>
      </c>
      <c r="G201" s="65">
        <v>4579</v>
      </c>
      <c r="H201" s="65">
        <v>5092</v>
      </c>
      <c r="I201" s="65">
        <v>5807</v>
      </c>
      <c r="J201" s="65">
        <v>7082</v>
      </c>
      <c r="K201" s="65">
        <v>8385</v>
      </c>
      <c r="L201" s="65">
        <v>9580</v>
      </c>
      <c r="M201" s="66">
        <v>547</v>
      </c>
      <c r="N201" s="67">
        <v>441</v>
      </c>
      <c r="O201" s="60"/>
      <c r="P201" s="2"/>
      <c r="Q201" s="2"/>
      <c r="R201" s="2"/>
      <c r="S201" s="2"/>
      <c r="T201" s="2"/>
      <c r="U201" s="2"/>
      <c r="V201" s="2"/>
      <c r="W201" s="2"/>
      <c r="X201" s="2"/>
      <c r="Y201" s="38"/>
    </row>
    <row r="202" spans="2:25" ht="15.75" customHeight="1" x14ac:dyDescent="0.3">
      <c r="B202" s="2"/>
      <c r="C202" s="61" t="s">
        <v>424</v>
      </c>
      <c r="D202" s="62" t="s">
        <v>462</v>
      </c>
      <c r="E202" s="63" t="s">
        <v>463</v>
      </c>
      <c r="F202" s="64">
        <v>6432</v>
      </c>
      <c r="G202" s="65">
        <v>6868.5</v>
      </c>
      <c r="H202" s="65">
        <v>7638</v>
      </c>
      <c r="I202" s="65">
        <v>8710.5</v>
      </c>
      <c r="J202" s="65">
        <v>10623</v>
      </c>
      <c r="K202" s="65">
        <v>12577.5</v>
      </c>
      <c r="L202" s="65">
        <v>14370</v>
      </c>
      <c r="M202" s="66">
        <v>820.5</v>
      </c>
      <c r="N202" s="67">
        <v>661.5</v>
      </c>
      <c r="O202" s="60"/>
      <c r="P202" s="2"/>
      <c r="Q202" s="2"/>
      <c r="R202" s="2"/>
      <c r="S202" s="2"/>
      <c r="T202" s="2"/>
      <c r="U202" s="2"/>
      <c r="V202" s="2"/>
      <c r="W202" s="2"/>
      <c r="X202" s="2"/>
      <c r="Y202" s="38"/>
    </row>
    <row r="203" spans="2:25" ht="15.75" customHeight="1" thickBot="1" x14ac:dyDescent="0.35">
      <c r="B203" s="2"/>
      <c r="C203" s="68" t="s">
        <v>424</v>
      </c>
      <c r="D203" s="69" t="s">
        <v>464</v>
      </c>
      <c r="E203" s="70" t="s">
        <v>465</v>
      </c>
      <c r="F203" s="71">
        <v>6432</v>
      </c>
      <c r="G203" s="72">
        <v>6868.5</v>
      </c>
      <c r="H203" s="72">
        <v>7638</v>
      </c>
      <c r="I203" s="72">
        <v>8710.5</v>
      </c>
      <c r="J203" s="72">
        <v>10623</v>
      </c>
      <c r="K203" s="72">
        <v>12577.5</v>
      </c>
      <c r="L203" s="72">
        <v>14370</v>
      </c>
      <c r="M203" s="73">
        <v>820.5</v>
      </c>
      <c r="N203" s="74">
        <v>661.5</v>
      </c>
      <c r="O203" s="60"/>
      <c r="P203" s="2"/>
      <c r="Q203" s="2"/>
      <c r="R203" s="2"/>
      <c r="S203" s="2"/>
      <c r="T203" s="2"/>
      <c r="U203" s="2"/>
      <c r="V203" s="2"/>
      <c r="W203" s="2"/>
      <c r="X203" s="2"/>
      <c r="Y203" s="38"/>
    </row>
    <row r="204" spans="2:25" ht="15.75" customHeight="1" x14ac:dyDescent="0.3">
      <c r="B204" s="2"/>
      <c r="C204" s="53" t="s">
        <v>466</v>
      </c>
      <c r="D204" s="54" t="s">
        <v>467</v>
      </c>
      <c r="E204" s="55" t="s">
        <v>43</v>
      </c>
      <c r="F204" s="56">
        <v>4288</v>
      </c>
      <c r="G204" s="57">
        <v>4579</v>
      </c>
      <c r="H204" s="57">
        <v>5092</v>
      </c>
      <c r="I204" s="57">
        <v>5807</v>
      </c>
      <c r="J204" s="57">
        <v>7082</v>
      </c>
      <c r="K204" s="57">
        <v>8385</v>
      </c>
      <c r="L204" s="57">
        <v>9580</v>
      </c>
      <c r="M204" s="58">
        <v>547</v>
      </c>
      <c r="N204" s="59">
        <v>441</v>
      </c>
      <c r="O204" s="60"/>
      <c r="P204" s="2"/>
      <c r="Q204" s="2"/>
      <c r="R204" s="2"/>
      <c r="S204" s="2"/>
      <c r="T204" s="2"/>
      <c r="U204" s="2"/>
      <c r="V204" s="2"/>
      <c r="W204" s="2"/>
      <c r="X204" s="2"/>
      <c r="Y204" s="38"/>
    </row>
    <row r="205" spans="2:25" ht="15.75" customHeight="1" x14ac:dyDescent="0.3">
      <c r="B205" s="2"/>
      <c r="C205" s="75" t="s">
        <v>466</v>
      </c>
      <c r="D205" s="76" t="s">
        <v>468</v>
      </c>
      <c r="E205" s="77" t="s">
        <v>469</v>
      </c>
      <c r="F205" s="64">
        <v>6660</v>
      </c>
      <c r="G205" s="65">
        <v>7114.5</v>
      </c>
      <c r="H205" s="65">
        <v>7911</v>
      </c>
      <c r="I205" s="65">
        <v>9019.5</v>
      </c>
      <c r="J205" s="65">
        <v>10978.5</v>
      </c>
      <c r="K205" s="65">
        <v>12969</v>
      </c>
      <c r="L205" s="65">
        <v>14770.5</v>
      </c>
      <c r="M205" s="66">
        <v>825</v>
      </c>
      <c r="N205" s="67">
        <v>672</v>
      </c>
      <c r="O205" s="60"/>
      <c r="P205" s="2"/>
      <c r="Q205" s="2"/>
      <c r="R205" s="2"/>
      <c r="S205" s="2"/>
      <c r="T205" s="2"/>
      <c r="U205" s="2"/>
      <c r="V205" s="2"/>
      <c r="W205" s="2"/>
      <c r="X205" s="2"/>
      <c r="Y205" s="38"/>
    </row>
    <row r="206" spans="2:25" ht="15.75" customHeight="1" x14ac:dyDescent="0.3">
      <c r="B206" s="2"/>
      <c r="C206" s="61" t="s">
        <v>466</v>
      </c>
      <c r="D206" s="62" t="s">
        <v>470</v>
      </c>
      <c r="E206" s="63" t="s">
        <v>471</v>
      </c>
      <c r="F206" s="64">
        <v>4440</v>
      </c>
      <c r="G206" s="65">
        <v>4743</v>
      </c>
      <c r="H206" s="65">
        <v>5274</v>
      </c>
      <c r="I206" s="65">
        <v>6013</v>
      </c>
      <c r="J206" s="65">
        <v>7319</v>
      </c>
      <c r="K206" s="65">
        <v>8646</v>
      </c>
      <c r="L206" s="65">
        <v>9847</v>
      </c>
      <c r="M206" s="66">
        <v>550</v>
      </c>
      <c r="N206" s="67">
        <v>448</v>
      </c>
      <c r="O206" s="60"/>
      <c r="P206" s="2"/>
      <c r="Q206" s="2"/>
      <c r="R206" s="2"/>
      <c r="S206" s="2"/>
      <c r="T206" s="2"/>
      <c r="U206" s="2"/>
      <c r="V206" s="2"/>
      <c r="W206" s="2"/>
      <c r="X206" s="2"/>
      <c r="Y206" s="38"/>
    </row>
    <row r="207" spans="2:25" ht="15.75" customHeight="1" x14ac:dyDescent="0.3">
      <c r="B207" s="2"/>
      <c r="C207" s="61" t="s">
        <v>466</v>
      </c>
      <c r="D207" s="62" t="s">
        <v>472</v>
      </c>
      <c r="E207" s="63" t="s">
        <v>473</v>
      </c>
      <c r="F207" s="64">
        <v>4288</v>
      </c>
      <c r="G207" s="65">
        <v>4579</v>
      </c>
      <c r="H207" s="65">
        <v>5092</v>
      </c>
      <c r="I207" s="65">
        <v>5807</v>
      </c>
      <c r="J207" s="65">
        <v>7082</v>
      </c>
      <c r="K207" s="65">
        <v>8385</v>
      </c>
      <c r="L207" s="65">
        <v>9580</v>
      </c>
      <c r="M207" s="66">
        <v>547</v>
      </c>
      <c r="N207" s="67">
        <v>441</v>
      </c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38"/>
    </row>
    <row r="208" spans="2:25" ht="15.75" customHeight="1" x14ac:dyDescent="0.3">
      <c r="B208" s="2"/>
      <c r="C208" s="61" t="s">
        <v>466</v>
      </c>
      <c r="D208" s="62" t="s">
        <v>474</v>
      </c>
      <c r="E208" s="63" t="s">
        <v>475</v>
      </c>
      <c r="F208" s="64">
        <v>4440</v>
      </c>
      <c r="G208" s="65">
        <v>4743</v>
      </c>
      <c r="H208" s="65">
        <v>5274</v>
      </c>
      <c r="I208" s="65">
        <v>6013</v>
      </c>
      <c r="J208" s="65">
        <v>7319</v>
      </c>
      <c r="K208" s="65">
        <v>8646</v>
      </c>
      <c r="L208" s="65">
        <v>9847</v>
      </c>
      <c r="M208" s="66">
        <v>550</v>
      </c>
      <c r="N208" s="67">
        <v>448</v>
      </c>
      <c r="O208" s="60"/>
      <c r="P208" s="2"/>
      <c r="Q208" s="2"/>
      <c r="R208" s="2"/>
      <c r="S208" s="2"/>
      <c r="T208" s="2"/>
      <c r="U208" s="2"/>
      <c r="V208" s="2"/>
      <c r="W208" s="2"/>
      <c r="X208" s="2"/>
      <c r="Y208" s="38"/>
    </row>
    <row r="209" spans="2:25" ht="15.75" customHeight="1" x14ac:dyDescent="0.3">
      <c r="B209" s="2"/>
      <c r="C209" s="61" t="s">
        <v>466</v>
      </c>
      <c r="D209" s="62" t="s">
        <v>476</v>
      </c>
      <c r="E209" s="63" t="s">
        <v>477</v>
      </c>
      <c r="F209" s="64">
        <v>6432</v>
      </c>
      <c r="G209" s="65">
        <v>6868.5</v>
      </c>
      <c r="H209" s="65">
        <v>7638</v>
      </c>
      <c r="I209" s="65">
        <v>8710.5</v>
      </c>
      <c r="J209" s="65">
        <v>10623</v>
      </c>
      <c r="K209" s="65">
        <v>12577.5</v>
      </c>
      <c r="L209" s="65">
        <v>14370</v>
      </c>
      <c r="M209" s="66">
        <v>820.5</v>
      </c>
      <c r="N209" s="67">
        <v>661.5</v>
      </c>
      <c r="O209" s="60"/>
      <c r="P209" s="2"/>
      <c r="Q209" s="2"/>
      <c r="R209" s="2"/>
      <c r="S209" s="2"/>
      <c r="T209" s="2"/>
      <c r="U209" s="2"/>
      <c r="V209" s="2"/>
      <c r="W209" s="2"/>
      <c r="X209" s="2"/>
      <c r="Y209" s="38"/>
    </row>
    <row r="210" spans="2:25" ht="15.75" customHeight="1" x14ac:dyDescent="0.3">
      <c r="B210" s="2"/>
      <c r="C210" s="61" t="s">
        <v>466</v>
      </c>
      <c r="D210" s="62" t="s">
        <v>478</v>
      </c>
      <c r="E210" s="63" t="s">
        <v>479</v>
      </c>
      <c r="F210" s="64">
        <v>4288</v>
      </c>
      <c r="G210" s="65">
        <v>4579</v>
      </c>
      <c r="H210" s="65">
        <v>5092</v>
      </c>
      <c r="I210" s="65">
        <v>5807</v>
      </c>
      <c r="J210" s="65">
        <v>7082</v>
      </c>
      <c r="K210" s="65">
        <v>8385</v>
      </c>
      <c r="L210" s="65">
        <v>9580</v>
      </c>
      <c r="M210" s="66">
        <v>547</v>
      </c>
      <c r="N210" s="67">
        <v>441</v>
      </c>
      <c r="O210" s="60"/>
      <c r="P210" s="2"/>
      <c r="Q210" s="2"/>
      <c r="R210" s="2"/>
      <c r="S210" s="2"/>
      <c r="T210" s="2"/>
      <c r="U210" s="2"/>
      <c r="V210" s="2"/>
      <c r="W210" s="2"/>
      <c r="X210" s="2"/>
      <c r="Y210" s="38"/>
    </row>
    <row r="211" spans="2:25" ht="15.75" customHeight="1" x14ac:dyDescent="0.3">
      <c r="B211" s="2"/>
      <c r="C211" s="61" t="s">
        <v>466</v>
      </c>
      <c r="D211" s="62" t="s">
        <v>480</v>
      </c>
      <c r="E211" s="63" t="s">
        <v>481</v>
      </c>
      <c r="F211" s="64">
        <v>6432</v>
      </c>
      <c r="G211" s="65">
        <v>6868.5</v>
      </c>
      <c r="H211" s="65">
        <v>7638</v>
      </c>
      <c r="I211" s="65">
        <v>8710.5</v>
      </c>
      <c r="J211" s="65">
        <v>10623</v>
      </c>
      <c r="K211" s="65">
        <v>12577.5</v>
      </c>
      <c r="L211" s="65">
        <v>14370</v>
      </c>
      <c r="M211" s="66">
        <v>820.5</v>
      </c>
      <c r="N211" s="67">
        <v>661.5</v>
      </c>
      <c r="O211" s="60"/>
      <c r="P211" s="2"/>
      <c r="Q211" s="2"/>
      <c r="R211" s="2"/>
      <c r="S211" s="2"/>
      <c r="T211" s="2"/>
      <c r="U211" s="2"/>
      <c r="V211" s="2"/>
      <c r="W211" s="2"/>
      <c r="X211" s="2"/>
      <c r="Y211" s="38"/>
    </row>
    <row r="212" spans="2:25" ht="15.75" customHeight="1" x14ac:dyDescent="0.3">
      <c r="B212" s="2"/>
      <c r="C212" s="61" t="s">
        <v>466</v>
      </c>
      <c r="D212" s="62" t="s">
        <v>482</v>
      </c>
      <c r="E212" s="63" t="s">
        <v>483</v>
      </c>
      <c r="F212" s="64">
        <v>4288</v>
      </c>
      <c r="G212" s="65">
        <v>4579</v>
      </c>
      <c r="H212" s="65">
        <v>5092</v>
      </c>
      <c r="I212" s="65">
        <v>5807</v>
      </c>
      <c r="J212" s="65">
        <v>7082</v>
      </c>
      <c r="K212" s="65">
        <v>8385</v>
      </c>
      <c r="L212" s="65">
        <v>9580</v>
      </c>
      <c r="M212" s="66">
        <v>547</v>
      </c>
      <c r="N212" s="67">
        <v>441</v>
      </c>
      <c r="O212" s="60"/>
      <c r="P212" s="2"/>
      <c r="Q212" s="2"/>
      <c r="R212" s="2"/>
      <c r="S212" s="2"/>
      <c r="T212" s="2"/>
      <c r="U212" s="2"/>
      <c r="V212" s="2"/>
      <c r="W212" s="2"/>
      <c r="X212" s="2"/>
      <c r="Y212" s="38"/>
    </row>
    <row r="213" spans="2:25" ht="15.75" customHeight="1" x14ac:dyDescent="0.3">
      <c r="B213" s="2"/>
      <c r="C213" s="61" t="s">
        <v>466</v>
      </c>
      <c r="D213" s="62" t="s">
        <v>484</v>
      </c>
      <c r="E213" s="63" t="s">
        <v>485</v>
      </c>
      <c r="F213" s="64">
        <v>6432</v>
      </c>
      <c r="G213" s="65">
        <v>6868.5</v>
      </c>
      <c r="H213" s="65">
        <v>7638</v>
      </c>
      <c r="I213" s="65">
        <v>8710.5</v>
      </c>
      <c r="J213" s="65">
        <v>10623</v>
      </c>
      <c r="K213" s="65">
        <v>12577.5</v>
      </c>
      <c r="L213" s="65">
        <v>14370</v>
      </c>
      <c r="M213" s="66">
        <v>820.5</v>
      </c>
      <c r="N213" s="67">
        <v>661.5</v>
      </c>
      <c r="O213" s="60"/>
      <c r="P213" s="2"/>
      <c r="Q213" s="2"/>
      <c r="R213" s="2"/>
      <c r="S213" s="2"/>
      <c r="T213" s="2"/>
      <c r="U213" s="2"/>
      <c r="V213" s="2"/>
      <c r="W213" s="2"/>
      <c r="X213" s="2"/>
      <c r="Y213" s="38"/>
    </row>
    <row r="214" spans="2:25" ht="15.75" customHeight="1" x14ac:dyDescent="0.3">
      <c r="B214" s="2"/>
      <c r="C214" s="61" t="s">
        <v>466</v>
      </c>
      <c r="D214" s="62" t="s">
        <v>486</v>
      </c>
      <c r="E214" s="63" t="s">
        <v>487</v>
      </c>
      <c r="F214" s="64">
        <v>4288</v>
      </c>
      <c r="G214" s="65">
        <v>4579</v>
      </c>
      <c r="H214" s="65">
        <v>5092</v>
      </c>
      <c r="I214" s="65">
        <v>5807</v>
      </c>
      <c r="J214" s="65">
        <v>7082</v>
      </c>
      <c r="K214" s="65">
        <v>8385</v>
      </c>
      <c r="L214" s="65">
        <v>9580</v>
      </c>
      <c r="M214" s="66">
        <v>547</v>
      </c>
      <c r="N214" s="67">
        <v>441</v>
      </c>
      <c r="O214" s="60"/>
      <c r="P214" s="2"/>
      <c r="Q214" s="2"/>
      <c r="R214" s="2"/>
      <c r="S214" s="2"/>
      <c r="T214" s="2"/>
      <c r="U214" s="2"/>
      <c r="V214" s="2"/>
      <c r="W214" s="2"/>
      <c r="X214" s="2"/>
      <c r="Y214" s="38"/>
    </row>
    <row r="215" spans="2:25" ht="15.75" customHeight="1" x14ac:dyDescent="0.3">
      <c r="B215" s="2"/>
      <c r="C215" s="61" t="s">
        <v>466</v>
      </c>
      <c r="D215" s="62" t="s">
        <v>488</v>
      </c>
      <c r="E215" s="63" t="s">
        <v>489</v>
      </c>
      <c r="F215" s="64">
        <v>4288</v>
      </c>
      <c r="G215" s="65">
        <v>4579</v>
      </c>
      <c r="H215" s="65">
        <v>5092</v>
      </c>
      <c r="I215" s="65">
        <v>5807</v>
      </c>
      <c r="J215" s="65">
        <v>7082</v>
      </c>
      <c r="K215" s="65">
        <v>8385</v>
      </c>
      <c r="L215" s="65">
        <v>9580</v>
      </c>
      <c r="M215" s="66">
        <v>547</v>
      </c>
      <c r="N215" s="67">
        <v>441</v>
      </c>
      <c r="O215" s="60"/>
      <c r="P215" s="2"/>
      <c r="Q215" s="2"/>
      <c r="R215" s="2"/>
      <c r="S215" s="2"/>
      <c r="T215" s="2"/>
      <c r="U215" s="2"/>
      <c r="V215" s="2"/>
      <c r="W215" s="2"/>
      <c r="X215" s="2"/>
      <c r="Y215" s="38"/>
    </row>
    <row r="216" spans="2:25" ht="15.75" customHeight="1" x14ac:dyDescent="0.3">
      <c r="B216" s="2"/>
      <c r="C216" s="61" t="s">
        <v>466</v>
      </c>
      <c r="D216" s="62" t="s">
        <v>490</v>
      </c>
      <c r="E216" s="63" t="s">
        <v>491</v>
      </c>
      <c r="F216" s="64">
        <v>4288</v>
      </c>
      <c r="G216" s="65">
        <v>4579</v>
      </c>
      <c r="H216" s="65">
        <v>5092</v>
      </c>
      <c r="I216" s="65">
        <v>5807</v>
      </c>
      <c r="J216" s="65">
        <v>7082</v>
      </c>
      <c r="K216" s="65">
        <v>8385</v>
      </c>
      <c r="L216" s="65">
        <v>9580</v>
      </c>
      <c r="M216" s="66">
        <v>547</v>
      </c>
      <c r="N216" s="67">
        <v>441</v>
      </c>
      <c r="O216" s="60"/>
      <c r="P216" s="2"/>
      <c r="Q216" s="2"/>
      <c r="R216" s="2"/>
      <c r="S216" s="2"/>
      <c r="T216" s="2"/>
      <c r="U216" s="2"/>
      <c r="V216" s="2"/>
      <c r="W216" s="2"/>
      <c r="X216" s="2"/>
      <c r="Y216" s="38"/>
    </row>
    <row r="217" spans="2:25" ht="15.75" customHeight="1" x14ac:dyDescent="0.3">
      <c r="B217" s="2"/>
      <c r="C217" s="61" t="s">
        <v>466</v>
      </c>
      <c r="D217" s="62" t="s">
        <v>492</v>
      </c>
      <c r="E217" s="63" t="s">
        <v>493</v>
      </c>
      <c r="F217" s="64">
        <v>4440</v>
      </c>
      <c r="G217" s="65">
        <v>4743</v>
      </c>
      <c r="H217" s="65">
        <v>5274</v>
      </c>
      <c r="I217" s="65">
        <v>6013</v>
      </c>
      <c r="J217" s="65">
        <v>7319</v>
      </c>
      <c r="K217" s="65">
        <v>8646</v>
      </c>
      <c r="L217" s="65">
        <v>9847</v>
      </c>
      <c r="M217" s="66">
        <v>550</v>
      </c>
      <c r="N217" s="67">
        <v>448</v>
      </c>
      <c r="O217" s="60"/>
      <c r="P217" s="2"/>
      <c r="Q217" s="2"/>
      <c r="R217" s="2"/>
      <c r="S217" s="2"/>
      <c r="T217" s="2"/>
      <c r="U217" s="2"/>
      <c r="V217" s="2"/>
      <c r="W217" s="2"/>
      <c r="X217" s="2"/>
      <c r="Y217" s="38"/>
    </row>
    <row r="218" spans="2:25" ht="15.75" customHeight="1" x14ac:dyDescent="0.3">
      <c r="B218" s="2"/>
      <c r="C218" s="61" t="s">
        <v>466</v>
      </c>
      <c r="D218" s="62" t="s">
        <v>494</v>
      </c>
      <c r="E218" s="63" t="s">
        <v>495</v>
      </c>
      <c r="F218" s="64">
        <v>6432</v>
      </c>
      <c r="G218" s="65">
        <v>6868.5</v>
      </c>
      <c r="H218" s="65">
        <v>7638</v>
      </c>
      <c r="I218" s="65">
        <v>8710.5</v>
      </c>
      <c r="J218" s="65">
        <v>10623</v>
      </c>
      <c r="K218" s="65">
        <v>12577.5</v>
      </c>
      <c r="L218" s="65">
        <v>14370</v>
      </c>
      <c r="M218" s="66">
        <v>820.5</v>
      </c>
      <c r="N218" s="67">
        <v>661.5</v>
      </c>
      <c r="O218" s="60"/>
      <c r="P218" s="2"/>
      <c r="Q218" s="2"/>
      <c r="R218" s="2"/>
      <c r="S218" s="2"/>
      <c r="T218" s="2"/>
      <c r="U218" s="2"/>
      <c r="V218" s="2"/>
      <c r="W218" s="2"/>
      <c r="X218" s="2"/>
      <c r="Y218" s="38"/>
    </row>
    <row r="219" spans="2:25" ht="15.75" customHeight="1" x14ac:dyDescent="0.3">
      <c r="B219" s="2"/>
      <c r="C219" s="61" t="s">
        <v>466</v>
      </c>
      <c r="D219" s="62" t="s">
        <v>496</v>
      </c>
      <c r="E219" s="63" t="s">
        <v>497</v>
      </c>
      <c r="F219" s="64">
        <v>6432</v>
      </c>
      <c r="G219" s="65">
        <v>6868.5</v>
      </c>
      <c r="H219" s="65">
        <v>7638</v>
      </c>
      <c r="I219" s="65">
        <v>8710.5</v>
      </c>
      <c r="J219" s="65">
        <v>10623</v>
      </c>
      <c r="K219" s="65">
        <v>12577.5</v>
      </c>
      <c r="L219" s="65">
        <v>14370</v>
      </c>
      <c r="M219" s="66">
        <v>820.5</v>
      </c>
      <c r="N219" s="67">
        <v>661.5</v>
      </c>
      <c r="O219" s="60"/>
      <c r="P219" s="2"/>
      <c r="Q219" s="2"/>
      <c r="R219" s="2"/>
      <c r="S219" s="2"/>
      <c r="T219" s="2"/>
      <c r="U219" s="2"/>
      <c r="V219" s="2"/>
      <c r="W219" s="2"/>
      <c r="X219" s="2"/>
      <c r="Y219" s="38"/>
    </row>
    <row r="220" spans="2:25" ht="15.75" customHeight="1" x14ac:dyDescent="0.3">
      <c r="B220" s="2"/>
      <c r="C220" s="61" t="s">
        <v>466</v>
      </c>
      <c r="D220" s="62" t="s">
        <v>498</v>
      </c>
      <c r="E220" s="63" t="s">
        <v>44</v>
      </c>
      <c r="F220" s="64">
        <v>4440</v>
      </c>
      <c r="G220" s="65">
        <v>4743</v>
      </c>
      <c r="H220" s="65">
        <v>5274</v>
      </c>
      <c r="I220" s="65">
        <v>6013</v>
      </c>
      <c r="J220" s="65">
        <v>7319</v>
      </c>
      <c r="K220" s="65">
        <v>8646</v>
      </c>
      <c r="L220" s="65">
        <v>9847</v>
      </c>
      <c r="M220" s="66">
        <v>550</v>
      </c>
      <c r="N220" s="67">
        <v>448</v>
      </c>
      <c r="O220" s="60"/>
      <c r="P220" s="2"/>
      <c r="Q220" s="2"/>
      <c r="R220" s="2"/>
      <c r="S220" s="2"/>
      <c r="T220" s="2"/>
      <c r="U220" s="2"/>
      <c r="V220" s="2"/>
      <c r="W220" s="2"/>
      <c r="X220" s="2"/>
      <c r="Y220" s="38"/>
    </row>
    <row r="221" spans="2:25" ht="15.75" customHeight="1" x14ac:dyDescent="0.3">
      <c r="B221" s="2"/>
      <c r="C221" s="61" t="s">
        <v>466</v>
      </c>
      <c r="D221" s="62" t="s">
        <v>499</v>
      </c>
      <c r="E221" s="63" t="s">
        <v>500</v>
      </c>
      <c r="F221" s="64">
        <v>4288</v>
      </c>
      <c r="G221" s="65">
        <v>4579</v>
      </c>
      <c r="H221" s="65">
        <v>5092</v>
      </c>
      <c r="I221" s="65">
        <v>5807</v>
      </c>
      <c r="J221" s="65">
        <v>7082</v>
      </c>
      <c r="K221" s="65">
        <v>8385</v>
      </c>
      <c r="L221" s="65">
        <v>9580</v>
      </c>
      <c r="M221" s="66">
        <v>547</v>
      </c>
      <c r="N221" s="67">
        <v>441</v>
      </c>
      <c r="O221" s="60"/>
      <c r="P221" s="2"/>
      <c r="Q221" s="2"/>
      <c r="R221" s="2"/>
      <c r="S221" s="2"/>
      <c r="T221" s="2"/>
      <c r="U221" s="2"/>
      <c r="V221" s="2"/>
      <c r="W221" s="2"/>
      <c r="X221" s="2"/>
      <c r="Y221" s="38"/>
    </row>
    <row r="222" spans="2:25" ht="15.75" customHeight="1" x14ac:dyDescent="0.3">
      <c r="B222" s="2"/>
      <c r="C222" s="61" t="s">
        <v>466</v>
      </c>
      <c r="D222" s="62" t="s">
        <v>501</v>
      </c>
      <c r="E222" s="63" t="s">
        <v>502</v>
      </c>
      <c r="F222" s="64">
        <v>4440</v>
      </c>
      <c r="G222" s="65">
        <v>4743</v>
      </c>
      <c r="H222" s="65">
        <v>5274</v>
      </c>
      <c r="I222" s="65">
        <v>6013</v>
      </c>
      <c r="J222" s="65">
        <v>7319</v>
      </c>
      <c r="K222" s="65">
        <v>8646</v>
      </c>
      <c r="L222" s="65">
        <v>9847</v>
      </c>
      <c r="M222" s="66">
        <v>550</v>
      </c>
      <c r="N222" s="67">
        <v>448</v>
      </c>
      <c r="O222" s="60"/>
      <c r="P222" s="2"/>
      <c r="Q222" s="2"/>
      <c r="R222" s="2"/>
      <c r="S222" s="2"/>
      <c r="T222" s="2"/>
      <c r="U222" s="2"/>
      <c r="V222" s="2"/>
      <c r="W222" s="2"/>
      <c r="X222" s="2"/>
      <c r="Y222" s="38"/>
    </row>
    <row r="223" spans="2:25" ht="15.75" customHeight="1" x14ac:dyDescent="0.3">
      <c r="B223" s="2"/>
      <c r="C223" s="61" t="s">
        <v>466</v>
      </c>
      <c r="D223" s="62" t="s">
        <v>503</v>
      </c>
      <c r="E223" s="63" t="s">
        <v>504</v>
      </c>
      <c r="F223" s="64">
        <v>4440</v>
      </c>
      <c r="G223" s="65">
        <v>4743</v>
      </c>
      <c r="H223" s="65">
        <v>5274</v>
      </c>
      <c r="I223" s="65">
        <v>6013</v>
      </c>
      <c r="J223" s="65">
        <v>7319</v>
      </c>
      <c r="K223" s="65">
        <v>8646</v>
      </c>
      <c r="L223" s="65">
        <v>9847</v>
      </c>
      <c r="M223" s="66">
        <v>550</v>
      </c>
      <c r="N223" s="67">
        <v>448</v>
      </c>
      <c r="O223" s="60"/>
      <c r="P223" s="2"/>
      <c r="Q223" s="2"/>
      <c r="R223" s="2"/>
      <c r="S223" s="2"/>
      <c r="T223" s="2"/>
      <c r="U223" s="2"/>
      <c r="V223" s="2"/>
      <c r="W223" s="2"/>
      <c r="X223" s="2"/>
      <c r="Y223" s="38"/>
    </row>
    <row r="224" spans="2:25" ht="15.75" customHeight="1" x14ac:dyDescent="0.3">
      <c r="B224" s="2"/>
      <c r="C224" s="61" t="s">
        <v>466</v>
      </c>
      <c r="D224" s="62" t="s">
        <v>505</v>
      </c>
      <c r="E224" s="63" t="s">
        <v>506</v>
      </c>
      <c r="F224" s="64">
        <v>4440</v>
      </c>
      <c r="G224" s="65">
        <v>4743</v>
      </c>
      <c r="H224" s="65">
        <v>5274</v>
      </c>
      <c r="I224" s="65">
        <v>6013</v>
      </c>
      <c r="J224" s="65">
        <v>7319</v>
      </c>
      <c r="K224" s="65">
        <v>8646</v>
      </c>
      <c r="L224" s="65">
        <v>9847</v>
      </c>
      <c r="M224" s="66">
        <v>550</v>
      </c>
      <c r="N224" s="67">
        <v>448</v>
      </c>
      <c r="O224" s="60"/>
      <c r="P224" s="2"/>
      <c r="Q224" s="2"/>
      <c r="R224" s="2"/>
      <c r="S224" s="2"/>
      <c r="T224" s="2"/>
      <c r="U224" s="2"/>
      <c r="V224" s="2"/>
      <c r="W224" s="2"/>
      <c r="X224" s="2"/>
      <c r="Y224" s="38"/>
    </row>
    <row r="225" spans="2:25" ht="15.75" customHeight="1" x14ac:dyDescent="0.3">
      <c r="B225" s="2"/>
      <c r="C225" s="61" t="s">
        <v>466</v>
      </c>
      <c r="D225" s="62" t="s">
        <v>507</v>
      </c>
      <c r="E225" s="63" t="s">
        <v>508</v>
      </c>
      <c r="F225" s="64">
        <v>4288</v>
      </c>
      <c r="G225" s="65">
        <v>4579</v>
      </c>
      <c r="H225" s="65">
        <v>5092</v>
      </c>
      <c r="I225" s="65">
        <v>5807</v>
      </c>
      <c r="J225" s="65">
        <v>7082</v>
      </c>
      <c r="K225" s="65">
        <v>8385</v>
      </c>
      <c r="L225" s="65">
        <v>9580</v>
      </c>
      <c r="M225" s="66">
        <v>547</v>
      </c>
      <c r="N225" s="67">
        <v>441</v>
      </c>
      <c r="O225" s="60"/>
      <c r="P225" s="2"/>
      <c r="Q225" s="2"/>
      <c r="R225" s="2"/>
      <c r="S225" s="2"/>
      <c r="T225" s="2"/>
      <c r="U225" s="2"/>
      <c r="V225" s="2"/>
      <c r="W225" s="2"/>
      <c r="X225" s="2"/>
      <c r="Y225" s="38"/>
    </row>
    <row r="226" spans="2:25" ht="15.75" customHeight="1" x14ac:dyDescent="0.3">
      <c r="B226" s="2"/>
      <c r="C226" s="61" t="s">
        <v>466</v>
      </c>
      <c r="D226" s="62" t="s">
        <v>509</v>
      </c>
      <c r="E226" s="63" t="s">
        <v>510</v>
      </c>
      <c r="F226" s="64">
        <v>4440</v>
      </c>
      <c r="G226" s="65">
        <v>4743</v>
      </c>
      <c r="H226" s="65">
        <v>5274</v>
      </c>
      <c r="I226" s="65">
        <v>6013</v>
      </c>
      <c r="J226" s="65">
        <v>7319</v>
      </c>
      <c r="K226" s="65">
        <v>8646</v>
      </c>
      <c r="L226" s="65">
        <v>9847</v>
      </c>
      <c r="M226" s="66">
        <v>550</v>
      </c>
      <c r="N226" s="67">
        <v>448</v>
      </c>
      <c r="O226" s="60"/>
      <c r="P226" s="2"/>
      <c r="Q226" s="2"/>
      <c r="R226" s="2"/>
      <c r="S226" s="2"/>
      <c r="T226" s="2"/>
      <c r="U226" s="2"/>
      <c r="V226" s="2"/>
      <c r="W226" s="2"/>
      <c r="X226" s="2"/>
      <c r="Y226" s="38"/>
    </row>
    <row r="227" spans="2:25" ht="15.75" customHeight="1" x14ac:dyDescent="0.3">
      <c r="B227" s="2"/>
      <c r="C227" s="61" t="s">
        <v>466</v>
      </c>
      <c r="D227" s="62" t="s">
        <v>511</v>
      </c>
      <c r="E227" s="63" t="s">
        <v>512</v>
      </c>
      <c r="F227" s="64">
        <v>4440</v>
      </c>
      <c r="G227" s="65">
        <v>4743</v>
      </c>
      <c r="H227" s="65">
        <v>5274</v>
      </c>
      <c r="I227" s="65">
        <v>6013</v>
      </c>
      <c r="J227" s="65">
        <v>7319</v>
      </c>
      <c r="K227" s="65">
        <v>8646</v>
      </c>
      <c r="L227" s="65">
        <v>9847</v>
      </c>
      <c r="M227" s="66">
        <v>550</v>
      </c>
      <c r="N227" s="67">
        <v>448</v>
      </c>
      <c r="O227" s="60"/>
      <c r="P227" s="2"/>
      <c r="Q227" s="2"/>
      <c r="R227" s="2"/>
      <c r="S227" s="2"/>
      <c r="T227" s="2"/>
      <c r="U227" s="2"/>
      <c r="V227" s="2"/>
      <c r="W227" s="2"/>
      <c r="X227" s="2"/>
      <c r="Y227" s="38"/>
    </row>
    <row r="228" spans="2:25" ht="15.75" customHeight="1" x14ac:dyDescent="0.3">
      <c r="B228" s="2"/>
      <c r="C228" s="61" t="s">
        <v>466</v>
      </c>
      <c r="D228" s="62" t="s">
        <v>513</v>
      </c>
      <c r="E228" s="63" t="s">
        <v>514</v>
      </c>
      <c r="F228" s="64">
        <v>4288</v>
      </c>
      <c r="G228" s="65">
        <v>4579</v>
      </c>
      <c r="H228" s="65">
        <v>5092</v>
      </c>
      <c r="I228" s="65">
        <v>5807</v>
      </c>
      <c r="J228" s="65">
        <v>7082</v>
      </c>
      <c r="K228" s="65">
        <v>8385</v>
      </c>
      <c r="L228" s="65">
        <v>9580</v>
      </c>
      <c r="M228" s="66">
        <v>547</v>
      </c>
      <c r="N228" s="67">
        <v>441</v>
      </c>
      <c r="O228" s="60"/>
      <c r="P228" s="2"/>
      <c r="Q228" s="2"/>
      <c r="R228" s="2"/>
      <c r="S228" s="2"/>
      <c r="T228" s="2"/>
      <c r="U228" s="2"/>
      <c r="V228" s="2"/>
      <c r="W228" s="2"/>
      <c r="X228" s="2"/>
      <c r="Y228" s="38"/>
    </row>
    <row r="229" spans="2:25" ht="15.75" customHeight="1" x14ac:dyDescent="0.3">
      <c r="B229" s="2"/>
      <c r="C229" s="61" t="s">
        <v>466</v>
      </c>
      <c r="D229" s="62" t="s">
        <v>515</v>
      </c>
      <c r="E229" s="63" t="s">
        <v>516</v>
      </c>
      <c r="F229" s="64">
        <v>4440</v>
      </c>
      <c r="G229" s="65">
        <v>4743</v>
      </c>
      <c r="H229" s="65">
        <v>5274</v>
      </c>
      <c r="I229" s="65">
        <v>6013</v>
      </c>
      <c r="J229" s="65">
        <v>7319</v>
      </c>
      <c r="K229" s="65">
        <v>8646</v>
      </c>
      <c r="L229" s="65">
        <v>9847</v>
      </c>
      <c r="M229" s="66">
        <v>550</v>
      </c>
      <c r="N229" s="67">
        <v>448</v>
      </c>
      <c r="O229" s="60"/>
      <c r="P229" s="2"/>
      <c r="Q229" s="2"/>
      <c r="R229" s="2"/>
      <c r="S229" s="2"/>
      <c r="T229" s="2"/>
      <c r="U229" s="2"/>
      <c r="V229" s="2"/>
      <c r="W229" s="2"/>
      <c r="X229" s="2"/>
      <c r="Y229" s="38"/>
    </row>
    <row r="230" spans="2:25" ht="15.75" customHeight="1" x14ac:dyDescent="0.3">
      <c r="B230" s="2"/>
      <c r="C230" s="61" t="s">
        <v>466</v>
      </c>
      <c r="D230" s="62" t="s">
        <v>517</v>
      </c>
      <c r="E230" s="63" t="s">
        <v>518</v>
      </c>
      <c r="F230" s="64">
        <v>4440</v>
      </c>
      <c r="G230" s="65">
        <v>4743</v>
      </c>
      <c r="H230" s="65">
        <v>5274</v>
      </c>
      <c r="I230" s="65">
        <v>6013</v>
      </c>
      <c r="J230" s="65">
        <v>7319</v>
      </c>
      <c r="K230" s="65">
        <v>8646</v>
      </c>
      <c r="L230" s="65">
        <v>9847</v>
      </c>
      <c r="M230" s="66">
        <v>550</v>
      </c>
      <c r="N230" s="67">
        <v>448</v>
      </c>
      <c r="O230" s="60"/>
      <c r="P230" s="2"/>
      <c r="Q230" s="2"/>
      <c r="R230" s="2"/>
      <c r="S230" s="2"/>
      <c r="T230" s="2"/>
      <c r="U230" s="2"/>
      <c r="V230" s="2"/>
      <c r="W230" s="2"/>
      <c r="X230" s="2"/>
      <c r="Y230" s="38"/>
    </row>
    <row r="231" spans="2:25" ht="15.75" customHeight="1" x14ac:dyDescent="0.3">
      <c r="B231" s="2"/>
      <c r="C231" s="61" t="s">
        <v>466</v>
      </c>
      <c r="D231" s="62" t="s">
        <v>519</v>
      </c>
      <c r="E231" s="63" t="s">
        <v>520</v>
      </c>
      <c r="F231" s="64">
        <v>4288</v>
      </c>
      <c r="G231" s="65">
        <v>4579</v>
      </c>
      <c r="H231" s="65">
        <v>5092</v>
      </c>
      <c r="I231" s="65">
        <v>5807</v>
      </c>
      <c r="J231" s="65">
        <v>7082</v>
      </c>
      <c r="K231" s="65">
        <v>8385</v>
      </c>
      <c r="L231" s="65">
        <v>9580</v>
      </c>
      <c r="M231" s="66">
        <v>547</v>
      </c>
      <c r="N231" s="67">
        <v>441</v>
      </c>
      <c r="O231" s="60"/>
      <c r="P231" s="2"/>
      <c r="Q231" s="2"/>
      <c r="R231" s="2"/>
      <c r="S231" s="2"/>
      <c r="T231" s="2"/>
      <c r="U231" s="2"/>
      <c r="V231" s="2"/>
      <c r="W231" s="2"/>
      <c r="X231" s="2"/>
      <c r="Y231" s="38"/>
    </row>
    <row r="232" spans="2:25" ht="15.75" customHeight="1" x14ac:dyDescent="0.3">
      <c r="B232" s="2"/>
      <c r="C232" s="61" t="s">
        <v>466</v>
      </c>
      <c r="D232" s="62" t="s">
        <v>521</v>
      </c>
      <c r="E232" s="63" t="s">
        <v>522</v>
      </c>
      <c r="F232" s="64">
        <v>4288</v>
      </c>
      <c r="G232" s="65">
        <v>4579</v>
      </c>
      <c r="H232" s="65">
        <v>5092</v>
      </c>
      <c r="I232" s="65">
        <v>5807</v>
      </c>
      <c r="J232" s="65">
        <v>7082</v>
      </c>
      <c r="K232" s="65">
        <v>8385</v>
      </c>
      <c r="L232" s="65">
        <v>9580</v>
      </c>
      <c r="M232" s="66">
        <v>547</v>
      </c>
      <c r="N232" s="67">
        <v>441</v>
      </c>
      <c r="O232" s="60"/>
      <c r="P232" s="2"/>
      <c r="Q232" s="2"/>
      <c r="R232" s="2"/>
      <c r="S232" s="2"/>
      <c r="T232" s="2"/>
      <c r="U232" s="2"/>
      <c r="V232" s="2"/>
      <c r="W232" s="2"/>
      <c r="X232" s="2"/>
      <c r="Y232" s="38"/>
    </row>
    <row r="233" spans="2:25" ht="15.75" customHeight="1" x14ac:dyDescent="0.3">
      <c r="B233" s="2"/>
      <c r="C233" s="61" t="s">
        <v>466</v>
      </c>
      <c r="D233" s="62" t="s">
        <v>523</v>
      </c>
      <c r="E233" s="63" t="s">
        <v>524</v>
      </c>
      <c r="F233" s="64">
        <v>6906</v>
      </c>
      <c r="G233" s="65">
        <v>7258.5</v>
      </c>
      <c r="H233" s="65">
        <v>8086.5</v>
      </c>
      <c r="I233" s="65">
        <v>9163.5</v>
      </c>
      <c r="J233" s="65">
        <v>11344.5</v>
      </c>
      <c r="K233" s="65">
        <v>13375.5</v>
      </c>
      <c r="L233" s="65">
        <v>15181.5</v>
      </c>
      <c r="M233" s="66">
        <v>828</v>
      </c>
      <c r="N233" s="67">
        <v>676.5</v>
      </c>
      <c r="O233" s="60"/>
      <c r="P233" s="2"/>
      <c r="Q233" s="2"/>
      <c r="R233" s="2"/>
      <c r="S233" s="2"/>
      <c r="T233" s="2"/>
      <c r="U233" s="2"/>
      <c r="V233" s="2"/>
      <c r="W233" s="2"/>
      <c r="X233" s="2"/>
      <c r="Y233" s="38"/>
    </row>
    <row r="234" spans="2:25" ht="15.75" customHeight="1" x14ac:dyDescent="0.3">
      <c r="B234" s="2"/>
      <c r="C234" s="61" t="s">
        <v>466</v>
      </c>
      <c r="D234" s="62" t="s">
        <v>525</v>
      </c>
      <c r="E234" s="63" t="s">
        <v>526</v>
      </c>
      <c r="F234" s="64">
        <v>4288</v>
      </c>
      <c r="G234" s="65">
        <v>4579</v>
      </c>
      <c r="H234" s="65">
        <v>5092</v>
      </c>
      <c r="I234" s="65">
        <v>5807</v>
      </c>
      <c r="J234" s="65">
        <v>7082</v>
      </c>
      <c r="K234" s="65">
        <v>8385</v>
      </c>
      <c r="L234" s="65">
        <v>9580</v>
      </c>
      <c r="M234" s="66">
        <v>547</v>
      </c>
      <c r="N234" s="67">
        <v>441</v>
      </c>
      <c r="O234" s="60"/>
      <c r="P234" s="2"/>
      <c r="Q234" s="2"/>
      <c r="R234" s="2"/>
      <c r="S234" s="2"/>
      <c r="T234" s="2"/>
      <c r="U234" s="2"/>
      <c r="V234" s="2"/>
      <c r="W234" s="2"/>
      <c r="X234" s="2"/>
      <c r="Y234" s="38"/>
    </row>
    <row r="235" spans="2:25" ht="15.75" customHeight="1" x14ac:dyDescent="0.3">
      <c r="B235" s="2"/>
      <c r="C235" s="61" t="s">
        <v>466</v>
      </c>
      <c r="D235" s="62" t="s">
        <v>527</v>
      </c>
      <c r="E235" s="63" t="s">
        <v>528</v>
      </c>
      <c r="F235" s="64">
        <v>4440</v>
      </c>
      <c r="G235" s="65">
        <v>4743</v>
      </c>
      <c r="H235" s="65">
        <v>5274</v>
      </c>
      <c r="I235" s="65">
        <v>6013</v>
      </c>
      <c r="J235" s="65">
        <v>7319</v>
      </c>
      <c r="K235" s="65">
        <v>8646</v>
      </c>
      <c r="L235" s="65">
        <v>9847</v>
      </c>
      <c r="M235" s="66">
        <v>550</v>
      </c>
      <c r="N235" s="67">
        <v>448</v>
      </c>
      <c r="O235" s="60"/>
      <c r="P235" s="2"/>
      <c r="Q235" s="2"/>
      <c r="R235" s="2"/>
      <c r="S235" s="2"/>
      <c r="T235" s="2"/>
      <c r="U235" s="2"/>
      <c r="V235" s="2"/>
      <c r="W235" s="2"/>
      <c r="X235" s="2"/>
      <c r="Y235" s="38"/>
    </row>
    <row r="236" spans="2:25" ht="15.75" customHeight="1" thickBot="1" x14ac:dyDescent="0.35">
      <c r="B236" s="2"/>
      <c r="C236" s="68" t="s">
        <v>466</v>
      </c>
      <c r="D236" s="69" t="s">
        <v>529</v>
      </c>
      <c r="E236" s="70" t="s">
        <v>530</v>
      </c>
      <c r="F236" s="71">
        <v>4440</v>
      </c>
      <c r="G236" s="72">
        <v>4743</v>
      </c>
      <c r="H236" s="72">
        <v>5274</v>
      </c>
      <c r="I236" s="72">
        <v>6013</v>
      </c>
      <c r="J236" s="72">
        <v>7319</v>
      </c>
      <c r="K236" s="72">
        <v>8646</v>
      </c>
      <c r="L236" s="72">
        <v>9847</v>
      </c>
      <c r="M236" s="73">
        <v>550</v>
      </c>
      <c r="N236" s="74">
        <v>448</v>
      </c>
      <c r="O236" s="60"/>
      <c r="P236" s="2"/>
      <c r="Q236" s="2"/>
      <c r="R236" s="2"/>
      <c r="S236" s="2"/>
      <c r="T236" s="2"/>
      <c r="U236" s="2"/>
      <c r="V236" s="2"/>
      <c r="W236" s="2"/>
      <c r="X236" s="2"/>
      <c r="Y236" s="38"/>
    </row>
    <row r="237" spans="2:25" ht="15.75" customHeight="1" x14ac:dyDescent="0.3">
      <c r="B237" s="2"/>
      <c r="C237" s="75" t="s">
        <v>531</v>
      </c>
      <c r="D237" s="76" t="s">
        <v>532</v>
      </c>
      <c r="E237" s="77" t="s">
        <v>47</v>
      </c>
      <c r="F237" s="64">
        <v>4604</v>
      </c>
      <c r="G237" s="65">
        <v>4839</v>
      </c>
      <c r="H237" s="65">
        <v>5391</v>
      </c>
      <c r="I237" s="65">
        <v>6109</v>
      </c>
      <c r="J237" s="65">
        <v>7563</v>
      </c>
      <c r="K237" s="65">
        <v>8917</v>
      </c>
      <c r="L237" s="65">
        <v>10121</v>
      </c>
      <c r="M237" s="66">
        <v>552</v>
      </c>
      <c r="N237" s="67">
        <v>451</v>
      </c>
      <c r="O237" s="60"/>
      <c r="P237" s="2"/>
      <c r="Q237" s="2"/>
      <c r="R237" s="2"/>
      <c r="S237" s="2"/>
      <c r="T237" s="2"/>
      <c r="U237" s="2"/>
      <c r="V237" s="2"/>
      <c r="W237" s="2"/>
      <c r="X237" s="2"/>
      <c r="Y237" s="38"/>
    </row>
    <row r="238" spans="2:25" ht="15.75" customHeight="1" x14ac:dyDescent="0.3">
      <c r="B238" s="2"/>
      <c r="C238" s="61" t="s">
        <v>531</v>
      </c>
      <c r="D238" s="62" t="s">
        <v>533</v>
      </c>
      <c r="E238" s="63" t="s">
        <v>534</v>
      </c>
      <c r="F238" s="64">
        <v>4440</v>
      </c>
      <c r="G238" s="65">
        <v>4743</v>
      </c>
      <c r="H238" s="65">
        <v>5274</v>
      </c>
      <c r="I238" s="65">
        <v>6013</v>
      </c>
      <c r="J238" s="65">
        <v>7319</v>
      </c>
      <c r="K238" s="65">
        <v>8646</v>
      </c>
      <c r="L238" s="65">
        <v>9847</v>
      </c>
      <c r="M238" s="66">
        <v>550</v>
      </c>
      <c r="N238" s="67">
        <v>448</v>
      </c>
      <c r="O238" s="60"/>
      <c r="P238" s="2"/>
      <c r="Q238" s="2"/>
      <c r="R238" s="2"/>
      <c r="S238" s="2"/>
      <c r="T238" s="2"/>
      <c r="U238" s="2"/>
      <c r="V238" s="2"/>
      <c r="W238" s="2"/>
      <c r="X238" s="2"/>
      <c r="Y238" s="38"/>
    </row>
    <row r="239" spans="2:25" ht="15.75" customHeight="1" x14ac:dyDescent="0.3">
      <c r="B239" s="2"/>
      <c r="C239" s="61" t="s">
        <v>531</v>
      </c>
      <c r="D239" s="62" t="s">
        <v>535</v>
      </c>
      <c r="E239" s="63" t="s">
        <v>536</v>
      </c>
      <c r="F239" s="64">
        <v>4604</v>
      </c>
      <c r="G239" s="65">
        <v>4839</v>
      </c>
      <c r="H239" s="65">
        <v>5391</v>
      </c>
      <c r="I239" s="65">
        <v>6109</v>
      </c>
      <c r="J239" s="65">
        <v>7563</v>
      </c>
      <c r="K239" s="65">
        <v>8917</v>
      </c>
      <c r="L239" s="65">
        <v>10121</v>
      </c>
      <c r="M239" s="66">
        <v>552</v>
      </c>
      <c r="N239" s="67">
        <v>451</v>
      </c>
      <c r="O239" s="60"/>
      <c r="P239" s="136" t="s">
        <v>820</v>
      </c>
      <c r="R239" s="2"/>
      <c r="S239" s="2"/>
      <c r="T239" s="2"/>
      <c r="U239" s="2"/>
      <c r="V239" s="2"/>
      <c r="W239" s="2"/>
      <c r="X239" s="2"/>
      <c r="Y239" s="38"/>
    </row>
    <row r="240" spans="2:25" ht="15.75" customHeight="1" x14ac:dyDescent="0.3">
      <c r="B240" s="2"/>
      <c r="C240" s="61" t="s">
        <v>531</v>
      </c>
      <c r="D240" s="62" t="s">
        <v>537</v>
      </c>
      <c r="E240" s="63" t="s">
        <v>538</v>
      </c>
      <c r="F240" s="64">
        <v>6906</v>
      </c>
      <c r="G240" s="65">
        <v>7258.5</v>
      </c>
      <c r="H240" s="65">
        <v>8086.5</v>
      </c>
      <c r="I240" s="65">
        <v>9163.5</v>
      </c>
      <c r="J240" s="65">
        <v>11344.5</v>
      </c>
      <c r="K240" s="65">
        <v>13375.5</v>
      </c>
      <c r="L240" s="65">
        <v>15181.5</v>
      </c>
      <c r="M240" s="66">
        <v>828</v>
      </c>
      <c r="N240" s="67">
        <v>676.5</v>
      </c>
      <c r="O240" s="60"/>
      <c r="S240" s="2"/>
      <c r="T240" s="2"/>
      <c r="U240" s="2"/>
      <c r="V240" s="2"/>
      <c r="W240" s="2"/>
      <c r="X240" s="2"/>
      <c r="Y240" s="38"/>
    </row>
    <row r="241" spans="2:25" ht="15.75" customHeight="1" x14ac:dyDescent="0.3">
      <c r="B241" s="2"/>
      <c r="C241" s="61" t="s">
        <v>531</v>
      </c>
      <c r="D241" s="62" t="s">
        <v>541</v>
      </c>
      <c r="E241" s="63" t="s">
        <v>542</v>
      </c>
      <c r="F241" s="64">
        <v>4440</v>
      </c>
      <c r="G241" s="65">
        <v>4743</v>
      </c>
      <c r="H241" s="65">
        <v>5274</v>
      </c>
      <c r="I241" s="65">
        <v>6013</v>
      </c>
      <c r="J241" s="65">
        <v>7319</v>
      </c>
      <c r="K241" s="65">
        <v>8646</v>
      </c>
      <c r="L241" s="65">
        <v>9847</v>
      </c>
      <c r="M241" s="66">
        <v>550</v>
      </c>
      <c r="N241" s="67">
        <v>448</v>
      </c>
      <c r="O241" s="60"/>
      <c r="S241" s="2"/>
      <c r="T241" s="2"/>
      <c r="U241" s="2"/>
      <c r="V241" s="2"/>
      <c r="W241" s="2"/>
      <c r="X241" s="2"/>
      <c r="Y241" s="38"/>
    </row>
    <row r="242" spans="2:25" ht="15.75" customHeight="1" x14ac:dyDescent="0.3">
      <c r="B242" s="2"/>
      <c r="C242" s="61" t="s">
        <v>531</v>
      </c>
      <c r="D242" s="62" t="s">
        <v>543</v>
      </c>
      <c r="E242" s="63" t="s">
        <v>544</v>
      </c>
      <c r="F242" s="64">
        <v>4604</v>
      </c>
      <c r="G242" s="65">
        <v>4839</v>
      </c>
      <c r="H242" s="65">
        <v>5391</v>
      </c>
      <c r="I242" s="65">
        <v>6109</v>
      </c>
      <c r="J242" s="65">
        <v>7563</v>
      </c>
      <c r="K242" s="65">
        <v>8917</v>
      </c>
      <c r="L242" s="65">
        <v>10121</v>
      </c>
      <c r="M242" s="66">
        <v>552</v>
      </c>
      <c r="N242" s="67">
        <v>451</v>
      </c>
      <c r="O242" s="60"/>
      <c r="R242" s="2"/>
      <c r="S242" s="2"/>
      <c r="T242" s="2"/>
      <c r="U242" s="2"/>
      <c r="V242" s="2"/>
      <c r="W242" s="2"/>
      <c r="X242" s="2"/>
      <c r="Y242" s="38"/>
    </row>
    <row r="243" spans="2:25" ht="15.75" customHeight="1" x14ac:dyDescent="0.3">
      <c r="B243" s="2"/>
      <c r="C243" s="61" t="s">
        <v>531</v>
      </c>
      <c r="D243" s="62" t="s">
        <v>545</v>
      </c>
      <c r="E243" s="63" t="s">
        <v>546</v>
      </c>
      <c r="F243" s="64">
        <v>6906</v>
      </c>
      <c r="G243" s="65">
        <v>7258.5</v>
      </c>
      <c r="H243" s="65">
        <v>8086.5</v>
      </c>
      <c r="I243" s="65">
        <v>9163.5</v>
      </c>
      <c r="J243" s="65">
        <v>11344.5</v>
      </c>
      <c r="K243" s="65">
        <v>13375.5</v>
      </c>
      <c r="L243" s="65">
        <v>15181.5</v>
      </c>
      <c r="M243" s="66">
        <v>828</v>
      </c>
      <c r="N243" s="67">
        <v>676.5</v>
      </c>
      <c r="O243" s="60"/>
      <c r="R243" s="2"/>
      <c r="S243" s="2"/>
      <c r="T243" s="2"/>
      <c r="U243" s="2"/>
      <c r="V243" s="2"/>
      <c r="W243" s="2"/>
      <c r="X243" s="2"/>
      <c r="Y243" s="38"/>
    </row>
    <row r="244" spans="2:25" ht="15.75" customHeight="1" x14ac:dyDescent="0.3">
      <c r="B244" s="2"/>
      <c r="C244" s="61" t="s">
        <v>531</v>
      </c>
      <c r="D244" s="62" t="s">
        <v>547</v>
      </c>
      <c r="E244" s="63" t="s">
        <v>548</v>
      </c>
      <c r="F244" s="64">
        <v>6906</v>
      </c>
      <c r="G244" s="65">
        <v>7258.5</v>
      </c>
      <c r="H244" s="65">
        <v>8086.5</v>
      </c>
      <c r="I244" s="65">
        <v>9163.5</v>
      </c>
      <c r="J244" s="65">
        <v>11344.5</v>
      </c>
      <c r="K244" s="65">
        <v>13375.5</v>
      </c>
      <c r="L244" s="65">
        <v>15181.5</v>
      </c>
      <c r="M244" s="66">
        <v>828</v>
      </c>
      <c r="N244" s="67">
        <v>676.5</v>
      </c>
      <c r="O244" s="60"/>
      <c r="R244" s="2"/>
      <c r="S244" s="2"/>
      <c r="T244" s="2"/>
      <c r="U244" s="2"/>
      <c r="V244" s="2"/>
      <c r="W244" s="2"/>
      <c r="X244" s="2"/>
      <c r="Y244" s="38"/>
    </row>
    <row r="245" spans="2:25" ht="15.75" customHeight="1" x14ac:dyDescent="0.3">
      <c r="B245" s="2"/>
      <c r="C245" s="61" t="s">
        <v>531</v>
      </c>
      <c r="D245" s="62" t="s">
        <v>549</v>
      </c>
      <c r="E245" s="63" t="s">
        <v>550</v>
      </c>
      <c r="F245" s="64">
        <v>4604</v>
      </c>
      <c r="G245" s="65">
        <v>4839</v>
      </c>
      <c r="H245" s="65">
        <v>5391</v>
      </c>
      <c r="I245" s="65">
        <v>6109</v>
      </c>
      <c r="J245" s="65">
        <v>7563</v>
      </c>
      <c r="K245" s="65">
        <v>8917</v>
      </c>
      <c r="L245" s="65">
        <v>10121</v>
      </c>
      <c r="M245" s="66">
        <v>552</v>
      </c>
      <c r="N245" s="67">
        <v>451</v>
      </c>
      <c r="O245" s="60"/>
      <c r="R245" s="2"/>
      <c r="S245" s="2"/>
      <c r="T245" s="2"/>
      <c r="U245" s="2"/>
      <c r="V245" s="2"/>
      <c r="W245" s="2"/>
      <c r="X245" s="2"/>
      <c r="Y245" s="38"/>
    </row>
    <row r="246" spans="2:25" ht="15.75" customHeight="1" x14ac:dyDescent="0.3">
      <c r="B246" s="2"/>
      <c r="C246" s="61" t="s">
        <v>531</v>
      </c>
      <c r="D246" s="62" t="s">
        <v>551</v>
      </c>
      <c r="E246" s="63" t="s">
        <v>552</v>
      </c>
      <c r="F246" s="64">
        <v>4604</v>
      </c>
      <c r="G246" s="65">
        <v>4839</v>
      </c>
      <c r="H246" s="65">
        <v>5391</v>
      </c>
      <c r="I246" s="65">
        <v>6109</v>
      </c>
      <c r="J246" s="65">
        <v>7563</v>
      </c>
      <c r="K246" s="65">
        <v>8917</v>
      </c>
      <c r="L246" s="65">
        <v>10121</v>
      </c>
      <c r="M246" s="66">
        <v>552</v>
      </c>
      <c r="N246" s="67">
        <v>451</v>
      </c>
      <c r="O246" s="60"/>
      <c r="R246" s="2"/>
      <c r="S246" s="2"/>
      <c r="T246" s="2"/>
      <c r="U246" s="2"/>
      <c r="V246" s="2"/>
      <c r="W246" s="2"/>
      <c r="X246" s="2"/>
      <c r="Y246" s="38"/>
    </row>
    <row r="247" spans="2:25" ht="15.75" customHeight="1" x14ac:dyDescent="0.3">
      <c r="B247" s="2"/>
      <c r="C247" s="61" t="s">
        <v>531</v>
      </c>
      <c r="D247" s="62" t="s">
        <v>553</v>
      </c>
      <c r="E247" s="63" t="s">
        <v>554</v>
      </c>
      <c r="F247" s="64">
        <v>4604</v>
      </c>
      <c r="G247" s="65">
        <v>4839</v>
      </c>
      <c r="H247" s="65">
        <v>5391</v>
      </c>
      <c r="I247" s="65">
        <v>6109</v>
      </c>
      <c r="J247" s="65">
        <v>7563</v>
      </c>
      <c r="K247" s="65">
        <v>8917</v>
      </c>
      <c r="L247" s="65">
        <v>10121</v>
      </c>
      <c r="M247" s="66">
        <v>552</v>
      </c>
      <c r="N247" s="67">
        <v>451</v>
      </c>
      <c r="O247" s="60"/>
      <c r="R247" s="2"/>
      <c r="S247" s="2"/>
      <c r="T247" s="2"/>
      <c r="U247" s="2"/>
      <c r="V247" s="2"/>
      <c r="W247" s="2"/>
      <c r="X247" s="2"/>
      <c r="Y247" s="38"/>
    </row>
    <row r="248" spans="2:25" ht="15.75" customHeight="1" x14ac:dyDescent="0.3">
      <c r="B248" s="2"/>
      <c r="C248" s="61" t="s">
        <v>531</v>
      </c>
      <c r="D248" s="62" t="s">
        <v>555</v>
      </c>
      <c r="E248" s="63" t="s">
        <v>556</v>
      </c>
      <c r="F248" s="64">
        <v>4604</v>
      </c>
      <c r="G248" s="65">
        <v>4839</v>
      </c>
      <c r="H248" s="65">
        <v>5391</v>
      </c>
      <c r="I248" s="65">
        <v>6109</v>
      </c>
      <c r="J248" s="65">
        <v>7563</v>
      </c>
      <c r="K248" s="65">
        <v>8917</v>
      </c>
      <c r="L248" s="65">
        <v>10121</v>
      </c>
      <c r="M248" s="66">
        <v>552</v>
      </c>
      <c r="N248" s="67">
        <v>451</v>
      </c>
      <c r="O248" s="60"/>
      <c r="R248" s="2"/>
      <c r="S248" s="2"/>
      <c r="T248" s="2"/>
      <c r="U248" s="2"/>
      <c r="V248" s="2"/>
      <c r="W248" s="2"/>
      <c r="X248" s="2"/>
      <c r="Y248" s="38"/>
    </row>
    <row r="249" spans="2:25" ht="15.75" customHeight="1" x14ac:dyDescent="0.3">
      <c r="B249" s="2"/>
      <c r="C249" s="61" t="s">
        <v>531</v>
      </c>
      <c r="D249" s="62" t="s">
        <v>557</v>
      </c>
      <c r="E249" s="63" t="s">
        <v>558</v>
      </c>
      <c r="F249" s="64">
        <v>4604</v>
      </c>
      <c r="G249" s="65">
        <v>4839</v>
      </c>
      <c r="H249" s="65">
        <v>5391</v>
      </c>
      <c r="I249" s="65">
        <v>6109</v>
      </c>
      <c r="J249" s="65">
        <v>7563</v>
      </c>
      <c r="K249" s="65">
        <v>8917</v>
      </c>
      <c r="L249" s="65">
        <v>10121</v>
      </c>
      <c r="M249" s="66">
        <v>552</v>
      </c>
      <c r="N249" s="67">
        <v>451</v>
      </c>
      <c r="R249" s="2"/>
      <c r="S249" s="2"/>
      <c r="T249" s="2"/>
      <c r="U249" s="2"/>
      <c r="V249" s="2"/>
      <c r="W249" s="2"/>
      <c r="X249" s="2"/>
      <c r="Y249" s="38"/>
    </row>
    <row r="250" spans="2:25" ht="15.75" customHeight="1" x14ac:dyDescent="0.3">
      <c r="B250" s="2"/>
      <c r="C250" s="61" t="s">
        <v>531</v>
      </c>
      <c r="D250" s="62" t="s">
        <v>559</v>
      </c>
      <c r="E250" s="63" t="s">
        <v>560</v>
      </c>
      <c r="F250" s="64">
        <v>4604</v>
      </c>
      <c r="G250" s="65">
        <v>4839</v>
      </c>
      <c r="H250" s="65">
        <v>5391</v>
      </c>
      <c r="I250" s="65">
        <v>6109</v>
      </c>
      <c r="J250" s="65">
        <v>7563</v>
      </c>
      <c r="K250" s="65">
        <v>8917</v>
      </c>
      <c r="L250" s="65">
        <v>10121</v>
      </c>
      <c r="M250" s="66">
        <v>552</v>
      </c>
      <c r="N250" s="67">
        <v>451</v>
      </c>
      <c r="O250" s="60"/>
      <c r="R250" s="2"/>
      <c r="S250" s="2"/>
      <c r="T250" s="2"/>
      <c r="U250" s="2"/>
      <c r="V250" s="2"/>
      <c r="W250" s="2"/>
      <c r="X250" s="2"/>
      <c r="Y250" s="38"/>
    </row>
    <row r="251" spans="2:25" ht="15.75" customHeight="1" x14ac:dyDescent="0.3">
      <c r="B251" s="2"/>
      <c r="C251" s="61" t="s">
        <v>531</v>
      </c>
      <c r="D251" s="62" t="s">
        <v>561</v>
      </c>
      <c r="E251" s="63" t="s">
        <v>562</v>
      </c>
      <c r="F251" s="64">
        <v>6906</v>
      </c>
      <c r="G251" s="65">
        <v>7258.5</v>
      </c>
      <c r="H251" s="65">
        <v>8086.5</v>
      </c>
      <c r="I251" s="65">
        <v>9163.5</v>
      </c>
      <c r="J251" s="65">
        <v>11344.5</v>
      </c>
      <c r="K251" s="65">
        <v>13375.5</v>
      </c>
      <c r="L251" s="65">
        <v>15181.5</v>
      </c>
      <c r="M251" s="66">
        <v>828</v>
      </c>
      <c r="N251" s="67">
        <v>676.5</v>
      </c>
      <c r="O251" s="60"/>
      <c r="R251" s="2"/>
      <c r="S251" s="2"/>
      <c r="T251" s="2"/>
      <c r="U251" s="2"/>
      <c r="V251" s="2"/>
      <c r="W251" s="2"/>
      <c r="X251" s="2"/>
      <c r="Y251" s="38"/>
    </row>
    <row r="252" spans="2:25" ht="15.75" customHeight="1" x14ac:dyDescent="0.3">
      <c r="B252" s="2"/>
      <c r="C252" s="61" t="s">
        <v>531</v>
      </c>
      <c r="D252" s="62" t="s">
        <v>563</v>
      </c>
      <c r="E252" s="63" t="s">
        <v>564</v>
      </c>
      <c r="F252" s="64">
        <v>6906</v>
      </c>
      <c r="G252" s="65">
        <v>7258.5</v>
      </c>
      <c r="H252" s="65">
        <v>8086.5</v>
      </c>
      <c r="I252" s="65">
        <v>9163.5</v>
      </c>
      <c r="J252" s="65">
        <v>11344.5</v>
      </c>
      <c r="K252" s="65">
        <v>13375.5</v>
      </c>
      <c r="L252" s="65">
        <v>15181.5</v>
      </c>
      <c r="M252" s="66">
        <v>828</v>
      </c>
      <c r="N252" s="67">
        <v>676.5</v>
      </c>
      <c r="O252" s="60"/>
      <c r="R252" s="2"/>
      <c r="S252" s="2"/>
      <c r="T252" s="2"/>
      <c r="U252" s="2"/>
      <c r="V252" s="2"/>
      <c r="W252" s="2"/>
      <c r="X252" s="2"/>
      <c r="Y252" s="38"/>
    </row>
    <row r="253" spans="2:25" ht="15.75" customHeight="1" x14ac:dyDescent="0.3">
      <c r="B253" s="2"/>
      <c r="C253" s="61" t="s">
        <v>531</v>
      </c>
      <c r="D253" s="62" t="s">
        <v>565</v>
      </c>
      <c r="E253" s="63" t="s">
        <v>566</v>
      </c>
      <c r="F253" s="64">
        <v>6906</v>
      </c>
      <c r="G253" s="65">
        <v>7258.5</v>
      </c>
      <c r="H253" s="65">
        <v>8086.5</v>
      </c>
      <c r="I253" s="65">
        <v>9163.5</v>
      </c>
      <c r="J253" s="65">
        <v>11344.5</v>
      </c>
      <c r="K253" s="65">
        <v>13375.5</v>
      </c>
      <c r="L253" s="65">
        <v>15181.5</v>
      </c>
      <c r="M253" s="66">
        <v>828</v>
      </c>
      <c r="N253" s="67">
        <v>676.5</v>
      </c>
      <c r="O253" s="60"/>
      <c r="P253" s="2"/>
      <c r="Q253" s="2"/>
      <c r="R253" s="2"/>
      <c r="S253" s="2"/>
      <c r="T253" s="2"/>
      <c r="U253" s="2"/>
      <c r="V253" s="2"/>
      <c r="W253" s="2"/>
      <c r="X253" s="2"/>
      <c r="Y253" s="38"/>
    </row>
    <row r="254" spans="2:25" ht="15.75" customHeight="1" x14ac:dyDescent="0.3">
      <c r="B254" s="2"/>
      <c r="C254" s="61" t="s">
        <v>531</v>
      </c>
      <c r="D254" s="62" t="s">
        <v>567</v>
      </c>
      <c r="E254" s="63" t="s">
        <v>568</v>
      </c>
      <c r="F254" s="64">
        <v>4604</v>
      </c>
      <c r="G254" s="65">
        <v>4839</v>
      </c>
      <c r="H254" s="65">
        <v>5391</v>
      </c>
      <c r="I254" s="65">
        <v>6109</v>
      </c>
      <c r="J254" s="65">
        <v>7563</v>
      </c>
      <c r="K254" s="65">
        <v>8917</v>
      </c>
      <c r="L254" s="65">
        <v>10121</v>
      </c>
      <c r="M254" s="66">
        <v>552</v>
      </c>
      <c r="N254" s="67">
        <v>451</v>
      </c>
      <c r="O254" s="60"/>
      <c r="P254" s="2"/>
      <c r="Q254" s="2"/>
      <c r="R254" s="2"/>
      <c r="S254" s="2"/>
      <c r="T254" s="2"/>
      <c r="U254" s="2"/>
      <c r="V254" s="2"/>
      <c r="W254" s="2"/>
      <c r="X254" s="2"/>
      <c r="Y254" s="38"/>
    </row>
    <row r="255" spans="2:25" ht="15.75" customHeight="1" x14ac:dyDescent="0.3">
      <c r="B255" s="2"/>
      <c r="C255" s="61" t="s">
        <v>531</v>
      </c>
      <c r="D255" s="62" t="s">
        <v>569</v>
      </c>
      <c r="E255" s="63" t="s">
        <v>570</v>
      </c>
      <c r="F255" s="64">
        <v>4604</v>
      </c>
      <c r="G255" s="65">
        <v>4839</v>
      </c>
      <c r="H255" s="65">
        <v>5391</v>
      </c>
      <c r="I255" s="65">
        <v>6109</v>
      </c>
      <c r="J255" s="65">
        <v>7563</v>
      </c>
      <c r="K255" s="65">
        <v>8917</v>
      </c>
      <c r="L255" s="65">
        <v>10121</v>
      </c>
      <c r="M255" s="66">
        <v>552</v>
      </c>
      <c r="N255" s="67">
        <v>451</v>
      </c>
      <c r="O255" s="60"/>
      <c r="P255" s="2"/>
      <c r="Q255" s="2"/>
      <c r="R255" s="2"/>
      <c r="S255" s="2"/>
      <c r="T255" s="2"/>
      <c r="U255" s="2"/>
      <c r="V255" s="2"/>
      <c r="W255" s="2"/>
      <c r="X255" s="2"/>
      <c r="Y255" s="38"/>
    </row>
    <row r="256" spans="2:25" ht="15.75" customHeight="1" x14ac:dyDescent="0.3">
      <c r="B256" s="2"/>
      <c r="C256" s="61" t="s">
        <v>531</v>
      </c>
      <c r="D256" s="62" t="s">
        <v>571</v>
      </c>
      <c r="E256" s="63" t="s">
        <v>572</v>
      </c>
      <c r="F256" s="64">
        <v>4604</v>
      </c>
      <c r="G256" s="65">
        <v>4839</v>
      </c>
      <c r="H256" s="65">
        <v>5391</v>
      </c>
      <c r="I256" s="65">
        <v>6109</v>
      </c>
      <c r="J256" s="65">
        <v>7563</v>
      </c>
      <c r="K256" s="65">
        <v>8917</v>
      </c>
      <c r="L256" s="65">
        <v>10121</v>
      </c>
      <c r="M256" s="66">
        <v>552</v>
      </c>
      <c r="N256" s="67">
        <v>451</v>
      </c>
      <c r="O256" s="60"/>
      <c r="P256" s="2"/>
      <c r="Q256" s="2"/>
      <c r="R256" s="2"/>
      <c r="S256" s="2"/>
      <c r="T256" s="2"/>
      <c r="U256" s="2"/>
      <c r="V256" s="2"/>
      <c r="W256" s="2"/>
      <c r="X256" s="2"/>
      <c r="Y256" s="38"/>
    </row>
    <row r="257" spans="2:25" ht="15.75" customHeight="1" x14ac:dyDescent="0.3">
      <c r="B257" s="2"/>
      <c r="C257" s="61" t="s">
        <v>531</v>
      </c>
      <c r="D257" s="62" t="s">
        <v>573</v>
      </c>
      <c r="E257" s="63" t="s">
        <v>574</v>
      </c>
      <c r="F257" s="64">
        <v>4604</v>
      </c>
      <c r="G257" s="65">
        <v>4839</v>
      </c>
      <c r="H257" s="65">
        <v>5391</v>
      </c>
      <c r="I257" s="65">
        <v>6109</v>
      </c>
      <c r="J257" s="65">
        <v>7563</v>
      </c>
      <c r="K257" s="65">
        <v>8917</v>
      </c>
      <c r="L257" s="65">
        <v>10121</v>
      </c>
      <c r="M257" s="66">
        <v>552</v>
      </c>
      <c r="N257" s="67">
        <v>451</v>
      </c>
      <c r="O257" s="60"/>
      <c r="P257" s="2"/>
      <c r="Q257" s="2"/>
      <c r="R257" s="2"/>
      <c r="S257" s="2"/>
      <c r="T257" s="2"/>
      <c r="U257" s="2"/>
      <c r="V257" s="2"/>
      <c r="W257" s="2"/>
      <c r="X257" s="2"/>
      <c r="Y257" s="38"/>
    </row>
    <row r="258" spans="2:25" ht="15.75" customHeight="1" x14ac:dyDescent="0.3">
      <c r="B258" s="2"/>
      <c r="C258" s="61" t="s">
        <v>531</v>
      </c>
      <c r="D258" s="62" t="s">
        <v>575</v>
      </c>
      <c r="E258" s="63" t="s">
        <v>576</v>
      </c>
      <c r="F258" s="64">
        <v>4604</v>
      </c>
      <c r="G258" s="65">
        <v>4839</v>
      </c>
      <c r="H258" s="65">
        <v>5391</v>
      </c>
      <c r="I258" s="65">
        <v>6109</v>
      </c>
      <c r="J258" s="65">
        <v>7563</v>
      </c>
      <c r="K258" s="65">
        <v>8917</v>
      </c>
      <c r="L258" s="65">
        <v>10121</v>
      </c>
      <c r="M258" s="66">
        <v>552</v>
      </c>
      <c r="N258" s="67">
        <v>451</v>
      </c>
      <c r="O258" s="60"/>
      <c r="P258" s="3"/>
      <c r="Q258" s="3"/>
      <c r="R258" s="2"/>
      <c r="S258" s="2"/>
      <c r="T258" s="2"/>
      <c r="U258" s="2"/>
      <c r="V258" s="2"/>
      <c r="W258" s="2"/>
      <c r="X258" s="2"/>
      <c r="Y258" s="38"/>
    </row>
    <row r="259" spans="2:25" ht="15.75" customHeight="1" x14ac:dyDescent="0.3">
      <c r="B259" s="2"/>
      <c r="C259" s="61" t="s">
        <v>531</v>
      </c>
      <c r="D259" s="62" t="s">
        <v>577</v>
      </c>
      <c r="E259" s="63" t="s">
        <v>578</v>
      </c>
      <c r="F259" s="64">
        <v>4604</v>
      </c>
      <c r="G259" s="65">
        <v>4839</v>
      </c>
      <c r="H259" s="65">
        <v>5391</v>
      </c>
      <c r="I259" s="65">
        <v>6109</v>
      </c>
      <c r="J259" s="65">
        <v>7563</v>
      </c>
      <c r="K259" s="65">
        <v>8917</v>
      </c>
      <c r="L259" s="65">
        <v>10121</v>
      </c>
      <c r="M259" s="66">
        <v>552</v>
      </c>
      <c r="N259" s="67">
        <v>451</v>
      </c>
      <c r="O259" s="60"/>
      <c r="P259" s="2"/>
      <c r="Q259" s="2"/>
      <c r="R259" s="2"/>
      <c r="S259" s="2"/>
      <c r="T259" s="2"/>
      <c r="U259" s="2"/>
      <c r="V259" s="2"/>
      <c r="W259" s="2"/>
      <c r="X259" s="2"/>
      <c r="Y259" s="38"/>
    </row>
    <row r="260" spans="2:25" ht="15.75" customHeight="1" x14ac:dyDescent="0.3">
      <c r="B260" s="2"/>
      <c r="C260" s="61" t="s">
        <v>531</v>
      </c>
      <c r="D260" s="62" t="s">
        <v>579</v>
      </c>
      <c r="E260" s="63" t="s">
        <v>580</v>
      </c>
      <c r="F260" s="64">
        <v>6906</v>
      </c>
      <c r="G260" s="65">
        <v>7258.5</v>
      </c>
      <c r="H260" s="65">
        <v>8086.5</v>
      </c>
      <c r="I260" s="65">
        <v>9163.5</v>
      </c>
      <c r="J260" s="65">
        <v>11344.5</v>
      </c>
      <c r="K260" s="65">
        <v>13375.5</v>
      </c>
      <c r="L260" s="65">
        <v>15181.5</v>
      </c>
      <c r="M260" s="66">
        <v>828</v>
      </c>
      <c r="N260" s="67">
        <v>676.5</v>
      </c>
      <c r="O260" s="60"/>
      <c r="P260" s="2"/>
      <c r="Q260" s="2"/>
      <c r="R260" s="2"/>
      <c r="S260" s="2"/>
      <c r="T260" s="2"/>
      <c r="U260" s="2"/>
      <c r="V260" s="2"/>
      <c r="W260" s="2"/>
      <c r="X260" s="2"/>
      <c r="Y260" s="38"/>
    </row>
    <row r="261" spans="2:25" ht="15.75" customHeight="1" x14ac:dyDescent="0.3">
      <c r="B261" s="2"/>
      <c r="C261" s="61" t="s">
        <v>531</v>
      </c>
      <c r="D261" s="62" t="s">
        <v>581</v>
      </c>
      <c r="E261" s="63" t="s">
        <v>582</v>
      </c>
      <c r="F261" s="64">
        <v>4440</v>
      </c>
      <c r="G261" s="65">
        <v>4743</v>
      </c>
      <c r="H261" s="65">
        <v>5274</v>
      </c>
      <c r="I261" s="65">
        <v>6013</v>
      </c>
      <c r="J261" s="65">
        <v>7319</v>
      </c>
      <c r="K261" s="65">
        <v>8646</v>
      </c>
      <c r="L261" s="65">
        <v>9847</v>
      </c>
      <c r="M261" s="66">
        <v>550</v>
      </c>
      <c r="N261" s="67">
        <v>448</v>
      </c>
      <c r="O261" s="60"/>
      <c r="P261" s="2"/>
      <c r="Q261" s="2"/>
      <c r="R261" s="2"/>
      <c r="S261" s="2"/>
      <c r="T261" s="2"/>
      <c r="U261" s="2"/>
      <c r="V261" s="2"/>
      <c r="W261" s="2"/>
      <c r="X261" s="2"/>
      <c r="Y261" s="38"/>
    </row>
    <row r="262" spans="2:25" ht="15.75" customHeight="1" x14ac:dyDescent="0.3">
      <c r="B262" s="2"/>
      <c r="C262" s="61" t="s">
        <v>531</v>
      </c>
      <c r="D262" s="62" t="s">
        <v>583</v>
      </c>
      <c r="E262" s="63" t="s">
        <v>584</v>
      </c>
      <c r="F262" s="64">
        <v>4604</v>
      </c>
      <c r="G262" s="65">
        <v>4839</v>
      </c>
      <c r="H262" s="65">
        <v>5391</v>
      </c>
      <c r="I262" s="65">
        <v>6109</v>
      </c>
      <c r="J262" s="65">
        <v>7563</v>
      </c>
      <c r="K262" s="65">
        <v>8917</v>
      </c>
      <c r="L262" s="65">
        <v>10121</v>
      </c>
      <c r="M262" s="66">
        <v>552</v>
      </c>
      <c r="N262" s="67">
        <v>451</v>
      </c>
      <c r="O262" s="60"/>
      <c r="P262" s="2"/>
      <c r="Q262" s="2"/>
      <c r="R262" s="2"/>
      <c r="S262" s="2"/>
      <c r="T262" s="2"/>
      <c r="U262" s="2"/>
      <c r="V262" s="2"/>
      <c r="W262" s="2"/>
      <c r="X262" s="2"/>
      <c r="Y262" s="38"/>
    </row>
    <row r="263" spans="2:25" ht="15.75" customHeight="1" x14ac:dyDescent="0.3">
      <c r="B263" s="2"/>
      <c r="C263" s="61" t="s">
        <v>531</v>
      </c>
      <c r="D263" s="62" t="s">
        <v>585</v>
      </c>
      <c r="E263" s="63" t="s">
        <v>586</v>
      </c>
      <c r="F263" s="64">
        <v>4604</v>
      </c>
      <c r="G263" s="65">
        <v>4839</v>
      </c>
      <c r="H263" s="65">
        <v>5391</v>
      </c>
      <c r="I263" s="65">
        <v>6109</v>
      </c>
      <c r="J263" s="65">
        <v>7563</v>
      </c>
      <c r="K263" s="65">
        <v>8917</v>
      </c>
      <c r="L263" s="65">
        <v>10121</v>
      </c>
      <c r="M263" s="66">
        <v>552</v>
      </c>
      <c r="N263" s="67">
        <v>451</v>
      </c>
      <c r="O263" s="60"/>
      <c r="P263" s="2"/>
      <c r="Q263" s="2"/>
      <c r="R263" s="2"/>
      <c r="S263" s="2"/>
      <c r="T263" s="2"/>
      <c r="U263" s="2"/>
      <c r="V263" s="2"/>
      <c r="W263" s="2"/>
      <c r="X263" s="2"/>
      <c r="Y263" s="38"/>
    </row>
    <row r="264" spans="2:25" ht="15.75" customHeight="1" x14ac:dyDescent="0.3">
      <c r="B264" s="2"/>
      <c r="C264" s="61" t="s">
        <v>531</v>
      </c>
      <c r="D264" s="62" t="s">
        <v>587</v>
      </c>
      <c r="E264" s="63" t="s">
        <v>588</v>
      </c>
      <c r="F264" s="64">
        <v>4604</v>
      </c>
      <c r="G264" s="65">
        <v>4839</v>
      </c>
      <c r="H264" s="65">
        <v>5391</v>
      </c>
      <c r="I264" s="65">
        <v>6109</v>
      </c>
      <c r="J264" s="65">
        <v>7563</v>
      </c>
      <c r="K264" s="65">
        <v>8917</v>
      </c>
      <c r="L264" s="65">
        <v>10121</v>
      </c>
      <c r="M264" s="66">
        <v>552</v>
      </c>
      <c r="N264" s="67">
        <v>451</v>
      </c>
      <c r="O264" s="60"/>
      <c r="P264" s="2"/>
      <c r="Q264" s="2"/>
      <c r="R264" s="2"/>
      <c r="S264" s="2"/>
      <c r="T264" s="2"/>
      <c r="U264" s="2"/>
      <c r="V264" s="2"/>
      <c r="W264" s="2"/>
      <c r="X264" s="2"/>
      <c r="Y264" s="38"/>
    </row>
    <row r="265" spans="2:25" ht="15.75" customHeight="1" x14ac:dyDescent="0.3">
      <c r="B265" s="2"/>
      <c r="C265" s="61" t="s">
        <v>531</v>
      </c>
      <c r="D265" s="62" t="s">
        <v>589</v>
      </c>
      <c r="E265" s="63" t="s">
        <v>590</v>
      </c>
      <c r="F265" s="64">
        <v>6906</v>
      </c>
      <c r="G265" s="65">
        <v>7258.5</v>
      </c>
      <c r="H265" s="65">
        <v>8086.5</v>
      </c>
      <c r="I265" s="65">
        <v>9163.5</v>
      </c>
      <c r="J265" s="65">
        <v>11344.5</v>
      </c>
      <c r="K265" s="65">
        <v>13375.5</v>
      </c>
      <c r="L265" s="65">
        <v>15181.5</v>
      </c>
      <c r="M265" s="66">
        <v>828</v>
      </c>
      <c r="N265" s="67">
        <v>676.5</v>
      </c>
      <c r="O265" s="60"/>
      <c r="P265" s="2"/>
      <c r="Q265" s="2"/>
      <c r="R265" s="2"/>
      <c r="S265" s="2"/>
      <c r="T265" s="2"/>
      <c r="U265" s="2"/>
      <c r="V265" s="2"/>
      <c r="W265" s="2"/>
      <c r="X265" s="2"/>
      <c r="Y265" s="38"/>
    </row>
    <row r="266" spans="2:25" ht="15.75" customHeight="1" x14ac:dyDescent="0.3">
      <c r="B266" s="2"/>
      <c r="C266" s="61" t="s">
        <v>531</v>
      </c>
      <c r="D266" s="62" t="s">
        <v>591</v>
      </c>
      <c r="E266" s="63" t="s">
        <v>592</v>
      </c>
      <c r="F266" s="64">
        <v>4604</v>
      </c>
      <c r="G266" s="65">
        <v>4839</v>
      </c>
      <c r="H266" s="65">
        <v>5391</v>
      </c>
      <c r="I266" s="65">
        <v>6109</v>
      </c>
      <c r="J266" s="65">
        <v>7563</v>
      </c>
      <c r="K266" s="65">
        <v>8917</v>
      </c>
      <c r="L266" s="65">
        <v>10121</v>
      </c>
      <c r="M266" s="66">
        <v>552</v>
      </c>
      <c r="N266" s="67">
        <v>451</v>
      </c>
      <c r="O266" s="60"/>
      <c r="P266" s="2"/>
      <c r="Q266" s="2"/>
      <c r="R266" s="2"/>
      <c r="S266" s="2"/>
      <c r="T266" s="2"/>
      <c r="U266" s="2"/>
      <c r="V266" s="2"/>
      <c r="W266" s="2"/>
      <c r="X266" s="2"/>
      <c r="Y266" s="38"/>
    </row>
    <row r="267" spans="2:25" ht="15.75" customHeight="1" x14ac:dyDescent="0.3">
      <c r="B267" s="2"/>
      <c r="C267" s="61" t="s">
        <v>531</v>
      </c>
      <c r="D267" s="62" t="s">
        <v>593</v>
      </c>
      <c r="E267" s="63" t="s">
        <v>594</v>
      </c>
      <c r="F267" s="64">
        <v>4604</v>
      </c>
      <c r="G267" s="65">
        <v>4839</v>
      </c>
      <c r="H267" s="65">
        <v>5391</v>
      </c>
      <c r="I267" s="65">
        <v>6109</v>
      </c>
      <c r="J267" s="65">
        <v>7563</v>
      </c>
      <c r="K267" s="65">
        <v>8917</v>
      </c>
      <c r="L267" s="65">
        <v>10121</v>
      </c>
      <c r="M267" s="66">
        <v>552</v>
      </c>
      <c r="N267" s="67">
        <v>451</v>
      </c>
      <c r="O267" s="60"/>
      <c r="P267" s="2"/>
      <c r="Q267" s="2"/>
      <c r="R267" s="2"/>
      <c r="S267" s="2"/>
      <c r="T267" s="2"/>
      <c r="U267" s="2"/>
      <c r="V267" s="2"/>
      <c r="W267" s="2"/>
      <c r="X267" s="2"/>
      <c r="Y267" s="38"/>
    </row>
    <row r="268" spans="2:25" ht="15.75" customHeight="1" thickBot="1" x14ac:dyDescent="0.35">
      <c r="B268" s="2"/>
      <c r="C268" s="80" t="s">
        <v>531</v>
      </c>
      <c r="D268" s="81" t="s">
        <v>595</v>
      </c>
      <c r="E268" s="82" t="s">
        <v>596</v>
      </c>
      <c r="F268" s="64">
        <v>4604</v>
      </c>
      <c r="G268" s="65">
        <v>4839</v>
      </c>
      <c r="H268" s="65">
        <v>5391</v>
      </c>
      <c r="I268" s="65">
        <v>6109</v>
      </c>
      <c r="J268" s="65">
        <v>7563</v>
      </c>
      <c r="K268" s="65">
        <v>8917</v>
      </c>
      <c r="L268" s="65">
        <v>10121</v>
      </c>
      <c r="M268" s="66">
        <v>552</v>
      </c>
      <c r="N268" s="67">
        <v>451</v>
      </c>
      <c r="O268" s="60"/>
      <c r="P268" s="2"/>
      <c r="Q268" s="2"/>
      <c r="R268" s="2"/>
      <c r="S268" s="2"/>
      <c r="T268" s="2"/>
      <c r="U268" s="2"/>
      <c r="V268" s="2"/>
      <c r="W268" s="2"/>
      <c r="X268" s="2"/>
      <c r="Y268" s="38"/>
    </row>
    <row r="269" spans="2:25" ht="15.75" customHeight="1" x14ac:dyDescent="0.3">
      <c r="B269" s="2"/>
      <c r="C269" s="53" t="s">
        <v>597</v>
      </c>
      <c r="D269" s="54" t="s">
        <v>598</v>
      </c>
      <c r="E269" s="55" t="s">
        <v>48</v>
      </c>
      <c r="F269" s="56">
        <v>4956</v>
      </c>
      <c r="G269" s="57">
        <v>5291</v>
      </c>
      <c r="H269" s="57">
        <v>5863</v>
      </c>
      <c r="I269" s="57">
        <v>6489</v>
      </c>
      <c r="J269" s="57">
        <v>8253</v>
      </c>
      <c r="K269" s="57">
        <v>9418</v>
      </c>
      <c r="L269" s="57">
        <v>10641</v>
      </c>
      <c r="M269" s="58">
        <v>560</v>
      </c>
      <c r="N269" s="59">
        <v>466</v>
      </c>
      <c r="O269" s="60"/>
      <c r="P269" s="2"/>
      <c r="Q269" s="2"/>
      <c r="R269" s="2"/>
      <c r="S269" s="2"/>
      <c r="T269" s="2"/>
      <c r="U269" s="2"/>
      <c r="V269" s="2"/>
      <c r="W269" s="2"/>
      <c r="X269" s="2"/>
      <c r="Y269" s="38"/>
    </row>
    <row r="270" spans="2:25" ht="15.75" customHeight="1" x14ac:dyDescent="0.3">
      <c r="B270" s="2"/>
      <c r="C270" s="61" t="s">
        <v>597</v>
      </c>
      <c r="D270" s="62" t="s">
        <v>599</v>
      </c>
      <c r="E270" s="63" t="s">
        <v>600</v>
      </c>
      <c r="F270" s="64">
        <v>7434</v>
      </c>
      <c r="G270" s="65">
        <v>7936.5</v>
      </c>
      <c r="H270" s="65">
        <v>8794.5</v>
      </c>
      <c r="I270" s="65">
        <v>9733.5</v>
      </c>
      <c r="J270" s="65">
        <v>12379.5</v>
      </c>
      <c r="K270" s="65">
        <v>14127</v>
      </c>
      <c r="L270" s="65">
        <v>15961.5</v>
      </c>
      <c r="M270" s="66">
        <v>840</v>
      </c>
      <c r="N270" s="67">
        <v>699</v>
      </c>
      <c r="O270" s="60"/>
      <c r="P270" s="2"/>
      <c r="Q270" s="2"/>
      <c r="R270" s="2"/>
      <c r="S270" s="2"/>
      <c r="T270" s="2"/>
      <c r="U270" s="2"/>
      <c r="V270" s="2"/>
      <c r="W270" s="2"/>
      <c r="X270" s="2"/>
      <c r="Y270" s="38"/>
    </row>
    <row r="271" spans="2:25" ht="15.75" customHeight="1" x14ac:dyDescent="0.3">
      <c r="B271" s="2"/>
      <c r="C271" s="61" t="s">
        <v>597</v>
      </c>
      <c r="D271" s="62" t="s">
        <v>601</v>
      </c>
      <c r="E271" s="63" t="s">
        <v>602</v>
      </c>
      <c r="F271" s="64">
        <v>7434</v>
      </c>
      <c r="G271" s="65">
        <v>7936.5</v>
      </c>
      <c r="H271" s="65">
        <v>8794.5</v>
      </c>
      <c r="I271" s="65">
        <v>9733.5</v>
      </c>
      <c r="J271" s="65">
        <v>12379.5</v>
      </c>
      <c r="K271" s="65">
        <v>14127</v>
      </c>
      <c r="L271" s="65">
        <v>15961.5</v>
      </c>
      <c r="M271" s="66">
        <v>840</v>
      </c>
      <c r="N271" s="67">
        <v>699</v>
      </c>
      <c r="O271" s="60"/>
      <c r="P271" s="2"/>
      <c r="Q271" s="2"/>
      <c r="R271" s="2"/>
      <c r="S271" s="2"/>
      <c r="T271" s="2"/>
      <c r="U271" s="2"/>
      <c r="V271" s="2"/>
      <c r="W271" s="2"/>
      <c r="X271" s="2"/>
      <c r="Y271" s="38"/>
    </row>
    <row r="272" spans="2:25" ht="15.75" customHeight="1" x14ac:dyDescent="0.3">
      <c r="B272" s="2"/>
      <c r="C272" s="61" t="s">
        <v>597</v>
      </c>
      <c r="D272" s="62" t="s">
        <v>603</v>
      </c>
      <c r="E272" s="63" t="s">
        <v>604</v>
      </c>
      <c r="F272" s="64">
        <v>4956</v>
      </c>
      <c r="G272" s="65">
        <v>5291</v>
      </c>
      <c r="H272" s="65">
        <v>5863</v>
      </c>
      <c r="I272" s="65">
        <v>6489</v>
      </c>
      <c r="J272" s="65">
        <v>8253</v>
      </c>
      <c r="K272" s="65">
        <v>9418</v>
      </c>
      <c r="L272" s="65">
        <v>10641</v>
      </c>
      <c r="M272" s="66">
        <v>560</v>
      </c>
      <c r="N272" s="67">
        <v>466</v>
      </c>
      <c r="O272" s="60"/>
      <c r="P272" s="2"/>
      <c r="Q272" s="2"/>
      <c r="R272" s="2"/>
      <c r="S272" s="2"/>
      <c r="T272" s="2"/>
      <c r="U272" s="2"/>
      <c r="V272" s="2"/>
      <c r="W272" s="2"/>
      <c r="X272" s="2"/>
      <c r="Y272" s="38"/>
    </row>
    <row r="273" spans="2:25" ht="15.75" customHeight="1" x14ac:dyDescent="0.3">
      <c r="B273" s="2"/>
      <c r="C273" s="61" t="s">
        <v>597</v>
      </c>
      <c r="D273" s="62" t="s">
        <v>605</v>
      </c>
      <c r="E273" s="63" t="s">
        <v>606</v>
      </c>
      <c r="F273" s="64">
        <v>7434</v>
      </c>
      <c r="G273" s="65">
        <v>7936.5</v>
      </c>
      <c r="H273" s="65">
        <v>8794.5</v>
      </c>
      <c r="I273" s="65">
        <v>9733.5</v>
      </c>
      <c r="J273" s="65">
        <v>12379.5</v>
      </c>
      <c r="K273" s="65">
        <v>14127</v>
      </c>
      <c r="L273" s="65">
        <v>15961.5</v>
      </c>
      <c r="M273" s="66">
        <v>840</v>
      </c>
      <c r="N273" s="67">
        <v>699</v>
      </c>
      <c r="O273" s="60"/>
      <c r="P273" s="2"/>
      <c r="Q273" s="2"/>
      <c r="R273" s="2"/>
      <c r="S273" s="2"/>
      <c r="T273" s="2"/>
      <c r="U273" s="2"/>
      <c r="V273" s="2"/>
      <c r="W273" s="2"/>
      <c r="X273" s="2"/>
      <c r="Y273" s="38"/>
    </row>
    <row r="274" spans="2:25" ht="15.75" customHeight="1" x14ac:dyDescent="0.3">
      <c r="B274" s="2"/>
      <c r="C274" s="61" t="s">
        <v>597</v>
      </c>
      <c r="D274" s="62" t="s">
        <v>607</v>
      </c>
      <c r="E274" s="63" t="s">
        <v>608</v>
      </c>
      <c r="F274" s="64">
        <v>4604</v>
      </c>
      <c r="G274" s="65">
        <v>4839</v>
      </c>
      <c r="H274" s="65">
        <v>5391</v>
      </c>
      <c r="I274" s="65">
        <v>6109</v>
      </c>
      <c r="J274" s="65">
        <v>7563</v>
      </c>
      <c r="K274" s="65">
        <v>8917</v>
      </c>
      <c r="L274" s="65">
        <v>10121</v>
      </c>
      <c r="M274" s="66">
        <v>552</v>
      </c>
      <c r="N274" s="67">
        <v>451</v>
      </c>
      <c r="O274" s="60"/>
      <c r="P274" s="2"/>
      <c r="Q274" s="2"/>
      <c r="R274" s="2"/>
      <c r="S274" s="2"/>
      <c r="T274" s="2"/>
      <c r="U274" s="2"/>
      <c r="V274" s="2"/>
      <c r="W274" s="2"/>
      <c r="X274" s="2"/>
      <c r="Y274" s="38"/>
    </row>
    <row r="275" spans="2:25" ht="15.75" customHeight="1" x14ac:dyDescent="0.3">
      <c r="B275" s="2"/>
      <c r="C275" s="61" t="s">
        <v>597</v>
      </c>
      <c r="D275" s="62" t="s">
        <v>609</v>
      </c>
      <c r="E275" s="63" t="s">
        <v>610</v>
      </c>
      <c r="F275" s="64">
        <v>4956</v>
      </c>
      <c r="G275" s="65">
        <v>5291</v>
      </c>
      <c r="H275" s="65">
        <v>5863</v>
      </c>
      <c r="I275" s="65">
        <v>6489</v>
      </c>
      <c r="J275" s="65">
        <v>8253</v>
      </c>
      <c r="K275" s="65">
        <v>9418</v>
      </c>
      <c r="L275" s="65">
        <v>10641</v>
      </c>
      <c r="M275" s="66">
        <v>560</v>
      </c>
      <c r="N275" s="67">
        <v>466</v>
      </c>
      <c r="O275" s="60"/>
      <c r="P275" s="2"/>
      <c r="Q275" s="2"/>
      <c r="R275" s="2"/>
      <c r="S275" s="2"/>
      <c r="T275" s="2"/>
      <c r="U275" s="2"/>
      <c r="V275" s="2"/>
      <c r="W275" s="2"/>
      <c r="X275" s="2"/>
      <c r="Y275" s="38"/>
    </row>
    <row r="276" spans="2:25" ht="15.75" customHeight="1" x14ac:dyDescent="0.3">
      <c r="B276" s="2"/>
      <c r="C276" s="61" t="s">
        <v>597</v>
      </c>
      <c r="D276" s="62" t="s">
        <v>611</v>
      </c>
      <c r="E276" s="63" t="s">
        <v>612</v>
      </c>
      <c r="F276" s="64">
        <v>4956</v>
      </c>
      <c r="G276" s="65">
        <v>5291</v>
      </c>
      <c r="H276" s="65">
        <v>5863</v>
      </c>
      <c r="I276" s="65">
        <v>6489</v>
      </c>
      <c r="J276" s="65">
        <v>8253</v>
      </c>
      <c r="K276" s="65">
        <v>9418</v>
      </c>
      <c r="L276" s="65">
        <v>10641</v>
      </c>
      <c r="M276" s="66">
        <v>560</v>
      </c>
      <c r="N276" s="67">
        <v>466</v>
      </c>
      <c r="O276" s="60"/>
      <c r="P276" s="2"/>
      <c r="Q276" s="2"/>
      <c r="R276" s="2"/>
      <c r="S276" s="2"/>
      <c r="T276" s="2"/>
      <c r="U276" s="2"/>
      <c r="V276" s="2"/>
      <c r="W276" s="2"/>
      <c r="X276" s="2"/>
      <c r="Y276" s="38"/>
    </row>
    <row r="277" spans="2:25" ht="15.75" customHeight="1" x14ac:dyDescent="0.3">
      <c r="B277" s="2"/>
      <c r="C277" s="61" t="s">
        <v>597</v>
      </c>
      <c r="D277" s="62" t="s">
        <v>613</v>
      </c>
      <c r="E277" s="63" t="s">
        <v>614</v>
      </c>
      <c r="F277" s="64">
        <v>4956</v>
      </c>
      <c r="G277" s="65">
        <v>5291</v>
      </c>
      <c r="H277" s="65">
        <v>5863</v>
      </c>
      <c r="I277" s="65">
        <v>6489</v>
      </c>
      <c r="J277" s="65">
        <v>8253</v>
      </c>
      <c r="K277" s="65">
        <v>9418</v>
      </c>
      <c r="L277" s="65">
        <v>10641</v>
      </c>
      <c r="M277" s="66">
        <v>560</v>
      </c>
      <c r="N277" s="67">
        <v>466</v>
      </c>
      <c r="O277" s="60"/>
      <c r="P277" s="2"/>
      <c r="Q277" s="2"/>
      <c r="R277" s="2"/>
      <c r="S277" s="2"/>
      <c r="T277" s="2"/>
      <c r="U277" s="2"/>
      <c r="V277" s="2"/>
      <c r="W277" s="2"/>
      <c r="X277" s="2"/>
      <c r="Y277" s="38"/>
    </row>
    <row r="278" spans="2:25" ht="15.75" customHeight="1" x14ac:dyDescent="0.3">
      <c r="B278" s="2"/>
      <c r="C278" s="61" t="s">
        <v>597</v>
      </c>
      <c r="D278" s="62" t="s">
        <v>615</v>
      </c>
      <c r="E278" s="63" t="s">
        <v>616</v>
      </c>
      <c r="F278" s="64">
        <v>6906</v>
      </c>
      <c r="G278" s="65">
        <v>7258.5</v>
      </c>
      <c r="H278" s="65">
        <v>8086.5</v>
      </c>
      <c r="I278" s="65">
        <v>9163.5</v>
      </c>
      <c r="J278" s="65">
        <v>11344.5</v>
      </c>
      <c r="K278" s="65">
        <v>13375.5</v>
      </c>
      <c r="L278" s="65">
        <v>15181.5</v>
      </c>
      <c r="M278" s="66">
        <v>828</v>
      </c>
      <c r="N278" s="67">
        <v>676.5</v>
      </c>
      <c r="O278" s="60"/>
      <c r="P278" s="2"/>
      <c r="Q278" s="2"/>
      <c r="R278" s="2"/>
      <c r="S278" s="2"/>
      <c r="T278" s="2"/>
      <c r="U278" s="2"/>
      <c r="V278" s="2"/>
      <c r="W278" s="2"/>
      <c r="X278" s="2"/>
      <c r="Y278" s="38"/>
    </row>
    <row r="279" spans="2:25" ht="15.75" customHeight="1" x14ac:dyDescent="0.3">
      <c r="B279" s="2"/>
      <c r="C279" s="61" t="s">
        <v>597</v>
      </c>
      <c r="D279" s="62" t="s">
        <v>617</v>
      </c>
      <c r="E279" s="63" t="s">
        <v>618</v>
      </c>
      <c r="F279" s="64">
        <v>4956</v>
      </c>
      <c r="G279" s="65">
        <v>5291</v>
      </c>
      <c r="H279" s="65">
        <v>5863</v>
      </c>
      <c r="I279" s="65">
        <v>6489</v>
      </c>
      <c r="J279" s="65">
        <v>8253</v>
      </c>
      <c r="K279" s="65">
        <v>9418</v>
      </c>
      <c r="L279" s="65">
        <v>10641</v>
      </c>
      <c r="M279" s="66">
        <v>560</v>
      </c>
      <c r="N279" s="67">
        <v>466</v>
      </c>
      <c r="O279" s="60"/>
      <c r="P279" s="2"/>
      <c r="Q279" s="2"/>
      <c r="R279" s="2"/>
      <c r="S279" s="2"/>
      <c r="T279" s="2"/>
      <c r="U279" s="2"/>
      <c r="V279" s="2"/>
      <c r="W279" s="2"/>
      <c r="X279" s="2"/>
      <c r="Y279" s="38"/>
    </row>
    <row r="280" spans="2:25" ht="15.75" customHeight="1" thickBot="1" x14ac:dyDescent="0.35">
      <c r="B280" s="2"/>
      <c r="C280" s="68" t="s">
        <v>597</v>
      </c>
      <c r="D280" s="69" t="s">
        <v>619</v>
      </c>
      <c r="E280" s="70" t="s">
        <v>620</v>
      </c>
      <c r="F280" s="71">
        <v>4956</v>
      </c>
      <c r="G280" s="72">
        <v>5291</v>
      </c>
      <c r="H280" s="72">
        <v>5863</v>
      </c>
      <c r="I280" s="72">
        <v>6489</v>
      </c>
      <c r="J280" s="72">
        <v>8253</v>
      </c>
      <c r="K280" s="72">
        <v>9418</v>
      </c>
      <c r="L280" s="72">
        <v>10641</v>
      </c>
      <c r="M280" s="73">
        <v>560</v>
      </c>
      <c r="N280" s="74">
        <v>466</v>
      </c>
      <c r="O280" s="60"/>
      <c r="P280" s="2"/>
      <c r="Q280" s="2"/>
      <c r="R280" s="2"/>
      <c r="S280" s="2"/>
      <c r="T280" s="2"/>
      <c r="U280" s="2"/>
      <c r="V280" s="2"/>
      <c r="W280" s="2"/>
      <c r="X280" s="2"/>
      <c r="Y280" s="38"/>
    </row>
    <row r="281" spans="2:25" ht="15.75" customHeight="1" x14ac:dyDescent="0.3">
      <c r="B281" s="2"/>
      <c r="C281" s="53" t="s">
        <v>621</v>
      </c>
      <c r="D281" s="54" t="s">
        <v>622</v>
      </c>
      <c r="E281" s="55" t="s">
        <v>49</v>
      </c>
      <c r="F281" s="56">
        <v>4956</v>
      </c>
      <c r="G281" s="57">
        <v>5291</v>
      </c>
      <c r="H281" s="57">
        <v>5863</v>
      </c>
      <c r="I281" s="57">
        <v>6489</v>
      </c>
      <c r="J281" s="57">
        <v>8253</v>
      </c>
      <c r="K281" s="57">
        <v>9418</v>
      </c>
      <c r="L281" s="57">
        <v>10641</v>
      </c>
      <c r="M281" s="58">
        <v>560</v>
      </c>
      <c r="N281" s="59">
        <v>466</v>
      </c>
      <c r="O281" s="60"/>
      <c r="P281" s="2"/>
      <c r="Q281" s="2"/>
      <c r="R281" s="2"/>
      <c r="S281" s="2"/>
      <c r="T281" s="2"/>
      <c r="U281" s="2"/>
      <c r="V281" s="2"/>
      <c r="W281" s="2"/>
      <c r="X281" s="2"/>
      <c r="Y281" s="38"/>
    </row>
    <row r="282" spans="2:25" ht="15.75" customHeight="1" x14ac:dyDescent="0.3">
      <c r="B282" s="2"/>
      <c r="C282" s="61" t="s">
        <v>621</v>
      </c>
      <c r="D282" s="62" t="s">
        <v>623</v>
      </c>
      <c r="E282" s="63" t="s">
        <v>50</v>
      </c>
      <c r="F282" s="64">
        <v>4844</v>
      </c>
      <c r="G282" s="65">
        <v>5170</v>
      </c>
      <c r="H282" s="65">
        <v>5729</v>
      </c>
      <c r="I282" s="65">
        <v>6406</v>
      </c>
      <c r="J282" s="65">
        <v>8039</v>
      </c>
      <c r="K282" s="65">
        <v>9226</v>
      </c>
      <c r="L282" s="65">
        <v>10454</v>
      </c>
      <c r="M282" s="66">
        <v>562</v>
      </c>
      <c r="N282" s="67">
        <v>457</v>
      </c>
      <c r="O282" s="60"/>
      <c r="P282" s="2"/>
      <c r="Q282" s="2"/>
      <c r="R282" s="2"/>
      <c r="S282" s="2"/>
      <c r="T282" s="2"/>
      <c r="U282" s="2"/>
      <c r="V282" s="2"/>
      <c r="W282" s="2"/>
      <c r="X282" s="2"/>
      <c r="Y282" s="38"/>
    </row>
    <row r="283" spans="2:25" ht="15.75" customHeight="1" x14ac:dyDescent="0.3">
      <c r="B283" s="2"/>
      <c r="C283" s="61" t="s">
        <v>621</v>
      </c>
      <c r="D283" s="62" t="s">
        <v>624</v>
      </c>
      <c r="E283" s="63" t="s">
        <v>625</v>
      </c>
      <c r="F283" s="64">
        <v>7266</v>
      </c>
      <c r="G283" s="65">
        <v>7755</v>
      </c>
      <c r="H283" s="65">
        <v>8593.5</v>
      </c>
      <c r="I283" s="65">
        <v>9609</v>
      </c>
      <c r="J283" s="65">
        <v>12058.5</v>
      </c>
      <c r="K283" s="65">
        <v>13839</v>
      </c>
      <c r="L283" s="65">
        <v>15681</v>
      </c>
      <c r="M283" s="66">
        <v>843</v>
      </c>
      <c r="N283" s="67">
        <v>685.5</v>
      </c>
      <c r="O283" s="60"/>
      <c r="P283" s="2"/>
      <c r="Q283" s="2"/>
      <c r="R283" s="2"/>
      <c r="S283" s="2"/>
      <c r="T283" s="2"/>
      <c r="U283" s="2"/>
      <c r="V283" s="2"/>
      <c r="W283" s="2"/>
      <c r="X283" s="2"/>
      <c r="Y283" s="38"/>
    </row>
    <row r="284" spans="2:25" ht="15.75" customHeight="1" x14ac:dyDescent="0.3">
      <c r="B284" s="2"/>
      <c r="C284" s="61" t="s">
        <v>621</v>
      </c>
      <c r="D284" s="62" t="s">
        <v>626</v>
      </c>
      <c r="E284" s="63" t="s">
        <v>627</v>
      </c>
      <c r="F284" s="64">
        <v>7266</v>
      </c>
      <c r="G284" s="65">
        <v>7755</v>
      </c>
      <c r="H284" s="65">
        <v>8593.5</v>
      </c>
      <c r="I284" s="65">
        <v>9609</v>
      </c>
      <c r="J284" s="65">
        <v>12058.5</v>
      </c>
      <c r="K284" s="65">
        <v>13839</v>
      </c>
      <c r="L284" s="65">
        <v>15681</v>
      </c>
      <c r="M284" s="66">
        <v>843</v>
      </c>
      <c r="N284" s="67">
        <v>685.5</v>
      </c>
      <c r="O284" s="60"/>
      <c r="P284" s="2"/>
      <c r="Q284" s="2"/>
      <c r="R284" s="2"/>
      <c r="S284" s="2"/>
      <c r="T284" s="2"/>
      <c r="U284" s="2"/>
      <c r="V284" s="2"/>
      <c r="W284" s="2"/>
      <c r="X284" s="2"/>
      <c r="Y284" s="38"/>
    </row>
    <row r="285" spans="2:25" ht="15.75" customHeight="1" x14ac:dyDescent="0.3">
      <c r="B285" s="2"/>
      <c r="C285" s="61" t="s">
        <v>621</v>
      </c>
      <c r="D285" s="62" t="s">
        <v>628</v>
      </c>
      <c r="E285" s="63" t="s">
        <v>629</v>
      </c>
      <c r="F285" s="64">
        <v>7266</v>
      </c>
      <c r="G285" s="65">
        <v>7755</v>
      </c>
      <c r="H285" s="65">
        <v>8593.5</v>
      </c>
      <c r="I285" s="65">
        <v>9609</v>
      </c>
      <c r="J285" s="65">
        <v>12058.5</v>
      </c>
      <c r="K285" s="65">
        <v>13839</v>
      </c>
      <c r="L285" s="65">
        <v>15681</v>
      </c>
      <c r="M285" s="66">
        <v>843</v>
      </c>
      <c r="N285" s="67">
        <v>685.5</v>
      </c>
      <c r="O285" s="60"/>
      <c r="P285" s="2"/>
      <c r="Q285" s="2"/>
      <c r="R285" s="2"/>
      <c r="S285" s="2"/>
      <c r="T285" s="2"/>
      <c r="U285" s="2"/>
      <c r="V285" s="2"/>
      <c r="W285" s="2"/>
      <c r="X285" s="2"/>
      <c r="Y285" s="38"/>
    </row>
    <row r="286" spans="2:25" ht="15.75" customHeight="1" x14ac:dyDescent="0.3">
      <c r="B286" s="2"/>
      <c r="C286" s="61" t="s">
        <v>621</v>
      </c>
      <c r="D286" s="62" t="s">
        <v>630</v>
      </c>
      <c r="E286" s="63" t="s">
        <v>631</v>
      </c>
      <c r="F286" s="64">
        <v>7266</v>
      </c>
      <c r="G286" s="65">
        <v>7755</v>
      </c>
      <c r="H286" s="65">
        <v>8593.5</v>
      </c>
      <c r="I286" s="65">
        <v>9609</v>
      </c>
      <c r="J286" s="65">
        <v>12058.5</v>
      </c>
      <c r="K286" s="65">
        <v>13839</v>
      </c>
      <c r="L286" s="65">
        <v>15681</v>
      </c>
      <c r="M286" s="66">
        <v>843</v>
      </c>
      <c r="N286" s="67">
        <v>685.5</v>
      </c>
      <c r="O286" s="60"/>
      <c r="P286" s="2"/>
      <c r="Q286" s="2"/>
      <c r="R286" s="2"/>
      <c r="S286" s="2"/>
      <c r="T286" s="2"/>
      <c r="U286" s="2"/>
      <c r="V286" s="2"/>
      <c r="W286" s="2"/>
      <c r="X286" s="2"/>
      <c r="Y286" s="38"/>
    </row>
    <row r="287" spans="2:25" ht="15.75" customHeight="1" x14ac:dyDescent="0.3">
      <c r="B287" s="2"/>
      <c r="C287" s="61" t="s">
        <v>621</v>
      </c>
      <c r="D287" s="62" t="s">
        <v>632</v>
      </c>
      <c r="E287" s="63" t="s">
        <v>633</v>
      </c>
      <c r="F287" s="64">
        <v>7266</v>
      </c>
      <c r="G287" s="65">
        <v>7755</v>
      </c>
      <c r="H287" s="65">
        <v>8593.5</v>
      </c>
      <c r="I287" s="65">
        <v>9609</v>
      </c>
      <c r="J287" s="65">
        <v>12058.5</v>
      </c>
      <c r="K287" s="65">
        <v>13839</v>
      </c>
      <c r="L287" s="65">
        <v>15681</v>
      </c>
      <c r="M287" s="66">
        <v>843</v>
      </c>
      <c r="N287" s="67">
        <v>685.5</v>
      </c>
      <c r="O287" s="60"/>
      <c r="P287" s="2"/>
      <c r="Q287" s="2"/>
      <c r="R287" s="2"/>
      <c r="S287" s="2"/>
      <c r="T287" s="2"/>
      <c r="U287" s="2"/>
      <c r="V287" s="2"/>
      <c r="W287" s="2"/>
      <c r="X287" s="2"/>
      <c r="Y287" s="38"/>
    </row>
    <row r="288" spans="2:25" ht="15.75" customHeight="1" x14ac:dyDescent="0.3">
      <c r="B288" s="2"/>
      <c r="C288" s="61" t="s">
        <v>621</v>
      </c>
      <c r="D288" s="62" t="s">
        <v>634</v>
      </c>
      <c r="E288" s="63" t="s">
        <v>635</v>
      </c>
      <c r="F288" s="64">
        <v>4956</v>
      </c>
      <c r="G288" s="65">
        <v>5291</v>
      </c>
      <c r="H288" s="65">
        <v>5863</v>
      </c>
      <c r="I288" s="65">
        <v>6489</v>
      </c>
      <c r="J288" s="65">
        <v>8253</v>
      </c>
      <c r="K288" s="65">
        <v>9418</v>
      </c>
      <c r="L288" s="65">
        <v>10641</v>
      </c>
      <c r="M288" s="66">
        <v>560</v>
      </c>
      <c r="N288" s="67">
        <v>466</v>
      </c>
      <c r="O288" s="60"/>
      <c r="P288" s="2"/>
      <c r="Q288" s="2"/>
      <c r="R288" s="2"/>
      <c r="S288" s="2"/>
      <c r="T288" s="2"/>
      <c r="U288" s="2"/>
      <c r="V288" s="2"/>
      <c r="W288" s="2"/>
      <c r="X288" s="2"/>
      <c r="Y288" s="38"/>
    </row>
    <row r="289" spans="2:25" ht="15.75" customHeight="1" x14ac:dyDescent="0.3">
      <c r="B289" s="2"/>
      <c r="C289" s="61" t="s">
        <v>621</v>
      </c>
      <c r="D289" s="62" t="s">
        <v>636</v>
      </c>
      <c r="E289" s="63" t="s">
        <v>637</v>
      </c>
      <c r="F289" s="64">
        <v>5413</v>
      </c>
      <c r="G289" s="65">
        <v>6042</v>
      </c>
      <c r="H289" s="65">
        <v>6748</v>
      </c>
      <c r="I289" s="65">
        <v>8043</v>
      </c>
      <c r="J289" s="65">
        <v>9379</v>
      </c>
      <c r="K289" s="65">
        <v>11204</v>
      </c>
      <c r="L289" s="65">
        <v>12568</v>
      </c>
      <c r="M289" s="66">
        <v>577</v>
      </c>
      <c r="N289" s="67">
        <v>471</v>
      </c>
      <c r="O289" s="60"/>
      <c r="P289" s="2"/>
      <c r="Q289" s="2"/>
      <c r="R289" s="2"/>
      <c r="S289" s="2"/>
      <c r="T289" s="2"/>
      <c r="U289" s="2"/>
      <c r="V289" s="2"/>
      <c r="W289" s="2"/>
      <c r="X289" s="2"/>
      <c r="Y289" s="38"/>
    </row>
    <row r="290" spans="2:25" ht="15.75" customHeight="1" x14ac:dyDescent="0.3">
      <c r="B290" s="2"/>
      <c r="C290" s="61" t="s">
        <v>621</v>
      </c>
      <c r="D290" s="62" t="s">
        <v>638</v>
      </c>
      <c r="E290" s="63" t="s">
        <v>639</v>
      </c>
      <c r="F290" s="64">
        <v>4844</v>
      </c>
      <c r="G290" s="65">
        <v>5170</v>
      </c>
      <c r="H290" s="65">
        <v>5729</v>
      </c>
      <c r="I290" s="65">
        <v>6406</v>
      </c>
      <c r="J290" s="65">
        <v>8039</v>
      </c>
      <c r="K290" s="65">
        <v>9226</v>
      </c>
      <c r="L290" s="65">
        <v>10454</v>
      </c>
      <c r="M290" s="66">
        <v>562</v>
      </c>
      <c r="N290" s="67">
        <v>457</v>
      </c>
      <c r="O290" s="60"/>
      <c r="P290" s="2"/>
      <c r="Q290" s="2"/>
      <c r="R290" s="2"/>
      <c r="S290" s="2"/>
      <c r="T290" s="2"/>
      <c r="U290" s="2"/>
      <c r="V290" s="2"/>
      <c r="W290" s="2"/>
      <c r="X290" s="2"/>
      <c r="Y290" s="38"/>
    </row>
    <row r="291" spans="2:25" ht="15.75" customHeight="1" x14ac:dyDescent="0.3">
      <c r="B291" s="2"/>
      <c r="C291" s="61" t="s">
        <v>621</v>
      </c>
      <c r="D291" s="62" t="s">
        <v>640</v>
      </c>
      <c r="E291" s="63" t="s">
        <v>53</v>
      </c>
      <c r="F291" s="64">
        <v>5413</v>
      </c>
      <c r="G291" s="65">
        <v>6042</v>
      </c>
      <c r="H291" s="65">
        <v>6748</v>
      </c>
      <c r="I291" s="65">
        <v>8043</v>
      </c>
      <c r="J291" s="65">
        <v>9379</v>
      </c>
      <c r="K291" s="65">
        <v>11204</v>
      </c>
      <c r="L291" s="65">
        <v>12568</v>
      </c>
      <c r="M291" s="66">
        <v>577</v>
      </c>
      <c r="N291" s="67">
        <v>471</v>
      </c>
      <c r="O291" s="60"/>
      <c r="P291" s="2"/>
      <c r="Q291" s="2"/>
      <c r="R291" s="2"/>
      <c r="S291" s="2"/>
      <c r="T291" s="2"/>
      <c r="U291" s="2"/>
      <c r="V291" s="2"/>
      <c r="W291" s="2"/>
      <c r="X291" s="2"/>
      <c r="Y291" s="38"/>
    </row>
    <row r="292" spans="2:25" ht="15.75" customHeight="1" x14ac:dyDescent="0.3">
      <c r="B292" s="2"/>
      <c r="C292" s="61" t="s">
        <v>621</v>
      </c>
      <c r="D292" s="62" t="s">
        <v>641</v>
      </c>
      <c r="E292" s="63" t="s">
        <v>642</v>
      </c>
      <c r="F292" s="64">
        <v>8119.5</v>
      </c>
      <c r="G292" s="65">
        <v>9063</v>
      </c>
      <c r="H292" s="65">
        <v>10122</v>
      </c>
      <c r="I292" s="65">
        <v>12064.5</v>
      </c>
      <c r="J292" s="65">
        <v>14068.5</v>
      </c>
      <c r="K292" s="65">
        <v>16806</v>
      </c>
      <c r="L292" s="65">
        <v>18852</v>
      </c>
      <c r="M292" s="66">
        <v>865.5</v>
      </c>
      <c r="N292" s="67">
        <v>706.5</v>
      </c>
      <c r="O292" s="60"/>
      <c r="P292" s="2"/>
      <c r="Q292" s="2"/>
      <c r="R292" s="2"/>
      <c r="S292" s="2"/>
      <c r="T292" s="2"/>
      <c r="U292" s="2"/>
      <c r="V292" s="2"/>
      <c r="W292" s="2"/>
      <c r="X292" s="2"/>
      <c r="Y292" s="38"/>
    </row>
    <row r="293" spans="2:25" ht="15.75" customHeight="1" x14ac:dyDescent="0.3">
      <c r="B293" s="2"/>
      <c r="C293" s="61" t="s">
        <v>621</v>
      </c>
      <c r="D293" s="62" t="s">
        <v>643</v>
      </c>
      <c r="E293" s="63" t="s">
        <v>644</v>
      </c>
      <c r="F293" s="64">
        <v>8119.5</v>
      </c>
      <c r="G293" s="65">
        <v>9063</v>
      </c>
      <c r="H293" s="65">
        <v>10122</v>
      </c>
      <c r="I293" s="65">
        <v>12064.5</v>
      </c>
      <c r="J293" s="65">
        <v>14068.5</v>
      </c>
      <c r="K293" s="65">
        <v>16806</v>
      </c>
      <c r="L293" s="65">
        <v>18852</v>
      </c>
      <c r="M293" s="66">
        <v>865.5</v>
      </c>
      <c r="N293" s="67">
        <v>706.5</v>
      </c>
      <c r="O293" s="60"/>
      <c r="P293" s="2"/>
      <c r="Q293" s="2"/>
      <c r="R293" s="2"/>
      <c r="S293" s="2"/>
      <c r="T293" s="2"/>
      <c r="U293" s="2"/>
      <c r="V293" s="2"/>
      <c r="W293" s="2"/>
      <c r="X293" s="2"/>
      <c r="Y293" s="38"/>
    </row>
    <row r="294" spans="2:25" ht="15.75" customHeight="1" x14ac:dyDescent="0.3">
      <c r="B294" s="2"/>
      <c r="C294" s="61" t="s">
        <v>621</v>
      </c>
      <c r="D294" s="62" t="s">
        <v>645</v>
      </c>
      <c r="E294" s="63" t="s">
        <v>646</v>
      </c>
      <c r="F294" s="64">
        <v>8119.5</v>
      </c>
      <c r="G294" s="65">
        <v>9063</v>
      </c>
      <c r="H294" s="65">
        <v>10122</v>
      </c>
      <c r="I294" s="65">
        <v>12064.5</v>
      </c>
      <c r="J294" s="65">
        <v>14068.5</v>
      </c>
      <c r="K294" s="65">
        <v>16806</v>
      </c>
      <c r="L294" s="65">
        <v>18852</v>
      </c>
      <c r="M294" s="66">
        <v>865.5</v>
      </c>
      <c r="N294" s="67">
        <v>706.5</v>
      </c>
      <c r="O294" s="60"/>
      <c r="P294" s="2"/>
      <c r="Q294" s="2"/>
      <c r="R294" s="2"/>
      <c r="S294" s="2"/>
      <c r="T294" s="2"/>
      <c r="U294" s="2"/>
      <c r="V294" s="2"/>
      <c r="W294" s="2"/>
      <c r="X294" s="2"/>
      <c r="Y294" s="38"/>
    </row>
    <row r="295" spans="2:25" ht="15.75" customHeight="1" x14ac:dyDescent="0.3">
      <c r="B295" s="2"/>
      <c r="C295" s="61" t="s">
        <v>621</v>
      </c>
      <c r="D295" s="62" t="s">
        <v>647</v>
      </c>
      <c r="E295" s="63" t="s">
        <v>648</v>
      </c>
      <c r="F295" s="64">
        <v>5413</v>
      </c>
      <c r="G295" s="65">
        <v>6042</v>
      </c>
      <c r="H295" s="65">
        <v>6748</v>
      </c>
      <c r="I295" s="65">
        <v>8043</v>
      </c>
      <c r="J295" s="65">
        <v>9379</v>
      </c>
      <c r="K295" s="65">
        <v>11204</v>
      </c>
      <c r="L295" s="65">
        <v>12568</v>
      </c>
      <c r="M295" s="66">
        <v>577</v>
      </c>
      <c r="N295" s="67">
        <v>471</v>
      </c>
      <c r="O295" s="60"/>
      <c r="P295" s="2"/>
      <c r="Q295" s="2"/>
      <c r="R295" s="2"/>
      <c r="S295" s="2"/>
      <c r="T295" s="2"/>
      <c r="U295" s="2"/>
      <c r="V295" s="2"/>
      <c r="W295" s="2"/>
      <c r="X295" s="2"/>
      <c r="Y295" s="38"/>
    </row>
    <row r="296" spans="2:25" ht="15.75" customHeight="1" x14ac:dyDescent="0.3">
      <c r="B296" s="2"/>
      <c r="C296" s="61" t="s">
        <v>621</v>
      </c>
      <c r="D296" s="62" t="s">
        <v>649</v>
      </c>
      <c r="E296" s="63" t="s">
        <v>650</v>
      </c>
      <c r="F296" s="64">
        <v>8119.5</v>
      </c>
      <c r="G296" s="65">
        <v>9063</v>
      </c>
      <c r="H296" s="65">
        <v>10122</v>
      </c>
      <c r="I296" s="65">
        <v>12064.5</v>
      </c>
      <c r="J296" s="65">
        <v>14068.5</v>
      </c>
      <c r="K296" s="65">
        <v>16806</v>
      </c>
      <c r="L296" s="65">
        <v>18852</v>
      </c>
      <c r="M296" s="66">
        <v>865.5</v>
      </c>
      <c r="N296" s="67">
        <v>706.5</v>
      </c>
      <c r="O296" s="60"/>
      <c r="P296" s="2"/>
      <c r="Q296" s="2"/>
      <c r="R296" s="2"/>
      <c r="S296" s="2"/>
      <c r="T296" s="2"/>
      <c r="U296" s="2"/>
      <c r="V296" s="2"/>
      <c r="W296" s="2"/>
      <c r="X296" s="2"/>
      <c r="Y296" s="38"/>
    </row>
    <row r="297" spans="2:25" ht="15.75" customHeight="1" x14ac:dyDescent="0.3">
      <c r="B297" s="2"/>
      <c r="C297" s="61" t="s">
        <v>621</v>
      </c>
      <c r="D297" s="62" t="s">
        <v>651</v>
      </c>
      <c r="E297" s="63" t="s">
        <v>652</v>
      </c>
      <c r="F297" s="64">
        <v>5413</v>
      </c>
      <c r="G297" s="65">
        <v>6042</v>
      </c>
      <c r="H297" s="65">
        <v>6748</v>
      </c>
      <c r="I297" s="65">
        <v>8043</v>
      </c>
      <c r="J297" s="65">
        <v>9379</v>
      </c>
      <c r="K297" s="65">
        <v>11204</v>
      </c>
      <c r="L297" s="65">
        <v>12568</v>
      </c>
      <c r="M297" s="66">
        <v>577</v>
      </c>
      <c r="N297" s="67">
        <v>471</v>
      </c>
      <c r="O297" s="60"/>
      <c r="P297" s="2"/>
      <c r="Q297" s="2"/>
      <c r="R297" s="2"/>
      <c r="S297" s="2"/>
      <c r="T297" s="2"/>
      <c r="U297" s="2"/>
      <c r="V297" s="2"/>
      <c r="W297" s="2"/>
      <c r="X297" s="2"/>
      <c r="Y297" s="38"/>
    </row>
    <row r="298" spans="2:25" ht="15.75" customHeight="1" x14ac:dyDescent="0.3">
      <c r="B298" s="2"/>
      <c r="C298" s="61" t="s">
        <v>621</v>
      </c>
      <c r="D298" s="62" t="s">
        <v>653</v>
      </c>
      <c r="E298" s="63" t="s">
        <v>654</v>
      </c>
      <c r="F298" s="64">
        <v>5413</v>
      </c>
      <c r="G298" s="65">
        <v>6042</v>
      </c>
      <c r="H298" s="65">
        <v>6748</v>
      </c>
      <c r="I298" s="65">
        <v>8043</v>
      </c>
      <c r="J298" s="65">
        <v>9379</v>
      </c>
      <c r="K298" s="65">
        <v>11204</v>
      </c>
      <c r="L298" s="65">
        <v>12568</v>
      </c>
      <c r="M298" s="66">
        <v>577</v>
      </c>
      <c r="N298" s="67">
        <v>471</v>
      </c>
      <c r="O298" s="60"/>
      <c r="P298" s="2"/>
      <c r="Q298" s="2"/>
      <c r="R298" s="2"/>
      <c r="S298" s="2"/>
      <c r="T298" s="2"/>
      <c r="U298" s="2"/>
      <c r="V298" s="2"/>
      <c r="W298" s="2"/>
      <c r="X298" s="2"/>
      <c r="Y298" s="38"/>
    </row>
    <row r="299" spans="2:25" ht="15.75" customHeight="1" x14ac:dyDescent="0.3">
      <c r="B299" s="2"/>
      <c r="C299" s="61" t="s">
        <v>621</v>
      </c>
      <c r="D299" s="62" t="s">
        <v>655</v>
      </c>
      <c r="E299" s="63" t="s">
        <v>656</v>
      </c>
      <c r="F299" s="64">
        <v>4844</v>
      </c>
      <c r="G299" s="65">
        <v>5170</v>
      </c>
      <c r="H299" s="65">
        <v>5729</v>
      </c>
      <c r="I299" s="65">
        <v>6406</v>
      </c>
      <c r="J299" s="65">
        <v>8039</v>
      </c>
      <c r="K299" s="65">
        <v>9226</v>
      </c>
      <c r="L299" s="65">
        <v>10454</v>
      </c>
      <c r="M299" s="66">
        <v>562</v>
      </c>
      <c r="N299" s="67">
        <v>457</v>
      </c>
      <c r="O299" s="60"/>
      <c r="P299" s="2"/>
      <c r="Q299" s="2"/>
      <c r="R299" s="2"/>
      <c r="S299" s="2"/>
      <c r="T299" s="2"/>
      <c r="U299" s="2"/>
      <c r="V299" s="2"/>
      <c r="W299" s="2"/>
      <c r="X299" s="2"/>
      <c r="Y299" s="38"/>
    </row>
    <row r="300" spans="2:25" ht="15.75" customHeight="1" x14ac:dyDescent="0.3">
      <c r="B300" s="2"/>
      <c r="C300" s="61" t="s">
        <v>621</v>
      </c>
      <c r="D300" s="62" t="s">
        <v>657</v>
      </c>
      <c r="E300" s="63" t="s">
        <v>658</v>
      </c>
      <c r="F300" s="64">
        <v>4956</v>
      </c>
      <c r="G300" s="65">
        <v>5291</v>
      </c>
      <c r="H300" s="65">
        <v>5863</v>
      </c>
      <c r="I300" s="65">
        <v>6489</v>
      </c>
      <c r="J300" s="65">
        <v>8253</v>
      </c>
      <c r="K300" s="65">
        <v>9418</v>
      </c>
      <c r="L300" s="65">
        <v>10641</v>
      </c>
      <c r="M300" s="66">
        <v>560</v>
      </c>
      <c r="N300" s="67">
        <v>466</v>
      </c>
      <c r="O300" s="60"/>
      <c r="P300" s="2"/>
      <c r="Q300" s="2"/>
      <c r="R300" s="2"/>
      <c r="S300" s="2"/>
      <c r="T300" s="2"/>
      <c r="U300" s="2"/>
      <c r="V300" s="2"/>
      <c r="W300" s="2"/>
      <c r="X300" s="2"/>
      <c r="Y300" s="38"/>
    </row>
    <row r="301" spans="2:25" ht="15.75" customHeight="1" x14ac:dyDescent="0.3">
      <c r="B301" s="2"/>
      <c r="C301" s="61" t="s">
        <v>621</v>
      </c>
      <c r="D301" s="62" t="s">
        <v>659</v>
      </c>
      <c r="E301" s="63" t="s">
        <v>660</v>
      </c>
      <c r="F301" s="64">
        <v>4844</v>
      </c>
      <c r="G301" s="65">
        <v>5170</v>
      </c>
      <c r="H301" s="65">
        <v>5729</v>
      </c>
      <c r="I301" s="65">
        <v>6406</v>
      </c>
      <c r="J301" s="65">
        <v>8039</v>
      </c>
      <c r="K301" s="65">
        <v>9226</v>
      </c>
      <c r="L301" s="65">
        <v>10454</v>
      </c>
      <c r="M301" s="66">
        <v>562</v>
      </c>
      <c r="N301" s="67">
        <v>457</v>
      </c>
      <c r="O301" s="60"/>
      <c r="P301" s="2"/>
      <c r="Q301" s="2"/>
      <c r="R301" s="2"/>
      <c r="S301" s="2"/>
      <c r="T301" s="2"/>
      <c r="U301" s="2"/>
      <c r="V301" s="2"/>
      <c r="W301" s="2"/>
      <c r="X301" s="2"/>
      <c r="Y301" s="38"/>
    </row>
    <row r="302" spans="2:25" ht="15.75" customHeight="1" x14ac:dyDescent="0.3">
      <c r="B302" s="2"/>
      <c r="C302" s="61" t="s">
        <v>621</v>
      </c>
      <c r="D302" s="62" t="s">
        <v>661</v>
      </c>
      <c r="E302" s="63" t="s">
        <v>662</v>
      </c>
      <c r="F302" s="64">
        <v>4844</v>
      </c>
      <c r="G302" s="65">
        <v>5170</v>
      </c>
      <c r="H302" s="65">
        <v>5729</v>
      </c>
      <c r="I302" s="65">
        <v>6406</v>
      </c>
      <c r="J302" s="65">
        <v>8039</v>
      </c>
      <c r="K302" s="65">
        <v>9226</v>
      </c>
      <c r="L302" s="65">
        <v>10454</v>
      </c>
      <c r="M302" s="66">
        <v>562</v>
      </c>
      <c r="N302" s="67">
        <v>457</v>
      </c>
      <c r="O302" s="60"/>
      <c r="P302" s="2"/>
      <c r="Q302" s="2"/>
      <c r="R302" s="2"/>
      <c r="S302" s="2"/>
      <c r="T302" s="2"/>
      <c r="U302" s="2"/>
      <c r="V302" s="2"/>
      <c r="W302" s="2"/>
      <c r="X302" s="2"/>
      <c r="Y302" s="38"/>
    </row>
    <row r="303" spans="2:25" ht="15.75" customHeight="1" x14ac:dyDescent="0.3">
      <c r="B303" s="2"/>
      <c r="C303" s="61" t="s">
        <v>621</v>
      </c>
      <c r="D303" s="62" t="s">
        <v>663</v>
      </c>
      <c r="E303" s="63" t="s">
        <v>664</v>
      </c>
      <c r="F303" s="64">
        <v>4844</v>
      </c>
      <c r="G303" s="65">
        <v>5170</v>
      </c>
      <c r="H303" s="65">
        <v>5729</v>
      </c>
      <c r="I303" s="65">
        <v>6406</v>
      </c>
      <c r="J303" s="65">
        <v>8039</v>
      </c>
      <c r="K303" s="65">
        <v>9226</v>
      </c>
      <c r="L303" s="65">
        <v>10454</v>
      </c>
      <c r="M303" s="66">
        <v>562</v>
      </c>
      <c r="N303" s="67">
        <v>457</v>
      </c>
      <c r="O303" s="60"/>
      <c r="P303" s="2"/>
      <c r="Q303" s="2"/>
      <c r="R303" s="2"/>
      <c r="S303" s="2"/>
      <c r="T303" s="2"/>
      <c r="U303" s="2"/>
      <c r="V303" s="2"/>
      <c r="W303" s="2"/>
      <c r="X303" s="2"/>
      <c r="Y303" s="38"/>
    </row>
    <row r="304" spans="2:25" ht="15.75" customHeight="1" x14ac:dyDescent="0.3">
      <c r="B304" s="2"/>
      <c r="C304" s="61" t="s">
        <v>621</v>
      </c>
      <c r="D304" s="62" t="s">
        <v>665</v>
      </c>
      <c r="E304" s="63" t="s">
        <v>666</v>
      </c>
      <c r="F304" s="64">
        <v>7434</v>
      </c>
      <c r="G304" s="65">
        <v>7936.5</v>
      </c>
      <c r="H304" s="65">
        <v>8794.5</v>
      </c>
      <c r="I304" s="65">
        <v>9733.5</v>
      </c>
      <c r="J304" s="65">
        <v>12379.5</v>
      </c>
      <c r="K304" s="65">
        <v>14127</v>
      </c>
      <c r="L304" s="65">
        <v>15961.5</v>
      </c>
      <c r="M304" s="66">
        <v>840</v>
      </c>
      <c r="N304" s="67">
        <v>699</v>
      </c>
      <c r="O304" s="60"/>
      <c r="P304" s="2"/>
      <c r="Q304" s="2"/>
      <c r="R304" s="2"/>
      <c r="S304" s="2"/>
      <c r="T304" s="2"/>
      <c r="U304" s="2"/>
      <c r="V304" s="2"/>
      <c r="W304" s="2"/>
      <c r="X304" s="2"/>
      <c r="Y304" s="38"/>
    </row>
    <row r="305" spans="2:25" ht="15.75" customHeight="1" x14ac:dyDescent="0.3">
      <c r="B305" s="2"/>
      <c r="C305" s="61" t="s">
        <v>621</v>
      </c>
      <c r="D305" s="62" t="s">
        <v>667</v>
      </c>
      <c r="E305" s="63" t="s">
        <v>668</v>
      </c>
      <c r="F305" s="64">
        <v>4956</v>
      </c>
      <c r="G305" s="65">
        <v>5291</v>
      </c>
      <c r="H305" s="65">
        <v>5863</v>
      </c>
      <c r="I305" s="65">
        <v>6489</v>
      </c>
      <c r="J305" s="65">
        <v>8253</v>
      </c>
      <c r="K305" s="65">
        <v>9418</v>
      </c>
      <c r="L305" s="65">
        <v>10641</v>
      </c>
      <c r="M305" s="66">
        <v>560</v>
      </c>
      <c r="N305" s="67">
        <v>466</v>
      </c>
      <c r="O305" s="60"/>
      <c r="P305" s="2"/>
      <c r="Q305" s="2"/>
      <c r="R305" s="2"/>
      <c r="S305" s="2"/>
      <c r="T305" s="2"/>
      <c r="U305" s="2"/>
      <c r="V305" s="2"/>
      <c r="W305" s="2"/>
      <c r="X305" s="2"/>
      <c r="Y305" s="38"/>
    </row>
    <row r="306" spans="2:25" ht="15.75" customHeight="1" x14ac:dyDescent="0.3">
      <c r="B306" s="2"/>
      <c r="C306" s="61" t="s">
        <v>621</v>
      </c>
      <c r="D306" s="62" t="s">
        <v>669</v>
      </c>
      <c r="E306" s="63" t="s">
        <v>670</v>
      </c>
      <c r="F306" s="64">
        <v>4844</v>
      </c>
      <c r="G306" s="65">
        <v>5170</v>
      </c>
      <c r="H306" s="65">
        <v>5729</v>
      </c>
      <c r="I306" s="65">
        <v>6406</v>
      </c>
      <c r="J306" s="65">
        <v>8039</v>
      </c>
      <c r="K306" s="65">
        <v>9226</v>
      </c>
      <c r="L306" s="65">
        <v>10454</v>
      </c>
      <c r="M306" s="66">
        <v>562</v>
      </c>
      <c r="N306" s="67">
        <v>457</v>
      </c>
      <c r="O306" s="60"/>
      <c r="P306" s="2"/>
      <c r="Q306" s="2"/>
      <c r="R306" s="2"/>
      <c r="S306" s="2"/>
      <c r="T306" s="2"/>
      <c r="U306" s="2"/>
      <c r="V306" s="2"/>
      <c r="W306" s="2"/>
      <c r="X306" s="2"/>
      <c r="Y306" s="38"/>
    </row>
    <row r="307" spans="2:25" ht="15.75" customHeight="1" x14ac:dyDescent="0.3">
      <c r="B307" s="2"/>
      <c r="C307" s="61" t="s">
        <v>621</v>
      </c>
      <c r="D307" s="62" t="s">
        <v>671</v>
      </c>
      <c r="E307" s="63" t="s">
        <v>672</v>
      </c>
      <c r="F307" s="64">
        <v>4956</v>
      </c>
      <c r="G307" s="65">
        <v>5291</v>
      </c>
      <c r="H307" s="65">
        <v>5863</v>
      </c>
      <c r="I307" s="65">
        <v>6489</v>
      </c>
      <c r="J307" s="65">
        <v>8253</v>
      </c>
      <c r="K307" s="65">
        <v>9418</v>
      </c>
      <c r="L307" s="65">
        <v>10641</v>
      </c>
      <c r="M307" s="66">
        <v>560</v>
      </c>
      <c r="N307" s="67">
        <v>466</v>
      </c>
      <c r="O307" s="60"/>
      <c r="P307" s="2"/>
      <c r="Q307" s="2"/>
      <c r="R307" s="2"/>
      <c r="S307" s="2"/>
      <c r="T307" s="2"/>
      <c r="U307" s="2"/>
      <c r="V307" s="2"/>
      <c r="W307" s="2"/>
      <c r="X307" s="2"/>
      <c r="Y307" s="38"/>
    </row>
    <row r="308" spans="2:25" ht="15.75" customHeight="1" x14ac:dyDescent="0.3">
      <c r="B308" s="2"/>
      <c r="C308" s="61" t="s">
        <v>621</v>
      </c>
      <c r="D308" s="62" t="s">
        <v>673</v>
      </c>
      <c r="E308" s="63" t="s">
        <v>674</v>
      </c>
      <c r="F308" s="64">
        <v>8119.5</v>
      </c>
      <c r="G308" s="65">
        <v>9063</v>
      </c>
      <c r="H308" s="65">
        <v>10122</v>
      </c>
      <c r="I308" s="65">
        <v>12064.5</v>
      </c>
      <c r="J308" s="65">
        <v>14068.5</v>
      </c>
      <c r="K308" s="65">
        <v>16806</v>
      </c>
      <c r="L308" s="65">
        <v>18852</v>
      </c>
      <c r="M308" s="66">
        <v>865.5</v>
      </c>
      <c r="N308" s="67">
        <v>706.5</v>
      </c>
      <c r="O308" s="60"/>
      <c r="P308" s="2"/>
      <c r="Q308" s="2"/>
      <c r="R308" s="2"/>
      <c r="S308" s="2"/>
      <c r="T308" s="2"/>
      <c r="U308" s="2"/>
      <c r="V308" s="2"/>
      <c r="W308" s="2"/>
      <c r="X308" s="2"/>
      <c r="Y308" s="38"/>
    </row>
    <row r="309" spans="2:25" ht="15.75" customHeight="1" x14ac:dyDescent="0.3">
      <c r="B309" s="2"/>
      <c r="C309" s="61" t="s">
        <v>621</v>
      </c>
      <c r="D309" s="62" t="s">
        <v>675</v>
      </c>
      <c r="E309" s="63" t="s">
        <v>676</v>
      </c>
      <c r="F309" s="64">
        <v>4956</v>
      </c>
      <c r="G309" s="65">
        <v>5291</v>
      </c>
      <c r="H309" s="65">
        <v>5863</v>
      </c>
      <c r="I309" s="65">
        <v>6489</v>
      </c>
      <c r="J309" s="65">
        <v>8253</v>
      </c>
      <c r="K309" s="65">
        <v>9418</v>
      </c>
      <c r="L309" s="65">
        <v>10641</v>
      </c>
      <c r="M309" s="66">
        <v>560</v>
      </c>
      <c r="N309" s="67">
        <v>466</v>
      </c>
      <c r="O309" s="60"/>
      <c r="P309" s="2"/>
      <c r="Q309" s="2"/>
      <c r="R309" s="2"/>
      <c r="S309" s="2"/>
      <c r="T309" s="2"/>
      <c r="U309" s="2"/>
      <c r="V309" s="2"/>
      <c r="W309" s="2"/>
      <c r="X309" s="2"/>
      <c r="Y309" s="38"/>
    </row>
    <row r="310" spans="2:25" ht="15.75" customHeight="1" thickBot="1" x14ac:dyDescent="0.35">
      <c r="B310" s="2"/>
      <c r="C310" s="68" t="s">
        <v>621</v>
      </c>
      <c r="D310" s="69" t="s">
        <v>677</v>
      </c>
      <c r="E310" s="70" t="s">
        <v>678</v>
      </c>
      <c r="F310" s="71">
        <v>4956</v>
      </c>
      <c r="G310" s="72">
        <v>5291</v>
      </c>
      <c r="H310" s="72">
        <v>5863</v>
      </c>
      <c r="I310" s="72">
        <v>6489</v>
      </c>
      <c r="J310" s="72">
        <v>8253</v>
      </c>
      <c r="K310" s="72">
        <v>9418</v>
      </c>
      <c r="L310" s="72">
        <v>10641</v>
      </c>
      <c r="M310" s="73">
        <v>560</v>
      </c>
      <c r="N310" s="74">
        <v>466</v>
      </c>
      <c r="O310" s="60"/>
      <c r="P310" s="2"/>
      <c r="Q310" s="2"/>
      <c r="R310" s="2"/>
      <c r="S310" s="2"/>
      <c r="T310" s="2"/>
      <c r="U310" s="2"/>
      <c r="V310" s="2"/>
      <c r="W310" s="2"/>
      <c r="X310" s="2"/>
      <c r="Y310" s="38"/>
    </row>
    <row r="311" spans="2:25" ht="18" thickBot="1" x14ac:dyDescent="0.35">
      <c r="B311" s="2"/>
      <c r="C311" s="210" t="s">
        <v>65</v>
      </c>
      <c r="D311" s="211"/>
      <c r="E311" s="128"/>
      <c r="F311" s="128"/>
      <c r="G311" s="128"/>
      <c r="H311" s="128"/>
      <c r="I311" s="128"/>
      <c r="J311" s="128"/>
      <c r="K311" s="128"/>
      <c r="L311" s="128"/>
      <c r="M311" s="128"/>
      <c r="N311" s="129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38"/>
    </row>
    <row r="312" spans="2:25" ht="15.75" customHeight="1" thickBot="1" x14ac:dyDescent="0.35">
      <c r="B312" s="2"/>
      <c r="C312" s="84" t="s">
        <v>70</v>
      </c>
      <c r="D312" s="85" t="s">
        <v>71</v>
      </c>
      <c r="E312" s="48" t="s">
        <v>72</v>
      </c>
      <c r="F312" s="48" t="s">
        <v>10</v>
      </c>
      <c r="G312" s="48" t="s">
        <v>11</v>
      </c>
      <c r="H312" s="48" t="s">
        <v>12</v>
      </c>
      <c r="I312" s="49" t="s">
        <v>13</v>
      </c>
      <c r="J312" s="49" t="s">
        <v>14</v>
      </c>
      <c r="K312" s="50" t="s">
        <v>15</v>
      </c>
      <c r="L312" s="50" t="s">
        <v>16</v>
      </c>
      <c r="M312" s="48" t="s">
        <v>17</v>
      </c>
      <c r="N312" s="51" t="s">
        <v>18</v>
      </c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38"/>
    </row>
    <row r="313" spans="2:25" ht="15.75" customHeight="1" x14ac:dyDescent="0.3">
      <c r="B313" s="2"/>
      <c r="C313" s="53" t="s">
        <v>679</v>
      </c>
      <c r="D313" s="54" t="s">
        <v>680</v>
      </c>
      <c r="E313" s="55" t="s">
        <v>57</v>
      </c>
      <c r="F313" s="56">
        <v>6099</v>
      </c>
      <c r="G313" s="57">
        <v>7189</v>
      </c>
      <c r="H313" s="57">
        <v>8703</v>
      </c>
      <c r="I313" s="57">
        <v>10294</v>
      </c>
      <c r="J313" s="57">
        <v>17165</v>
      </c>
      <c r="K313" s="57">
        <v>26933</v>
      </c>
      <c r="L313" s="57">
        <v>31578</v>
      </c>
      <c r="M313" s="58">
        <v>1559</v>
      </c>
      <c r="N313" s="59">
        <v>1505</v>
      </c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38"/>
    </row>
    <row r="314" spans="2:25" ht="15.75" customHeight="1" x14ac:dyDescent="0.3">
      <c r="B314" s="2"/>
      <c r="C314" s="61" t="s">
        <v>679</v>
      </c>
      <c r="D314" s="62" t="s">
        <v>681</v>
      </c>
      <c r="E314" s="63" t="s">
        <v>682</v>
      </c>
      <c r="F314" s="64">
        <v>24148.5</v>
      </c>
      <c r="G314" s="65">
        <v>25783.5</v>
      </c>
      <c r="H314" s="65">
        <v>28054.5</v>
      </c>
      <c r="I314" s="65">
        <v>30441</v>
      </c>
      <c r="J314" s="65">
        <v>40747.5</v>
      </c>
      <c r="K314" s="65">
        <v>55399.5</v>
      </c>
      <c r="L314" s="65">
        <v>62367</v>
      </c>
      <c r="M314" s="66">
        <v>2338.5</v>
      </c>
      <c r="N314" s="67">
        <v>2257.5</v>
      </c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38"/>
    </row>
    <row r="315" spans="2:25" ht="15.75" customHeight="1" x14ac:dyDescent="0.3">
      <c r="B315" s="2"/>
      <c r="C315" s="61" t="s">
        <v>679</v>
      </c>
      <c r="D315" s="62" t="s">
        <v>683</v>
      </c>
      <c r="E315" s="63" t="s">
        <v>684</v>
      </c>
      <c r="F315" s="64">
        <v>24148.5</v>
      </c>
      <c r="G315" s="65">
        <v>25783.5</v>
      </c>
      <c r="H315" s="65">
        <v>28054.5</v>
      </c>
      <c r="I315" s="65">
        <v>30441</v>
      </c>
      <c r="J315" s="65">
        <v>40747.5</v>
      </c>
      <c r="K315" s="65">
        <v>55399.5</v>
      </c>
      <c r="L315" s="65">
        <v>62367</v>
      </c>
      <c r="M315" s="66">
        <v>2338.5</v>
      </c>
      <c r="N315" s="67">
        <v>2257.5</v>
      </c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38"/>
    </row>
    <row r="316" spans="2:25" ht="15.75" customHeight="1" thickBot="1" x14ac:dyDescent="0.35">
      <c r="B316" s="2"/>
      <c r="C316" s="68" t="s">
        <v>679</v>
      </c>
      <c r="D316" s="69" t="s">
        <v>685</v>
      </c>
      <c r="E316" s="70" t="s">
        <v>686</v>
      </c>
      <c r="F316" s="71">
        <v>24148.5</v>
      </c>
      <c r="G316" s="72">
        <v>25783.5</v>
      </c>
      <c r="H316" s="72">
        <v>28054.5</v>
      </c>
      <c r="I316" s="72">
        <v>30441</v>
      </c>
      <c r="J316" s="72">
        <v>40747.5</v>
      </c>
      <c r="K316" s="72">
        <v>55399.5</v>
      </c>
      <c r="L316" s="72">
        <v>62367</v>
      </c>
      <c r="M316" s="73">
        <v>2338.5</v>
      </c>
      <c r="N316" s="74">
        <v>2257.5</v>
      </c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38"/>
    </row>
    <row r="317" spans="2:25" ht="15.75" customHeight="1" x14ac:dyDescent="0.3">
      <c r="B317" s="2"/>
      <c r="C317" s="53" t="s">
        <v>687</v>
      </c>
      <c r="D317" s="54" t="s">
        <v>688</v>
      </c>
      <c r="E317" s="55" t="s">
        <v>58</v>
      </c>
      <c r="F317" s="56">
        <v>5701</v>
      </c>
      <c r="G317" s="57">
        <v>6719</v>
      </c>
      <c r="H317" s="57">
        <v>8135</v>
      </c>
      <c r="I317" s="57">
        <v>9620</v>
      </c>
      <c r="J317" s="57">
        <v>16041</v>
      </c>
      <c r="K317" s="57">
        <v>25174</v>
      </c>
      <c r="L317" s="57">
        <v>29712</v>
      </c>
      <c r="M317" s="58">
        <v>1512</v>
      </c>
      <c r="N317" s="59">
        <v>1422</v>
      </c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38"/>
    </row>
    <row r="318" spans="2:25" ht="15.75" customHeight="1" x14ac:dyDescent="0.3">
      <c r="B318" s="2"/>
      <c r="C318" s="61" t="s">
        <v>687</v>
      </c>
      <c r="D318" s="62" t="s">
        <v>689</v>
      </c>
      <c r="E318" s="63" t="s">
        <v>690</v>
      </c>
      <c r="F318" s="64">
        <v>5701</v>
      </c>
      <c r="G318" s="65">
        <v>6719</v>
      </c>
      <c r="H318" s="65">
        <v>8135</v>
      </c>
      <c r="I318" s="65">
        <v>9620</v>
      </c>
      <c r="J318" s="65">
        <v>16041</v>
      </c>
      <c r="K318" s="65">
        <v>25174</v>
      </c>
      <c r="L318" s="65">
        <v>29712</v>
      </c>
      <c r="M318" s="66">
        <v>1512</v>
      </c>
      <c r="N318" s="67">
        <v>1422</v>
      </c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38"/>
    </row>
    <row r="319" spans="2:25" ht="15.75" customHeight="1" x14ac:dyDescent="0.3">
      <c r="B319" s="2"/>
      <c r="C319" s="61" t="s">
        <v>687</v>
      </c>
      <c r="D319" s="62" t="s">
        <v>691</v>
      </c>
      <c r="E319" s="63" t="s">
        <v>692</v>
      </c>
      <c r="F319" s="64">
        <v>23551.5</v>
      </c>
      <c r="G319" s="65">
        <v>25078.5</v>
      </c>
      <c r="H319" s="65">
        <v>27202.5</v>
      </c>
      <c r="I319" s="65">
        <v>29430</v>
      </c>
      <c r="J319" s="65">
        <v>39061.5</v>
      </c>
      <c r="K319" s="65">
        <v>52761</v>
      </c>
      <c r="L319" s="65">
        <v>59568</v>
      </c>
      <c r="M319" s="66">
        <v>2268</v>
      </c>
      <c r="N319" s="67">
        <v>2133</v>
      </c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38"/>
    </row>
    <row r="320" spans="2:25" ht="15.75" customHeight="1" x14ac:dyDescent="0.3">
      <c r="B320" s="2"/>
      <c r="C320" s="61" t="s">
        <v>687</v>
      </c>
      <c r="D320" s="62" t="s">
        <v>693</v>
      </c>
      <c r="E320" s="63" t="s">
        <v>694</v>
      </c>
      <c r="F320" s="64">
        <v>23551.5</v>
      </c>
      <c r="G320" s="65">
        <v>25078.5</v>
      </c>
      <c r="H320" s="65">
        <v>27202.5</v>
      </c>
      <c r="I320" s="65">
        <v>29430</v>
      </c>
      <c r="J320" s="65">
        <v>39061.5</v>
      </c>
      <c r="K320" s="65">
        <v>52761</v>
      </c>
      <c r="L320" s="65">
        <v>59568</v>
      </c>
      <c r="M320" s="66">
        <v>2268</v>
      </c>
      <c r="N320" s="67">
        <v>2133</v>
      </c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38"/>
    </row>
    <row r="321" spans="2:25" ht="15.75" customHeight="1" x14ac:dyDescent="0.3">
      <c r="B321" s="2"/>
      <c r="C321" s="61" t="s">
        <v>687</v>
      </c>
      <c r="D321" s="62" t="s">
        <v>695</v>
      </c>
      <c r="E321" s="63" t="s">
        <v>696</v>
      </c>
      <c r="F321" s="64">
        <v>8551.5</v>
      </c>
      <c r="G321" s="65">
        <v>10078.5</v>
      </c>
      <c r="H321" s="65">
        <v>12202.5</v>
      </c>
      <c r="I321" s="65">
        <v>14430</v>
      </c>
      <c r="J321" s="65">
        <v>24061.5</v>
      </c>
      <c r="K321" s="65">
        <v>37761</v>
      </c>
      <c r="L321" s="65">
        <v>44568</v>
      </c>
      <c r="M321" s="66">
        <v>2268</v>
      </c>
      <c r="N321" s="67">
        <v>2133</v>
      </c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38"/>
    </row>
    <row r="322" spans="2:25" ht="15.75" customHeight="1" x14ac:dyDescent="0.3">
      <c r="B322" s="2"/>
      <c r="C322" s="61" t="s">
        <v>687</v>
      </c>
      <c r="D322" s="62" t="s">
        <v>697</v>
      </c>
      <c r="E322" s="63" t="s">
        <v>698</v>
      </c>
      <c r="F322" s="64">
        <v>8551.5</v>
      </c>
      <c r="G322" s="65">
        <v>10078.5</v>
      </c>
      <c r="H322" s="65">
        <v>12202.5</v>
      </c>
      <c r="I322" s="65">
        <v>14430</v>
      </c>
      <c r="J322" s="65">
        <v>24061.5</v>
      </c>
      <c r="K322" s="65">
        <v>37761</v>
      </c>
      <c r="L322" s="65">
        <v>44568</v>
      </c>
      <c r="M322" s="66">
        <v>2268</v>
      </c>
      <c r="N322" s="67">
        <v>2133</v>
      </c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38"/>
    </row>
    <row r="323" spans="2:25" ht="15.75" customHeight="1" thickBot="1" x14ac:dyDescent="0.35">
      <c r="B323" s="2"/>
      <c r="C323" s="68" t="s">
        <v>687</v>
      </c>
      <c r="D323" s="69" t="s">
        <v>699</v>
      </c>
      <c r="E323" s="70" t="s">
        <v>700</v>
      </c>
      <c r="F323" s="71">
        <v>8551.5</v>
      </c>
      <c r="G323" s="72">
        <v>10078.5</v>
      </c>
      <c r="H323" s="72">
        <v>12202.5</v>
      </c>
      <c r="I323" s="72">
        <v>14430</v>
      </c>
      <c r="J323" s="72">
        <v>24061.5</v>
      </c>
      <c r="K323" s="72">
        <v>37761</v>
      </c>
      <c r="L323" s="72">
        <v>44568</v>
      </c>
      <c r="M323" s="73">
        <v>2268</v>
      </c>
      <c r="N323" s="74">
        <v>2133</v>
      </c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38"/>
    </row>
    <row r="324" spans="2:25" ht="15.75" customHeight="1" x14ac:dyDescent="0.3">
      <c r="B324" s="2"/>
      <c r="C324" s="53" t="s">
        <v>701</v>
      </c>
      <c r="D324" s="54" t="s">
        <v>702</v>
      </c>
      <c r="E324" s="55" t="s">
        <v>60</v>
      </c>
      <c r="F324" s="56">
        <v>5517</v>
      </c>
      <c r="G324" s="57">
        <v>6381</v>
      </c>
      <c r="H324" s="57">
        <v>7728</v>
      </c>
      <c r="I324" s="57">
        <v>9139</v>
      </c>
      <c r="J324" s="57">
        <v>15240</v>
      </c>
      <c r="K324" s="57">
        <v>23914</v>
      </c>
      <c r="L324" s="57">
        <v>28296</v>
      </c>
      <c r="M324" s="58">
        <v>1443</v>
      </c>
      <c r="N324" s="59">
        <v>1346</v>
      </c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38"/>
    </row>
    <row r="325" spans="2:25" ht="15.75" customHeight="1" x14ac:dyDescent="0.3">
      <c r="B325" s="2"/>
      <c r="C325" s="61" t="s">
        <v>701</v>
      </c>
      <c r="D325" s="62" t="s">
        <v>703</v>
      </c>
      <c r="E325" s="63" t="s">
        <v>59</v>
      </c>
      <c r="F325" s="64">
        <v>5701</v>
      </c>
      <c r="G325" s="65">
        <v>6719</v>
      </c>
      <c r="H325" s="65">
        <v>8135</v>
      </c>
      <c r="I325" s="65">
        <v>9620</v>
      </c>
      <c r="J325" s="65">
        <v>16041</v>
      </c>
      <c r="K325" s="65">
        <v>25174</v>
      </c>
      <c r="L325" s="65">
        <v>29712</v>
      </c>
      <c r="M325" s="66">
        <v>1512</v>
      </c>
      <c r="N325" s="67">
        <v>1422</v>
      </c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38"/>
    </row>
    <row r="326" spans="2:25" ht="15.75" customHeight="1" x14ac:dyDescent="0.3">
      <c r="B326" s="2"/>
      <c r="C326" s="61" t="s">
        <v>701</v>
      </c>
      <c r="D326" s="62" t="s">
        <v>704</v>
      </c>
      <c r="E326" s="63" t="s">
        <v>705</v>
      </c>
      <c r="F326" s="64">
        <v>8275.5</v>
      </c>
      <c r="G326" s="65">
        <v>9571.5</v>
      </c>
      <c r="H326" s="65">
        <v>11592</v>
      </c>
      <c r="I326" s="65">
        <v>13708.5</v>
      </c>
      <c r="J326" s="65">
        <v>22860</v>
      </c>
      <c r="K326" s="65">
        <v>35871</v>
      </c>
      <c r="L326" s="65">
        <v>42444</v>
      </c>
      <c r="M326" s="66">
        <v>2164.5</v>
      </c>
      <c r="N326" s="67">
        <v>2019</v>
      </c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38"/>
    </row>
    <row r="327" spans="2:25" ht="15.75" customHeight="1" x14ac:dyDescent="0.3">
      <c r="B327" s="2"/>
      <c r="C327" s="61" t="s">
        <v>701</v>
      </c>
      <c r="D327" s="62" t="s">
        <v>706</v>
      </c>
      <c r="E327" s="63" t="s">
        <v>707</v>
      </c>
      <c r="F327" s="64">
        <v>8275.5</v>
      </c>
      <c r="G327" s="65">
        <v>9571.5</v>
      </c>
      <c r="H327" s="65">
        <v>11592</v>
      </c>
      <c r="I327" s="65">
        <v>13708.5</v>
      </c>
      <c r="J327" s="65">
        <v>22860</v>
      </c>
      <c r="K327" s="65">
        <v>35871</v>
      </c>
      <c r="L327" s="65">
        <v>42444</v>
      </c>
      <c r="M327" s="66">
        <v>2164.5</v>
      </c>
      <c r="N327" s="67">
        <v>2019</v>
      </c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38"/>
    </row>
    <row r="328" spans="2:25" ht="15.75" customHeight="1" x14ac:dyDescent="0.3">
      <c r="B328" s="2"/>
      <c r="C328" s="61" t="s">
        <v>701</v>
      </c>
      <c r="D328" s="62" t="s">
        <v>708</v>
      </c>
      <c r="E328" s="63" t="s">
        <v>709</v>
      </c>
      <c r="F328" s="64">
        <v>23551.5</v>
      </c>
      <c r="G328" s="65">
        <v>25078.5</v>
      </c>
      <c r="H328" s="65">
        <v>27202.5</v>
      </c>
      <c r="I328" s="65">
        <v>29430</v>
      </c>
      <c r="J328" s="65">
        <v>39061.5</v>
      </c>
      <c r="K328" s="65">
        <v>52761</v>
      </c>
      <c r="L328" s="65">
        <v>59568</v>
      </c>
      <c r="M328" s="66">
        <v>2268</v>
      </c>
      <c r="N328" s="67">
        <v>2133</v>
      </c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38"/>
    </row>
    <row r="329" spans="2:25" ht="15.75" customHeight="1" x14ac:dyDescent="0.3">
      <c r="B329" s="2"/>
      <c r="C329" s="61" t="s">
        <v>701</v>
      </c>
      <c r="D329" s="62" t="s">
        <v>710</v>
      </c>
      <c r="E329" s="63" t="s">
        <v>711</v>
      </c>
      <c r="F329" s="64">
        <v>8551.5</v>
      </c>
      <c r="G329" s="65">
        <v>10078.5</v>
      </c>
      <c r="H329" s="65">
        <v>12202.5</v>
      </c>
      <c r="I329" s="65">
        <v>14430</v>
      </c>
      <c r="J329" s="65">
        <v>24061.5</v>
      </c>
      <c r="K329" s="65">
        <v>37761</v>
      </c>
      <c r="L329" s="65">
        <v>44568</v>
      </c>
      <c r="M329" s="66">
        <v>2268</v>
      </c>
      <c r="N329" s="67">
        <v>2133</v>
      </c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38"/>
    </row>
    <row r="330" spans="2:25" ht="15.75" customHeight="1" x14ac:dyDescent="0.3">
      <c r="B330" s="2"/>
      <c r="C330" s="61" t="s">
        <v>701</v>
      </c>
      <c r="D330" s="62" t="s">
        <v>712</v>
      </c>
      <c r="E330" s="63" t="s">
        <v>713</v>
      </c>
      <c r="F330" s="64">
        <v>8551.5</v>
      </c>
      <c r="G330" s="65">
        <v>10078.5</v>
      </c>
      <c r="H330" s="65">
        <v>12202.5</v>
      </c>
      <c r="I330" s="65">
        <v>14430</v>
      </c>
      <c r="J330" s="65">
        <v>24061.5</v>
      </c>
      <c r="K330" s="65">
        <v>37761</v>
      </c>
      <c r="L330" s="65">
        <v>44568</v>
      </c>
      <c r="M330" s="66">
        <v>2268</v>
      </c>
      <c r="N330" s="67">
        <v>2133</v>
      </c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38"/>
    </row>
    <row r="331" spans="2:25" ht="15.75" customHeight="1" x14ac:dyDescent="0.3">
      <c r="B331" s="2"/>
      <c r="C331" s="61" t="s">
        <v>701</v>
      </c>
      <c r="D331" s="62" t="s">
        <v>714</v>
      </c>
      <c r="E331" s="63" t="s">
        <v>715</v>
      </c>
      <c r="F331" s="64">
        <v>8275.5</v>
      </c>
      <c r="G331" s="65">
        <v>9571.5</v>
      </c>
      <c r="H331" s="65">
        <v>11592</v>
      </c>
      <c r="I331" s="65">
        <v>13708.5</v>
      </c>
      <c r="J331" s="65">
        <v>22860</v>
      </c>
      <c r="K331" s="65">
        <v>35871</v>
      </c>
      <c r="L331" s="65">
        <v>42444</v>
      </c>
      <c r="M331" s="66">
        <v>2164.5</v>
      </c>
      <c r="N331" s="67">
        <v>2019</v>
      </c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38"/>
    </row>
    <row r="332" spans="2:25" ht="15.75" customHeight="1" thickBot="1" x14ac:dyDescent="0.35">
      <c r="B332" s="2"/>
      <c r="C332" s="68" t="s">
        <v>701</v>
      </c>
      <c r="D332" s="69" t="s">
        <v>716</v>
      </c>
      <c r="E332" s="70" t="s">
        <v>717</v>
      </c>
      <c r="F332" s="71">
        <v>8275.5</v>
      </c>
      <c r="G332" s="72">
        <v>9571.5</v>
      </c>
      <c r="H332" s="72">
        <v>11592</v>
      </c>
      <c r="I332" s="72">
        <v>13708.5</v>
      </c>
      <c r="J332" s="72">
        <v>22860</v>
      </c>
      <c r="K332" s="72">
        <v>35871</v>
      </c>
      <c r="L332" s="72">
        <v>42444</v>
      </c>
      <c r="M332" s="73">
        <v>2164.5</v>
      </c>
      <c r="N332" s="74">
        <v>2019</v>
      </c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38"/>
    </row>
    <row r="333" spans="2:25" ht="15.75" customHeight="1" x14ac:dyDescent="0.3">
      <c r="B333" s="2"/>
      <c r="C333" s="53" t="s">
        <v>718</v>
      </c>
      <c r="D333" s="54" t="s">
        <v>719</v>
      </c>
      <c r="E333" s="55" t="s">
        <v>62</v>
      </c>
      <c r="F333" s="56">
        <v>6199</v>
      </c>
      <c r="G333" s="57">
        <v>7251</v>
      </c>
      <c r="H333" s="57">
        <v>8774</v>
      </c>
      <c r="I333" s="57">
        <v>9982</v>
      </c>
      <c r="J333" s="57">
        <v>17014</v>
      </c>
      <c r="K333" s="57">
        <v>28200</v>
      </c>
      <c r="L333" s="57">
        <v>33209</v>
      </c>
      <c r="M333" s="58">
        <v>1718</v>
      </c>
      <c r="N333" s="59">
        <v>1620</v>
      </c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38"/>
    </row>
    <row r="334" spans="2:25" ht="15.75" customHeight="1" x14ac:dyDescent="0.3">
      <c r="B334" s="2"/>
      <c r="C334" s="61" t="s">
        <v>718</v>
      </c>
      <c r="D334" s="62" t="s">
        <v>720</v>
      </c>
      <c r="E334" s="63" t="s">
        <v>721</v>
      </c>
      <c r="F334" s="64">
        <v>9298.5</v>
      </c>
      <c r="G334" s="65">
        <v>10876.5</v>
      </c>
      <c r="H334" s="65">
        <v>13161</v>
      </c>
      <c r="I334" s="65">
        <v>14973</v>
      </c>
      <c r="J334" s="65">
        <v>25521</v>
      </c>
      <c r="K334" s="65">
        <v>42300</v>
      </c>
      <c r="L334" s="65">
        <v>49813.5</v>
      </c>
      <c r="M334" s="66">
        <v>2577</v>
      </c>
      <c r="N334" s="67">
        <v>2430</v>
      </c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38"/>
    </row>
    <row r="335" spans="2:25" ht="15.75" customHeight="1" x14ac:dyDescent="0.3">
      <c r="B335" s="2"/>
      <c r="C335" s="61" t="s">
        <v>718</v>
      </c>
      <c r="D335" s="62" t="s">
        <v>722</v>
      </c>
      <c r="E335" s="63" t="s">
        <v>723</v>
      </c>
      <c r="F335" s="64">
        <v>9298.5</v>
      </c>
      <c r="G335" s="65">
        <v>10876.5</v>
      </c>
      <c r="H335" s="65">
        <v>13161</v>
      </c>
      <c r="I335" s="65">
        <v>14973</v>
      </c>
      <c r="J335" s="65">
        <v>25521</v>
      </c>
      <c r="K335" s="65">
        <v>42300</v>
      </c>
      <c r="L335" s="65">
        <v>49813.5</v>
      </c>
      <c r="M335" s="66">
        <v>2577</v>
      </c>
      <c r="N335" s="67">
        <v>2430</v>
      </c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38"/>
    </row>
    <row r="336" spans="2:25" ht="15.75" customHeight="1" x14ac:dyDescent="0.3">
      <c r="B336" s="2"/>
      <c r="C336" s="61" t="s">
        <v>718</v>
      </c>
      <c r="D336" s="62" t="s">
        <v>724</v>
      </c>
      <c r="E336" s="63" t="s">
        <v>725</v>
      </c>
      <c r="F336" s="64">
        <v>9298.5</v>
      </c>
      <c r="G336" s="65">
        <v>10876.5</v>
      </c>
      <c r="H336" s="65">
        <v>13161</v>
      </c>
      <c r="I336" s="65">
        <v>14973</v>
      </c>
      <c r="J336" s="65">
        <v>25521</v>
      </c>
      <c r="K336" s="65">
        <v>42300</v>
      </c>
      <c r="L336" s="65">
        <v>49813.5</v>
      </c>
      <c r="M336" s="66">
        <v>2577</v>
      </c>
      <c r="N336" s="67">
        <v>2430</v>
      </c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38"/>
    </row>
    <row r="337" spans="2:25" ht="15.75" customHeight="1" x14ac:dyDescent="0.3">
      <c r="B337" s="2"/>
      <c r="C337" s="61" t="s">
        <v>718</v>
      </c>
      <c r="D337" s="62" t="s">
        <v>726</v>
      </c>
      <c r="E337" s="63" t="s">
        <v>727</v>
      </c>
      <c r="F337" s="64">
        <v>24298.5</v>
      </c>
      <c r="G337" s="65">
        <v>25876.5</v>
      </c>
      <c r="H337" s="65">
        <v>28161</v>
      </c>
      <c r="I337" s="65">
        <v>29973</v>
      </c>
      <c r="J337" s="65">
        <v>40521</v>
      </c>
      <c r="K337" s="65">
        <v>57300</v>
      </c>
      <c r="L337" s="65">
        <v>64813.5</v>
      </c>
      <c r="M337" s="66">
        <v>2577</v>
      </c>
      <c r="N337" s="67">
        <v>2430</v>
      </c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38"/>
    </row>
    <row r="338" spans="2:25" ht="15.75" customHeight="1" x14ac:dyDescent="0.3">
      <c r="B338" s="2"/>
      <c r="C338" s="61" t="s">
        <v>718</v>
      </c>
      <c r="D338" s="62" t="s">
        <v>728</v>
      </c>
      <c r="E338" s="63" t="s">
        <v>729</v>
      </c>
      <c r="F338" s="64">
        <v>24298.5</v>
      </c>
      <c r="G338" s="65">
        <v>25876.5</v>
      </c>
      <c r="H338" s="65">
        <v>28161</v>
      </c>
      <c r="I338" s="65">
        <v>29973</v>
      </c>
      <c r="J338" s="65">
        <v>40521</v>
      </c>
      <c r="K338" s="65">
        <v>57300</v>
      </c>
      <c r="L338" s="65">
        <v>64813.5</v>
      </c>
      <c r="M338" s="66">
        <v>2577</v>
      </c>
      <c r="N338" s="67">
        <v>2430</v>
      </c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38"/>
    </row>
    <row r="339" spans="2:25" ht="15.75" customHeight="1" x14ac:dyDescent="0.3">
      <c r="B339" s="2"/>
      <c r="C339" s="61" t="s">
        <v>718</v>
      </c>
      <c r="D339" s="62" t="s">
        <v>730</v>
      </c>
      <c r="E339" s="63" t="s">
        <v>731</v>
      </c>
      <c r="F339" s="64">
        <v>24298.5</v>
      </c>
      <c r="G339" s="65">
        <v>25876.5</v>
      </c>
      <c r="H339" s="65">
        <v>28161</v>
      </c>
      <c r="I339" s="65">
        <v>29973</v>
      </c>
      <c r="J339" s="65">
        <v>40521</v>
      </c>
      <c r="K339" s="65">
        <v>57300</v>
      </c>
      <c r="L339" s="65">
        <v>64813.5</v>
      </c>
      <c r="M339" s="66">
        <v>2577</v>
      </c>
      <c r="N339" s="67">
        <v>2430</v>
      </c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38"/>
    </row>
    <row r="340" spans="2:25" ht="15.75" customHeight="1" x14ac:dyDescent="0.3">
      <c r="B340" s="2"/>
      <c r="C340" s="61" t="s">
        <v>718</v>
      </c>
      <c r="D340" s="62" t="s">
        <v>732</v>
      </c>
      <c r="E340" s="63" t="s">
        <v>733</v>
      </c>
      <c r="F340" s="64">
        <v>9298.5</v>
      </c>
      <c r="G340" s="65">
        <v>10876.5</v>
      </c>
      <c r="H340" s="65">
        <v>13161</v>
      </c>
      <c r="I340" s="65">
        <v>14973</v>
      </c>
      <c r="J340" s="65">
        <v>25521</v>
      </c>
      <c r="K340" s="65">
        <v>42300</v>
      </c>
      <c r="L340" s="65">
        <v>49813.5</v>
      </c>
      <c r="M340" s="66">
        <v>2577</v>
      </c>
      <c r="N340" s="67">
        <v>2430</v>
      </c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38"/>
    </row>
    <row r="341" spans="2:25" ht="15.75" customHeight="1" x14ac:dyDescent="0.3">
      <c r="B341" s="2"/>
      <c r="C341" s="61" t="s">
        <v>718</v>
      </c>
      <c r="D341" s="62" t="s">
        <v>734</v>
      </c>
      <c r="E341" s="63" t="s">
        <v>735</v>
      </c>
      <c r="F341" s="64">
        <v>9298.5</v>
      </c>
      <c r="G341" s="65">
        <v>10876.5</v>
      </c>
      <c r="H341" s="65">
        <v>13161</v>
      </c>
      <c r="I341" s="65">
        <v>14973</v>
      </c>
      <c r="J341" s="65">
        <v>25521</v>
      </c>
      <c r="K341" s="65">
        <v>42300</v>
      </c>
      <c r="L341" s="65">
        <v>49813.5</v>
      </c>
      <c r="M341" s="66">
        <v>2577</v>
      </c>
      <c r="N341" s="67">
        <v>2430</v>
      </c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38"/>
    </row>
    <row r="342" spans="2:25" ht="15.75" customHeight="1" thickBot="1" x14ac:dyDescent="0.35">
      <c r="B342" s="2"/>
      <c r="C342" s="68" t="s">
        <v>718</v>
      </c>
      <c r="D342" s="69" t="s">
        <v>736</v>
      </c>
      <c r="E342" s="70" t="s">
        <v>737</v>
      </c>
      <c r="F342" s="71">
        <v>9298.5</v>
      </c>
      <c r="G342" s="72">
        <v>10876.5</v>
      </c>
      <c r="H342" s="72">
        <v>13161</v>
      </c>
      <c r="I342" s="72">
        <v>14973</v>
      </c>
      <c r="J342" s="72">
        <v>25521</v>
      </c>
      <c r="K342" s="72">
        <v>42300</v>
      </c>
      <c r="L342" s="72">
        <v>49813.5</v>
      </c>
      <c r="M342" s="73">
        <v>2577</v>
      </c>
      <c r="N342" s="74">
        <v>2430</v>
      </c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38"/>
    </row>
    <row r="343" spans="2:25" ht="15.75" customHeight="1" x14ac:dyDescent="0.3">
      <c r="B343" s="2"/>
      <c r="C343" s="75" t="s">
        <v>738</v>
      </c>
      <c r="D343" s="76" t="s">
        <v>739</v>
      </c>
      <c r="E343" s="77" t="s">
        <v>64</v>
      </c>
      <c r="F343" s="64">
        <v>6199</v>
      </c>
      <c r="G343" s="65">
        <v>7251</v>
      </c>
      <c r="H343" s="65">
        <v>8774</v>
      </c>
      <c r="I343" s="65">
        <v>9982</v>
      </c>
      <c r="J343" s="65">
        <v>17014</v>
      </c>
      <c r="K343" s="65">
        <v>28200</v>
      </c>
      <c r="L343" s="65">
        <v>33209</v>
      </c>
      <c r="M343" s="66">
        <v>1718</v>
      </c>
      <c r="N343" s="67">
        <v>1620</v>
      </c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38"/>
    </row>
    <row r="344" spans="2:25" ht="15.75" customHeight="1" x14ac:dyDescent="0.3">
      <c r="B344" s="2"/>
      <c r="C344" s="61" t="s">
        <v>738</v>
      </c>
      <c r="D344" s="62" t="s">
        <v>740</v>
      </c>
      <c r="E344" s="63" t="s">
        <v>741</v>
      </c>
      <c r="F344" s="64">
        <v>24298.5</v>
      </c>
      <c r="G344" s="65">
        <v>25876.5</v>
      </c>
      <c r="H344" s="65">
        <v>28161</v>
      </c>
      <c r="I344" s="65">
        <v>29973</v>
      </c>
      <c r="J344" s="65">
        <v>40521</v>
      </c>
      <c r="K344" s="65">
        <v>57300</v>
      </c>
      <c r="L344" s="65">
        <v>64813.5</v>
      </c>
      <c r="M344" s="66">
        <v>2577</v>
      </c>
      <c r="N344" s="67">
        <v>2430</v>
      </c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38"/>
    </row>
    <row r="345" spans="2:25" ht="15.75" customHeight="1" x14ac:dyDescent="0.3">
      <c r="B345" s="2"/>
      <c r="C345" s="61" t="s">
        <v>738</v>
      </c>
      <c r="D345" s="62" t="s">
        <v>742</v>
      </c>
      <c r="E345" s="63" t="s">
        <v>743</v>
      </c>
      <c r="F345" s="64">
        <v>9298.5</v>
      </c>
      <c r="G345" s="65">
        <v>10876.5</v>
      </c>
      <c r="H345" s="65">
        <v>13161</v>
      </c>
      <c r="I345" s="65">
        <v>14973</v>
      </c>
      <c r="J345" s="65">
        <v>25521</v>
      </c>
      <c r="K345" s="65">
        <v>42300</v>
      </c>
      <c r="L345" s="65">
        <v>49813.5</v>
      </c>
      <c r="M345" s="66">
        <v>2577</v>
      </c>
      <c r="N345" s="67">
        <v>2430</v>
      </c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38"/>
    </row>
    <row r="346" spans="2:25" ht="15.75" customHeight="1" x14ac:dyDescent="0.3">
      <c r="B346" s="2"/>
      <c r="C346" s="61" t="s">
        <v>738</v>
      </c>
      <c r="D346" s="62" t="s">
        <v>744</v>
      </c>
      <c r="E346" s="63" t="s">
        <v>745</v>
      </c>
      <c r="F346" s="64">
        <v>24298.5</v>
      </c>
      <c r="G346" s="65">
        <v>25876.5</v>
      </c>
      <c r="H346" s="65">
        <v>28161</v>
      </c>
      <c r="I346" s="65">
        <v>29973</v>
      </c>
      <c r="J346" s="65">
        <v>40521</v>
      </c>
      <c r="K346" s="65">
        <v>57300</v>
      </c>
      <c r="L346" s="65">
        <v>64813.5</v>
      </c>
      <c r="M346" s="66">
        <v>2577</v>
      </c>
      <c r="N346" s="67">
        <v>2430</v>
      </c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38"/>
    </row>
    <row r="347" spans="2:25" ht="15.75" customHeight="1" x14ac:dyDescent="0.3">
      <c r="B347" s="2"/>
      <c r="C347" s="61" t="s">
        <v>738</v>
      </c>
      <c r="D347" s="62" t="s">
        <v>746</v>
      </c>
      <c r="E347" s="63" t="s">
        <v>747</v>
      </c>
      <c r="F347" s="64">
        <v>24298.5</v>
      </c>
      <c r="G347" s="65">
        <v>25876.5</v>
      </c>
      <c r="H347" s="65">
        <v>28161</v>
      </c>
      <c r="I347" s="65">
        <v>29973</v>
      </c>
      <c r="J347" s="65">
        <v>40521</v>
      </c>
      <c r="K347" s="65">
        <v>57300</v>
      </c>
      <c r="L347" s="65">
        <v>64813.5</v>
      </c>
      <c r="M347" s="66">
        <v>2577</v>
      </c>
      <c r="N347" s="67">
        <v>2430</v>
      </c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38"/>
    </row>
    <row r="348" spans="2:25" ht="15.75" customHeight="1" x14ac:dyDescent="0.3">
      <c r="B348" s="2"/>
      <c r="C348" s="61" t="s">
        <v>738</v>
      </c>
      <c r="D348" s="62" t="s">
        <v>748</v>
      </c>
      <c r="E348" s="63" t="s">
        <v>749</v>
      </c>
      <c r="F348" s="64">
        <v>24298.5</v>
      </c>
      <c r="G348" s="65">
        <v>25876.5</v>
      </c>
      <c r="H348" s="65">
        <v>28161</v>
      </c>
      <c r="I348" s="65">
        <v>29973</v>
      </c>
      <c r="J348" s="65">
        <v>40521</v>
      </c>
      <c r="K348" s="65">
        <v>57300</v>
      </c>
      <c r="L348" s="65">
        <v>64813.5</v>
      </c>
      <c r="M348" s="66">
        <v>2577</v>
      </c>
      <c r="N348" s="67">
        <v>2430</v>
      </c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38"/>
    </row>
    <row r="349" spans="2:25" ht="15.75" customHeight="1" x14ac:dyDescent="0.3">
      <c r="B349" s="2"/>
      <c r="C349" s="61" t="s">
        <v>738</v>
      </c>
      <c r="D349" s="62" t="s">
        <v>750</v>
      </c>
      <c r="E349" s="63" t="s">
        <v>751</v>
      </c>
      <c r="F349" s="64">
        <v>24298.5</v>
      </c>
      <c r="G349" s="65">
        <v>25876.5</v>
      </c>
      <c r="H349" s="65">
        <v>28161</v>
      </c>
      <c r="I349" s="65">
        <v>29973</v>
      </c>
      <c r="J349" s="65">
        <v>40521</v>
      </c>
      <c r="K349" s="65">
        <v>57300</v>
      </c>
      <c r="L349" s="65">
        <v>64813.5</v>
      </c>
      <c r="M349" s="66">
        <v>2577</v>
      </c>
      <c r="N349" s="67">
        <v>2430</v>
      </c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38"/>
    </row>
    <row r="350" spans="2:25" ht="15.75" customHeight="1" x14ac:dyDescent="0.3">
      <c r="B350" s="2"/>
      <c r="C350" s="61" t="s">
        <v>738</v>
      </c>
      <c r="D350" s="62" t="s">
        <v>752</v>
      </c>
      <c r="E350" s="63" t="s">
        <v>753</v>
      </c>
      <c r="F350" s="64">
        <v>9298.5</v>
      </c>
      <c r="G350" s="65">
        <v>10876.5</v>
      </c>
      <c r="H350" s="65">
        <v>13161</v>
      </c>
      <c r="I350" s="65">
        <v>14973</v>
      </c>
      <c r="J350" s="65">
        <v>25521</v>
      </c>
      <c r="K350" s="65">
        <v>42300</v>
      </c>
      <c r="L350" s="65">
        <v>49813.5</v>
      </c>
      <c r="M350" s="66">
        <v>2577</v>
      </c>
      <c r="N350" s="67">
        <v>2430</v>
      </c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38"/>
    </row>
    <row r="351" spans="2:25" ht="15.75" customHeight="1" x14ac:dyDescent="0.3">
      <c r="B351" s="2"/>
      <c r="C351" s="61" t="s">
        <v>738</v>
      </c>
      <c r="D351" s="62" t="s">
        <v>754</v>
      </c>
      <c r="E351" s="63" t="s">
        <v>755</v>
      </c>
      <c r="F351" s="64">
        <v>24298.5</v>
      </c>
      <c r="G351" s="65">
        <v>25876.5</v>
      </c>
      <c r="H351" s="65">
        <v>28161</v>
      </c>
      <c r="I351" s="65">
        <v>29973</v>
      </c>
      <c r="J351" s="65">
        <v>40521</v>
      </c>
      <c r="K351" s="65">
        <v>57300</v>
      </c>
      <c r="L351" s="65">
        <v>64813.5</v>
      </c>
      <c r="M351" s="66">
        <v>2577</v>
      </c>
      <c r="N351" s="67">
        <v>2430</v>
      </c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38"/>
    </row>
    <row r="352" spans="2:25" ht="15.75" customHeight="1" x14ac:dyDescent="0.3">
      <c r="B352" s="2"/>
      <c r="C352" s="61" t="s">
        <v>738</v>
      </c>
      <c r="D352" s="62" t="s">
        <v>756</v>
      </c>
      <c r="E352" s="63" t="s">
        <v>757</v>
      </c>
      <c r="F352" s="64">
        <v>9298.5</v>
      </c>
      <c r="G352" s="65">
        <v>10876.5</v>
      </c>
      <c r="H352" s="65">
        <v>13161</v>
      </c>
      <c r="I352" s="65">
        <v>14973</v>
      </c>
      <c r="J352" s="65">
        <v>25521</v>
      </c>
      <c r="K352" s="65">
        <v>42300</v>
      </c>
      <c r="L352" s="65">
        <v>49813.5</v>
      </c>
      <c r="M352" s="66">
        <v>2577</v>
      </c>
      <c r="N352" s="67">
        <v>2430</v>
      </c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38"/>
    </row>
    <row r="353" spans="2:25" ht="15.75" customHeight="1" thickBot="1" x14ac:dyDescent="0.35">
      <c r="B353" s="2"/>
      <c r="C353" s="68" t="s">
        <v>738</v>
      </c>
      <c r="D353" s="69" t="s">
        <v>758</v>
      </c>
      <c r="E353" s="70" t="s">
        <v>759</v>
      </c>
      <c r="F353" s="71">
        <v>24298.5</v>
      </c>
      <c r="G353" s="72">
        <v>25876.5</v>
      </c>
      <c r="H353" s="72">
        <v>28161</v>
      </c>
      <c r="I353" s="72">
        <v>29973</v>
      </c>
      <c r="J353" s="72">
        <v>40521</v>
      </c>
      <c r="K353" s="72">
        <v>57300</v>
      </c>
      <c r="L353" s="72">
        <v>64813.5</v>
      </c>
      <c r="M353" s="73">
        <v>2577</v>
      </c>
      <c r="N353" s="74">
        <v>2430</v>
      </c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38"/>
    </row>
    <row r="354" spans="2:25" ht="15.75" customHeight="1" thickBot="1" x14ac:dyDescent="0.35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38"/>
    </row>
    <row r="355" spans="2:25" ht="15.75" customHeight="1" thickBot="1" x14ac:dyDescent="0.35">
      <c r="B355" s="2"/>
      <c r="C355" s="203" t="s">
        <v>54</v>
      </c>
      <c r="D355" s="170"/>
      <c r="E355" s="170"/>
      <c r="F355" s="170"/>
      <c r="G355" s="170"/>
      <c r="H355" s="170"/>
      <c r="I355" s="170"/>
      <c r="J355" s="170"/>
      <c r="K355" s="170"/>
      <c r="L355" s="170"/>
      <c r="M355" s="170"/>
      <c r="N355" s="171"/>
      <c r="O355" s="83"/>
      <c r="P355" s="2"/>
      <c r="Q355" s="2"/>
      <c r="R355" s="2"/>
      <c r="S355" s="2"/>
      <c r="T355" s="2"/>
      <c r="U355" s="2"/>
      <c r="V355" s="2"/>
      <c r="W355" s="2"/>
      <c r="X355" s="2"/>
      <c r="Y355" s="38"/>
    </row>
    <row r="356" spans="2:25" ht="15.75" customHeight="1" thickBot="1" x14ac:dyDescent="0.35">
      <c r="B356" s="2"/>
      <c r="C356" s="84" t="s">
        <v>70</v>
      </c>
      <c r="D356" s="48" t="s">
        <v>71</v>
      </c>
      <c r="E356" s="48" t="s">
        <v>72</v>
      </c>
      <c r="F356" s="48" t="s">
        <v>10</v>
      </c>
      <c r="G356" s="48" t="s">
        <v>11</v>
      </c>
      <c r="H356" s="48" t="s">
        <v>12</v>
      </c>
      <c r="I356" s="49" t="s">
        <v>13</v>
      </c>
      <c r="J356" s="49" t="s">
        <v>14</v>
      </c>
      <c r="K356" s="50" t="s">
        <v>15</v>
      </c>
      <c r="L356" s="50" t="s">
        <v>16</v>
      </c>
      <c r="M356" s="48" t="s">
        <v>17</v>
      </c>
      <c r="N356" s="51" t="s">
        <v>18</v>
      </c>
      <c r="O356" s="52"/>
      <c r="P356" s="2"/>
      <c r="Q356" s="2"/>
      <c r="R356" s="2"/>
      <c r="S356" s="2"/>
      <c r="T356" s="2"/>
      <c r="U356" s="2"/>
      <c r="V356" s="2"/>
      <c r="W356" s="2"/>
      <c r="X356" s="2"/>
      <c r="Y356" s="38"/>
    </row>
    <row r="357" spans="2:25" ht="15.75" customHeight="1" x14ac:dyDescent="0.3">
      <c r="B357" s="2"/>
      <c r="C357" s="53" t="s">
        <v>679</v>
      </c>
      <c r="D357" s="54" t="s">
        <v>680</v>
      </c>
      <c r="E357" s="55" t="s">
        <v>57</v>
      </c>
      <c r="F357" s="56">
        <v>5549</v>
      </c>
      <c r="G357" s="57">
        <v>6178</v>
      </c>
      <c r="H357" s="57">
        <v>6792</v>
      </c>
      <c r="I357" s="57">
        <v>8213</v>
      </c>
      <c r="J357" s="57">
        <v>10740</v>
      </c>
      <c r="K357" s="57">
        <v>14176</v>
      </c>
      <c r="L357" s="57">
        <v>16826</v>
      </c>
      <c r="M357" s="58">
        <v>685</v>
      </c>
      <c r="N357" s="59">
        <v>585</v>
      </c>
      <c r="O357" s="60"/>
      <c r="P357" s="2"/>
      <c r="Q357" s="2"/>
      <c r="R357" s="2"/>
      <c r="S357" s="2"/>
      <c r="T357" s="2"/>
      <c r="U357" s="2"/>
      <c r="V357" s="2"/>
      <c r="W357" s="2"/>
      <c r="X357" s="2"/>
      <c r="Y357" s="38"/>
    </row>
    <row r="358" spans="2:25" ht="15.75" customHeight="1" x14ac:dyDescent="0.3">
      <c r="B358" s="2"/>
      <c r="C358" s="61" t="s">
        <v>679</v>
      </c>
      <c r="D358" s="62" t="s">
        <v>681</v>
      </c>
      <c r="E358" s="63" t="s">
        <v>682</v>
      </c>
      <c r="F358" s="64">
        <v>23323.5</v>
      </c>
      <c r="G358" s="65">
        <v>24267</v>
      </c>
      <c r="H358" s="65">
        <v>25188</v>
      </c>
      <c r="I358" s="65">
        <v>27319.5</v>
      </c>
      <c r="J358" s="65">
        <v>31110</v>
      </c>
      <c r="K358" s="65">
        <v>36264</v>
      </c>
      <c r="L358" s="65">
        <v>40239</v>
      </c>
      <c r="M358" s="66">
        <v>1027.5</v>
      </c>
      <c r="N358" s="67">
        <v>877.5</v>
      </c>
      <c r="O358" s="60"/>
      <c r="P358" s="2"/>
      <c r="Q358" s="2"/>
      <c r="R358" s="2"/>
      <c r="S358" s="2"/>
      <c r="T358" s="2"/>
      <c r="U358" s="2"/>
      <c r="V358" s="2"/>
      <c r="W358" s="2"/>
      <c r="X358" s="2"/>
      <c r="Y358" s="38"/>
    </row>
    <row r="359" spans="2:25" ht="15.75" customHeight="1" x14ac:dyDescent="0.3">
      <c r="B359" s="2"/>
      <c r="C359" s="61" t="s">
        <v>679</v>
      </c>
      <c r="D359" s="62" t="s">
        <v>683</v>
      </c>
      <c r="E359" s="63" t="s">
        <v>684</v>
      </c>
      <c r="F359" s="64">
        <v>23323.5</v>
      </c>
      <c r="G359" s="65">
        <v>24267</v>
      </c>
      <c r="H359" s="65">
        <v>25188</v>
      </c>
      <c r="I359" s="65">
        <v>27319.5</v>
      </c>
      <c r="J359" s="65">
        <v>31110</v>
      </c>
      <c r="K359" s="65">
        <v>36264</v>
      </c>
      <c r="L359" s="65">
        <v>40239</v>
      </c>
      <c r="M359" s="66">
        <v>1027.5</v>
      </c>
      <c r="N359" s="67">
        <v>877.5</v>
      </c>
      <c r="O359" s="60"/>
      <c r="P359" s="2"/>
      <c r="Q359" s="2"/>
      <c r="R359" s="2"/>
      <c r="S359" s="2"/>
      <c r="T359" s="2"/>
      <c r="U359" s="2"/>
      <c r="V359" s="2"/>
      <c r="W359" s="2"/>
      <c r="X359" s="2"/>
      <c r="Y359" s="38"/>
    </row>
    <row r="360" spans="2:25" ht="15.75" customHeight="1" thickBot="1" x14ac:dyDescent="0.35">
      <c r="B360" s="2"/>
      <c r="C360" s="68" t="s">
        <v>679</v>
      </c>
      <c r="D360" s="69" t="s">
        <v>685</v>
      </c>
      <c r="E360" s="70" t="s">
        <v>686</v>
      </c>
      <c r="F360" s="71">
        <v>23323.5</v>
      </c>
      <c r="G360" s="72">
        <v>24267</v>
      </c>
      <c r="H360" s="72">
        <v>25188</v>
      </c>
      <c r="I360" s="72">
        <v>27319.5</v>
      </c>
      <c r="J360" s="72">
        <v>31110</v>
      </c>
      <c r="K360" s="72">
        <v>36264</v>
      </c>
      <c r="L360" s="72">
        <v>40239</v>
      </c>
      <c r="M360" s="73">
        <v>1027.5</v>
      </c>
      <c r="N360" s="74">
        <v>877.5</v>
      </c>
      <c r="O360" s="60"/>
      <c r="P360" s="2"/>
      <c r="Q360" s="2"/>
      <c r="R360" s="2"/>
      <c r="S360" s="2"/>
      <c r="T360" s="2"/>
      <c r="U360" s="2"/>
      <c r="V360" s="2"/>
      <c r="W360" s="2"/>
      <c r="X360" s="2"/>
      <c r="Y360" s="38"/>
    </row>
    <row r="361" spans="2:25" ht="15.75" customHeight="1" x14ac:dyDescent="0.3">
      <c r="B361" s="2"/>
      <c r="C361" s="53" t="s">
        <v>687</v>
      </c>
      <c r="D361" s="54" t="s">
        <v>688</v>
      </c>
      <c r="E361" s="55" t="s">
        <v>58</v>
      </c>
      <c r="F361" s="56">
        <v>5293</v>
      </c>
      <c r="G361" s="57">
        <v>5773</v>
      </c>
      <c r="H361" s="57">
        <v>6348</v>
      </c>
      <c r="I361" s="57">
        <v>7677</v>
      </c>
      <c r="J361" s="57">
        <v>10038</v>
      </c>
      <c r="K361" s="57">
        <v>13249</v>
      </c>
      <c r="L361" s="57">
        <v>15812</v>
      </c>
      <c r="M361" s="58">
        <v>673</v>
      </c>
      <c r="N361" s="59">
        <v>559</v>
      </c>
      <c r="O361" s="60"/>
      <c r="P361" s="2"/>
      <c r="Q361" s="2"/>
      <c r="R361" s="2"/>
      <c r="S361" s="2"/>
      <c r="T361" s="2"/>
      <c r="U361" s="2"/>
      <c r="V361" s="2"/>
      <c r="W361" s="2"/>
      <c r="X361" s="2"/>
      <c r="Y361" s="38"/>
    </row>
    <row r="362" spans="2:25" ht="15.75" customHeight="1" x14ac:dyDescent="0.3">
      <c r="B362" s="2"/>
      <c r="C362" s="61" t="s">
        <v>687</v>
      </c>
      <c r="D362" s="62" t="s">
        <v>689</v>
      </c>
      <c r="E362" s="63" t="s">
        <v>690</v>
      </c>
      <c r="F362" s="64">
        <v>5293</v>
      </c>
      <c r="G362" s="65">
        <v>5773</v>
      </c>
      <c r="H362" s="65">
        <v>6348</v>
      </c>
      <c r="I362" s="65">
        <v>7677</v>
      </c>
      <c r="J362" s="65">
        <v>10038</v>
      </c>
      <c r="K362" s="65">
        <v>13249</v>
      </c>
      <c r="L362" s="65">
        <v>15812</v>
      </c>
      <c r="M362" s="66">
        <v>673</v>
      </c>
      <c r="N362" s="67">
        <v>559</v>
      </c>
      <c r="O362" s="60"/>
      <c r="P362" s="2"/>
      <c r="Q362" s="2"/>
      <c r="R362" s="2"/>
      <c r="S362" s="2"/>
      <c r="T362" s="2"/>
      <c r="U362" s="2"/>
      <c r="V362" s="2"/>
      <c r="W362" s="2"/>
      <c r="X362" s="2"/>
      <c r="Y362" s="38"/>
    </row>
    <row r="363" spans="2:25" ht="15.75" customHeight="1" x14ac:dyDescent="0.3">
      <c r="B363" s="2"/>
      <c r="C363" s="61" t="s">
        <v>687</v>
      </c>
      <c r="D363" s="62" t="s">
        <v>691</v>
      </c>
      <c r="E363" s="63" t="s">
        <v>692</v>
      </c>
      <c r="F363" s="64">
        <v>22939.5</v>
      </c>
      <c r="G363" s="65">
        <v>23659.5</v>
      </c>
      <c r="H363" s="65">
        <v>24522</v>
      </c>
      <c r="I363" s="65">
        <v>26515.5</v>
      </c>
      <c r="J363" s="65">
        <v>30057</v>
      </c>
      <c r="K363" s="65">
        <v>34873.5</v>
      </c>
      <c r="L363" s="65">
        <v>38718</v>
      </c>
      <c r="M363" s="66">
        <v>1009.5</v>
      </c>
      <c r="N363" s="67">
        <v>838.5</v>
      </c>
      <c r="O363" s="60"/>
      <c r="P363" s="2"/>
      <c r="Q363" s="2"/>
      <c r="R363" s="2"/>
      <c r="S363" s="2"/>
      <c r="T363" s="2"/>
      <c r="U363" s="2"/>
      <c r="V363" s="2"/>
      <c r="W363" s="2"/>
      <c r="X363" s="2"/>
      <c r="Y363" s="38"/>
    </row>
    <row r="364" spans="2:25" ht="15.75" customHeight="1" x14ac:dyDescent="0.3">
      <c r="B364" s="2"/>
      <c r="C364" s="61" t="s">
        <v>687</v>
      </c>
      <c r="D364" s="62" t="s">
        <v>693</v>
      </c>
      <c r="E364" s="63" t="s">
        <v>694</v>
      </c>
      <c r="F364" s="64">
        <v>22939.5</v>
      </c>
      <c r="G364" s="65">
        <v>23659.5</v>
      </c>
      <c r="H364" s="65">
        <v>24522</v>
      </c>
      <c r="I364" s="65">
        <v>26515.5</v>
      </c>
      <c r="J364" s="65">
        <v>30057</v>
      </c>
      <c r="K364" s="65">
        <v>34873.5</v>
      </c>
      <c r="L364" s="65">
        <v>38718</v>
      </c>
      <c r="M364" s="66">
        <v>1009.5</v>
      </c>
      <c r="N364" s="67">
        <v>838.5</v>
      </c>
      <c r="O364" s="60"/>
      <c r="P364" s="2"/>
      <c r="Q364" s="2"/>
      <c r="R364" s="2"/>
      <c r="S364" s="2"/>
      <c r="T364" s="2"/>
      <c r="U364" s="2"/>
      <c r="V364" s="2"/>
      <c r="W364" s="2"/>
      <c r="X364" s="2"/>
      <c r="Y364" s="38"/>
    </row>
    <row r="365" spans="2:25" ht="15.75" customHeight="1" x14ac:dyDescent="0.3">
      <c r="B365" s="2"/>
      <c r="C365" s="61" t="s">
        <v>687</v>
      </c>
      <c r="D365" s="62" t="s">
        <v>695</v>
      </c>
      <c r="E365" s="63" t="s">
        <v>696</v>
      </c>
      <c r="F365" s="64">
        <v>7939.5</v>
      </c>
      <c r="G365" s="65">
        <v>8659.5</v>
      </c>
      <c r="H365" s="65">
        <v>9522</v>
      </c>
      <c r="I365" s="65">
        <v>11515.5</v>
      </c>
      <c r="J365" s="65">
        <v>15057</v>
      </c>
      <c r="K365" s="65">
        <v>19873.5</v>
      </c>
      <c r="L365" s="65">
        <v>23718</v>
      </c>
      <c r="M365" s="66">
        <v>1009.5</v>
      </c>
      <c r="N365" s="67">
        <v>838.5</v>
      </c>
      <c r="O365" s="60"/>
      <c r="P365" s="2"/>
      <c r="Q365" s="2"/>
      <c r="R365" s="2"/>
      <c r="S365" s="2"/>
      <c r="T365" s="2"/>
      <c r="U365" s="2"/>
      <c r="V365" s="2"/>
      <c r="W365" s="2"/>
      <c r="X365" s="2"/>
      <c r="Y365" s="38"/>
    </row>
    <row r="366" spans="2:25" ht="15.75" customHeight="1" x14ac:dyDescent="0.3">
      <c r="B366" s="2"/>
      <c r="C366" s="61" t="s">
        <v>687</v>
      </c>
      <c r="D366" s="62" t="s">
        <v>697</v>
      </c>
      <c r="E366" s="63" t="s">
        <v>698</v>
      </c>
      <c r="F366" s="64">
        <v>7939.5</v>
      </c>
      <c r="G366" s="65">
        <v>8659.5</v>
      </c>
      <c r="H366" s="65">
        <v>9522</v>
      </c>
      <c r="I366" s="65">
        <v>11515.5</v>
      </c>
      <c r="J366" s="65">
        <v>15057</v>
      </c>
      <c r="K366" s="65">
        <v>19873.5</v>
      </c>
      <c r="L366" s="65">
        <v>23718</v>
      </c>
      <c r="M366" s="66">
        <v>1009.5</v>
      </c>
      <c r="N366" s="67">
        <v>838.5</v>
      </c>
      <c r="O366" s="60"/>
      <c r="P366" s="2"/>
      <c r="Q366" s="2"/>
      <c r="R366" s="2"/>
      <c r="S366" s="2"/>
      <c r="T366" s="2"/>
      <c r="U366" s="2"/>
      <c r="V366" s="2"/>
      <c r="W366" s="2"/>
      <c r="X366" s="2"/>
      <c r="Y366" s="38"/>
    </row>
    <row r="367" spans="2:25" ht="15.75" customHeight="1" thickBot="1" x14ac:dyDescent="0.35">
      <c r="B367" s="2"/>
      <c r="C367" s="68" t="s">
        <v>687</v>
      </c>
      <c r="D367" s="69" t="s">
        <v>699</v>
      </c>
      <c r="E367" s="70" t="s">
        <v>700</v>
      </c>
      <c r="F367" s="71">
        <v>7939.5</v>
      </c>
      <c r="G367" s="72">
        <v>8659.5</v>
      </c>
      <c r="H367" s="72">
        <v>9522</v>
      </c>
      <c r="I367" s="72">
        <v>11515.5</v>
      </c>
      <c r="J367" s="72">
        <v>15057</v>
      </c>
      <c r="K367" s="72">
        <v>19873.5</v>
      </c>
      <c r="L367" s="72">
        <v>23718</v>
      </c>
      <c r="M367" s="73">
        <v>1009.5</v>
      </c>
      <c r="N367" s="74">
        <v>838.5</v>
      </c>
      <c r="O367" s="60"/>
      <c r="P367" s="2"/>
      <c r="Q367" s="2"/>
      <c r="R367" s="2"/>
      <c r="S367" s="2"/>
      <c r="T367" s="2"/>
      <c r="U367" s="2"/>
      <c r="V367" s="2"/>
      <c r="W367" s="2"/>
      <c r="X367" s="2"/>
      <c r="Y367" s="38"/>
    </row>
    <row r="368" spans="2:25" ht="15.75" customHeight="1" x14ac:dyDescent="0.3">
      <c r="B368" s="2"/>
      <c r="C368" s="53" t="s">
        <v>701</v>
      </c>
      <c r="D368" s="54" t="s">
        <v>702</v>
      </c>
      <c r="E368" s="55" t="s">
        <v>60</v>
      </c>
      <c r="F368" s="56">
        <v>5081</v>
      </c>
      <c r="G368" s="57">
        <v>5432</v>
      </c>
      <c r="H368" s="57">
        <v>5971</v>
      </c>
      <c r="I368" s="57">
        <v>7220</v>
      </c>
      <c r="J368" s="57">
        <v>8990</v>
      </c>
      <c r="K368" s="57">
        <v>11867</v>
      </c>
      <c r="L368" s="57">
        <v>14235</v>
      </c>
      <c r="M368" s="58">
        <v>643</v>
      </c>
      <c r="N368" s="59">
        <v>530</v>
      </c>
      <c r="O368" s="60"/>
      <c r="P368" s="2"/>
      <c r="Q368" s="2"/>
      <c r="R368" s="2"/>
      <c r="S368" s="2"/>
      <c r="T368" s="2"/>
      <c r="U368" s="2"/>
      <c r="V368" s="2"/>
      <c r="W368" s="2"/>
      <c r="X368" s="2"/>
      <c r="Y368" s="38"/>
    </row>
    <row r="369" spans="2:25" ht="15.75" customHeight="1" x14ac:dyDescent="0.3">
      <c r="B369" s="2"/>
      <c r="C369" s="61" t="s">
        <v>701</v>
      </c>
      <c r="D369" s="62" t="s">
        <v>703</v>
      </c>
      <c r="E369" s="63" t="s">
        <v>59</v>
      </c>
      <c r="F369" s="64">
        <v>5293</v>
      </c>
      <c r="G369" s="65">
        <v>5773</v>
      </c>
      <c r="H369" s="65">
        <v>6348</v>
      </c>
      <c r="I369" s="65">
        <v>7677</v>
      </c>
      <c r="J369" s="65">
        <v>10038</v>
      </c>
      <c r="K369" s="65">
        <v>13249</v>
      </c>
      <c r="L369" s="65">
        <v>15812</v>
      </c>
      <c r="M369" s="66">
        <v>673</v>
      </c>
      <c r="N369" s="67">
        <v>559</v>
      </c>
      <c r="O369" s="60"/>
      <c r="P369" s="2"/>
      <c r="Q369" s="2"/>
      <c r="R369" s="2"/>
      <c r="S369" s="2"/>
      <c r="T369" s="2"/>
      <c r="U369" s="2"/>
      <c r="V369" s="2"/>
      <c r="W369" s="2"/>
      <c r="X369" s="2"/>
      <c r="Y369" s="38"/>
    </row>
    <row r="370" spans="2:25" ht="15.75" customHeight="1" x14ac:dyDescent="0.3">
      <c r="B370" s="2"/>
      <c r="C370" s="61" t="s">
        <v>701</v>
      </c>
      <c r="D370" s="62" t="s">
        <v>704</v>
      </c>
      <c r="E370" s="63" t="s">
        <v>705</v>
      </c>
      <c r="F370" s="64">
        <v>7621.5</v>
      </c>
      <c r="G370" s="65">
        <v>8148</v>
      </c>
      <c r="H370" s="65">
        <v>8956.5</v>
      </c>
      <c r="I370" s="65">
        <v>10830</v>
      </c>
      <c r="J370" s="65">
        <v>13485</v>
      </c>
      <c r="K370" s="65">
        <v>17800.5</v>
      </c>
      <c r="L370" s="65">
        <v>21352.5</v>
      </c>
      <c r="M370" s="66">
        <v>964.5</v>
      </c>
      <c r="N370" s="67">
        <v>795</v>
      </c>
      <c r="O370" s="60"/>
      <c r="P370" s="2"/>
      <c r="Q370" s="2"/>
      <c r="R370" s="2"/>
      <c r="S370" s="2"/>
      <c r="T370" s="2"/>
      <c r="U370" s="2"/>
      <c r="V370" s="2"/>
      <c r="W370" s="2"/>
      <c r="X370" s="2"/>
      <c r="Y370" s="38"/>
    </row>
    <row r="371" spans="2:25" ht="15.75" customHeight="1" x14ac:dyDescent="0.3">
      <c r="B371" s="2"/>
      <c r="C371" s="61" t="s">
        <v>701</v>
      </c>
      <c r="D371" s="62" t="s">
        <v>706</v>
      </c>
      <c r="E371" s="63" t="s">
        <v>707</v>
      </c>
      <c r="F371" s="64">
        <v>7621.5</v>
      </c>
      <c r="G371" s="65">
        <v>8148</v>
      </c>
      <c r="H371" s="65">
        <v>8956.5</v>
      </c>
      <c r="I371" s="65">
        <v>10830</v>
      </c>
      <c r="J371" s="65">
        <v>13485</v>
      </c>
      <c r="K371" s="65">
        <v>17800.5</v>
      </c>
      <c r="L371" s="65">
        <v>21352.5</v>
      </c>
      <c r="M371" s="66">
        <v>964.5</v>
      </c>
      <c r="N371" s="67">
        <v>795</v>
      </c>
      <c r="O371" s="60"/>
      <c r="P371" s="2"/>
      <c r="Q371" s="2"/>
      <c r="R371" s="2"/>
      <c r="S371" s="2"/>
      <c r="T371" s="2"/>
      <c r="U371" s="2"/>
      <c r="V371" s="2"/>
      <c r="W371" s="2"/>
      <c r="X371" s="2"/>
      <c r="Y371" s="38"/>
    </row>
    <row r="372" spans="2:25" ht="15.75" customHeight="1" x14ac:dyDescent="0.3">
      <c r="B372" s="2"/>
      <c r="C372" s="61" t="s">
        <v>701</v>
      </c>
      <c r="D372" s="62" t="s">
        <v>708</v>
      </c>
      <c r="E372" s="63" t="s">
        <v>709</v>
      </c>
      <c r="F372" s="64">
        <v>22939.5</v>
      </c>
      <c r="G372" s="65">
        <v>23659.5</v>
      </c>
      <c r="H372" s="65">
        <v>24522</v>
      </c>
      <c r="I372" s="65">
        <v>26515.5</v>
      </c>
      <c r="J372" s="65">
        <v>30057</v>
      </c>
      <c r="K372" s="65">
        <v>34873.5</v>
      </c>
      <c r="L372" s="65">
        <v>38718</v>
      </c>
      <c r="M372" s="66">
        <v>1009.5</v>
      </c>
      <c r="N372" s="67">
        <v>838.5</v>
      </c>
      <c r="O372" s="60"/>
      <c r="P372" s="2"/>
      <c r="Q372" s="2"/>
      <c r="R372" s="2"/>
      <c r="S372" s="2"/>
      <c r="T372" s="2"/>
      <c r="U372" s="2"/>
      <c r="V372" s="2"/>
      <c r="W372" s="2"/>
      <c r="X372" s="2"/>
      <c r="Y372" s="38"/>
    </row>
    <row r="373" spans="2:25" ht="15.75" customHeight="1" x14ac:dyDescent="0.3">
      <c r="B373" s="2"/>
      <c r="C373" s="61" t="s">
        <v>701</v>
      </c>
      <c r="D373" s="62" t="s">
        <v>710</v>
      </c>
      <c r="E373" s="63" t="s">
        <v>711</v>
      </c>
      <c r="F373" s="64">
        <v>7939.5</v>
      </c>
      <c r="G373" s="65">
        <v>8659.5</v>
      </c>
      <c r="H373" s="65">
        <v>9522</v>
      </c>
      <c r="I373" s="65">
        <v>11515.5</v>
      </c>
      <c r="J373" s="65">
        <v>15057</v>
      </c>
      <c r="K373" s="65">
        <v>19873.5</v>
      </c>
      <c r="L373" s="65">
        <v>23718</v>
      </c>
      <c r="M373" s="66">
        <v>1009.5</v>
      </c>
      <c r="N373" s="67">
        <v>838.5</v>
      </c>
      <c r="O373" s="60"/>
      <c r="P373" s="2"/>
      <c r="Q373" s="2"/>
      <c r="R373" s="2"/>
      <c r="S373" s="2"/>
      <c r="T373" s="2"/>
      <c r="U373" s="2"/>
      <c r="V373" s="2"/>
      <c r="W373" s="2"/>
      <c r="X373" s="2"/>
      <c r="Y373" s="38"/>
    </row>
    <row r="374" spans="2:25" ht="15.75" customHeight="1" x14ac:dyDescent="0.3">
      <c r="B374" s="2"/>
      <c r="C374" s="61" t="s">
        <v>701</v>
      </c>
      <c r="D374" s="62" t="s">
        <v>712</v>
      </c>
      <c r="E374" s="63" t="s">
        <v>713</v>
      </c>
      <c r="F374" s="64">
        <v>7939.5</v>
      </c>
      <c r="G374" s="65">
        <v>8659.5</v>
      </c>
      <c r="H374" s="65">
        <v>9522</v>
      </c>
      <c r="I374" s="65">
        <v>11515.5</v>
      </c>
      <c r="J374" s="65">
        <v>15057</v>
      </c>
      <c r="K374" s="65">
        <v>19873.5</v>
      </c>
      <c r="L374" s="65">
        <v>23718</v>
      </c>
      <c r="M374" s="66">
        <v>1009.5</v>
      </c>
      <c r="N374" s="67">
        <v>838.5</v>
      </c>
      <c r="O374" s="60"/>
      <c r="P374" s="2"/>
      <c r="Q374" s="2"/>
      <c r="R374" s="2"/>
      <c r="S374" s="2"/>
      <c r="T374" s="2"/>
      <c r="U374" s="2"/>
      <c r="V374" s="2"/>
      <c r="W374" s="2"/>
      <c r="X374" s="2"/>
      <c r="Y374" s="38"/>
    </row>
    <row r="375" spans="2:25" ht="15.75" customHeight="1" x14ac:dyDescent="0.3">
      <c r="B375" s="2"/>
      <c r="C375" s="61" t="s">
        <v>701</v>
      </c>
      <c r="D375" s="62" t="s">
        <v>714</v>
      </c>
      <c r="E375" s="63" t="s">
        <v>715</v>
      </c>
      <c r="F375" s="64">
        <v>7621.5</v>
      </c>
      <c r="G375" s="65">
        <v>8148</v>
      </c>
      <c r="H375" s="65">
        <v>8956.5</v>
      </c>
      <c r="I375" s="65">
        <v>10830</v>
      </c>
      <c r="J375" s="65">
        <v>13485</v>
      </c>
      <c r="K375" s="65">
        <v>17800.5</v>
      </c>
      <c r="L375" s="65">
        <v>21352.5</v>
      </c>
      <c r="M375" s="66">
        <v>964.5</v>
      </c>
      <c r="N375" s="67">
        <v>795</v>
      </c>
      <c r="O375" s="60"/>
      <c r="P375" s="2"/>
      <c r="Q375" s="2"/>
      <c r="R375" s="2"/>
      <c r="S375" s="2"/>
      <c r="T375" s="2"/>
      <c r="U375" s="2"/>
      <c r="V375" s="2"/>
      <c r="W375" s="2"/>
      <c r="X375" s="2"/>
      <c r="Y375" s="38"/>
    </row>
    <row r="376" spans="2:25" ht="15.75" customHeight="1" thickBot="1" x14ac:dyDescent="0.35">
      <c r="B376" s="2"/>
      <c r="C376" s="68" t="s">
        <v>701</v>
      </c>
      <c r="D376" s="69" t="s">
        <v>716</v>
      </c>
      <c r="E376" s="70" t="s">
        <v>717</v>
      </c>
      <c r="F376" s="71">
        <v>7621.5</v>
      </c>
      <c r="G376" s="72">
        <v>8148</v>
      </c>
      <c r="H376" s="72">
        <v>8956.5</v>
      </c>
      <c r="I376" s="72">
        <v>10830</v>
      </c>
      <c r="J376" s="72">
        <v>13485</v>
      </c>
      <c r="K376" s="72">
        <v>17800.5</v>
      </c>
      <c r="L376" s="72">
        <v>21352.5</v>
      </c>
      <c r="M376" s="73">
        <v>964.5</v>
      </c>
      <c r="N376" s="74">
        <v>795</v>
      </c>
      <c r="O376" s="60"/>
      <c r="P376" s="2"/>
      <c r="Q376" s="2"/>
      <c r="R376" s="2"/>
      <c r="S376" s="2"/>
      <c r="T376" s="2"/>
      <c r="U376" s="2"/>
      <c r="V376" s="2"/>
      <c r="W376" s="2"/>
      <c r="X376" s="2"/>
      <c r="Y376" s="38"/>
    </row>
    <row r="377" spans="2:25" ht="15.75" customHeight="1" x14ac:dyDescent="0.3">
      <c r="B377" s="2"/>
      <c r="C377" s="53" t="s">
        <v>718</v>
      </c>
      <c r="D377" s="54" t="s">
        <v>719</v>
      </c>
      <c r="E377" s="55" t="s">
        <v>62</v>
      </c>
      <c r="F377" s="56">
        <v>5943</v>
      </c>
      <c r="G377" s="57">
        <v>6631</v>
      </c>
      <c r="H377" s="57">
        <v>7509</v>
      </c>
      <c r="I377" s="57">
        <v>9013</v>
      </c>
      <c r="J377" s="57">
        <v>11211</v>
      </c>
      <c r="K377" s="57">
        <v>14921</v>
      </c>
      <c r="L377" s="57">
        <v>17715</v>
      </c>
      <c r="M377" s="58">
        <v>737</v>
      </c>
      <c r="N377" s="59">
        <v>569</v>
      </c>
      <c r="O377" s="60"/>
      <c r="P377" s="2"/>
      <c r="Q377" s="2"/>
      <c r="R377" s="2"/>
      <c r="S377" s="2"/>
      <c r="T377" s="2"/>
      <c r="U377" s="2"/>
      <c r="V377" s="2"/>
      <c r="W377" s="2"/>
      <c r="X377" s="2"/>
      <c r="Y377" s="38"/>
    </row>
    <row r="378" spans="2:25" ht="15.75" customHeight="1" x14ac:dyDescent="0.3">
      <c r="B378" s="2"/>
      <c r="C378" s="61" t="s">
        <v>718</v>
      </c>
      <c r="D378" s="62" t="s">
        <v>720</v>
      </c>
      <c r="E378" s="63" t="s">
        <v>721</v>
      </c>
      <c r="F378" s="64">
        <v>8914.5</v>
      </c>
      <c r="G378" s="65">
        <v>9946.5</v>
      </c>
      <c r="H378" s="65">
        <v>11263.5</v>
      </c>
      <c r="I378" s="65">
        <v>13519.5</v>
      </c>
      <c r="J378" s="65">
        <v>16816.5</v>
      </c>
      <c r="K378" s="65">
        <v>22381.5</v>
      </c>
      <c r="L378" s="65">
        <v>26572.5</v>
      </c>
      <c r="M378" s="66">
        <v>1105.5</v>
      </c>
      <c r="N378" s="67">
        <v>853.5</v>
      </c>
      <c r="O378" s="60"/>
      <c r="P378" s="2"/>
      <c r="Q378" s="2"/>
      <c r="R378" s="2"/>
      <c r="S378" s="2"/>
      <c r="T378" s="2"/>
      <c r="U378" s="2"/>
      <c r="V378" s="2"/>
      <c r="W378" s="2"/>
      <c r="X378" s="2"/>
      <c r="Y378" s="38"/>
    </row>
    <row r="379" spans="2:25" ht="15.75" customHeight="1" x14ac:dyDescent="0.3">
      <c r="B379" s="2"/>
      <c r="C379" s="61" t="s">
        <v>718</v>
      </c>
      <c r="D379" s="62" t="s">
        <v>722</v>
      </c>
      <c r="E379" s="63" t="s">
        <v>723</v>
      </c>
      <c r="F379" s="64">
        <v>8914.5</v>
      </c>
      <c r="G379" s="65">
        <v>9946.5</v>
      </c>
      <c r="H379" s="65">
        <v>11263.5</v>
      </c>
      <c r="I379" s="65">
        <v>13519.5</v>
      </c>
      <c r="J379" s="65">
        <v>16816.5</v>
      </c>
      <c r="K379" s="65">
        <v>22381.5</v>
      </c>
      <c r="L379" s="65">
        <v>26572.5</v>
      </c>
      <c r="M379" s="66">
        <v>1105.5</v>
      </c>
      <c r="N379" s="67">
        <v>853.5</v>
      </c>
      <c r="O379" s="60"/>
      <c r="P379" s="2"/>
      <c r="Q379" s="2"/>
      <c r="R379" s="2"/>
      <c r="S379" s="2"/>
      <c r="T379" s="2"/>
      <c r="U379" s="2"/>
      <c r="V379" s="2"/>
      <c r="W379" s="2"/>
      <c r="X379" s="2"/>
      <c r="Y379" s="38"/>
    </row>
    <row r="380" spans="2:25" ht="15.75" customHeight="1" x14ac:dyDescent="0.3">
      <c r="B380" s="2"/>
      <c r="C380" s="61" t="s">
        <v>718</v>
      </c>
      <c r="D380" s="62" t="s">
        <v>724</v>
      </c>
      <c r="E380" s="63" t="s">
        <v>725</v>
      </c>
      <c r="F380" s="64">
        <v>8914.5</v>
      </c>
      <c r="G380" s="65">
        <v>9946.5</v>
      </c>
      <c r="H380" s="65">
        <v>11263.5</v>
      </c>
      <c r="I380" s="65">
        <v>13519.5</v>
      </c>
      <c r="J380" s="65">
        <v>16816.5</v>
      </c>
      <c r="K380" s="65">
        <v>22381.5</v>
      </c>
      <c r="L380" s="65">
        <v>26572.5</v>
      </c>
      <c r="M380" s="66">
        <v>1105.5</v>
      </c>
      <c r="N380" s="67">
        <v>853.5</v>
      </c>
      <c r="O380" s="60"/>
      <c r="P380" s="2"/>
      <c r="Q380" s="2"/>
      <c r="R380" s="2"/>
      <c r="S380" s="2"/>
      <c r="T380" s="2"/>
      <c r="U380" s="2"/>
      <c r="V380" s="2"/>
      <c r="W380" s="2"/>
      <c r="X380" s="2"/>
      <c r="Y380" s="38"/>
    </row>
    <row r="381" spans="2:25" ht="15.75" customHeight="1" x14ac:dyDescent="0.3">
      <c r="B381" s="2"/>
      <c r="C381" s="61" t="s">
        <v>718</v>
      </c>
      <c r="D381" s="62" t="s">
        <v>726</v>
      </c>
      <c r="E381" s="63" t="s">
        <v>727</v>
      </c>
      <c r="F381" s="64">
        <v>23914.5</v>
      </c>
      <c r="G381" s="65">
        <v>24946.5</v>
      </c>
      <c r="H381" s="65">
        <v>26263.5</v>
      </c>
      <c r="I381" s="65">
        <v>28519.5</v>
      </c>
      <c r="J381" s="65">
        <v>31816.5</v>
      </c>
      <c r="K381" s="65">
        <v>37381.5</v>
      </c>
      <c r="L381" s="65">
        <v>41572.5</v>
      </c>
      <c r="M381" s="66">
        <v>1105.5</v>
      </c>
      <c r="N381" s="67">
        <v>853.5</v>
      </c>
      <c r="O381" s="60"/>
      <c r="P381" s="2"/>
      <c r="Q381" s="2"/>
      <c r="R381" s="2"/>
      <c r="S381" s="2"/>
      <c r="T381" s="2"/>
      <c r="U381" s="2"/>
      <c r="V381" s="2"/>
      <c r="W381" s="2"/>
      <c r="X381" s="2"/>
      <c r="Y381" s="38"/>
    </row>
    <row r="382" spans="2:25" ht="15.75" customHeight="1" x14ac:dyDescent="0.3">
      <c r="B382" s="2"/>
      <c r="C382" s="61" t="s">
        <v>718</v>
      </c>
      <c r="D382" s="62" t="s">
        <v>728</v>
      </c>
      <c r="E382" s="63" t="s">
        <v>729</v>
      </c>
      <c r="F382" s="64">
        <v>23914.5</v>
      </c>
      <c r="G382" s="65">
        <v>24946.5</v>
      </c>
      <c r="H382" s="65">
        <v>26263.5</v>
      </c>
      <c r="I382" s="65">
        <v>28519.5</v>
      </c>
      <c r="J382" s="65">
        <v>31816.5</v>
      </c>
      <c r="K382" s="65">
        <v>37381.5</v>
      </c>
      <c r="L382" s="65">
        <v>41572.5</v>
      </c>
      <c r="M382" s="66">
        <v>1105.5</v>
      </c>
      <c r="N382" s="67">
        <v>853.5</v>
      </c>
      <c r="O382" s="60"/>
      <c r="P382" s="2"/>
      <c r="Q382" s="2"/>
      <c r="R382" s="2"/>
      <c r="S382" s="2"/>
      <c r="T382" s="2"/>
      <c r="U382" s="2"/>
      <c r="V382" s="2"/>
      <c r="W382" s="2"/>
      <c r="X382" s="2"/>
      <c r="Y382" s="38"/>
    </row>
    <row r="383" spans="2:25" ht="15.75" customHeight="1" x14ac:dyDescent="0.3">
      <c r="B383" s="2"/>
      <c r="C383" s="61" t="s">
        <v>718</v>
      </c>
      <c r="D383" s="62" t="s">
        <v>730</v>
      </c>
      <c r="E383" s="63" t="s">
        <v>731</v>
      </c>
      <c r="F383" s="64">
        <v>23914.5</v>
      </c>
      <c r="G383" s="65">
        <v>24946.5</v>
      </c>
      <c r="H383" s="65">
        <v>26263.5</v>
      </c>
      <c r="I383" s="65">
        <v>28519.5</v>
      </c>
      <c r="J383" s="65">
        <v>31816.5</v>
      </c>
      <c r="K383" s="65">
        <v>37381.5</v>
      </c>
      <c r="L383" s="65">
        <v>41572.5</v>
      </c>
      <c r="M383" s="66">
        <v>1105.5</v>
      </c>
      <c r="N383" s="67">
        <v>853.5</v>
      </c>
      <c r="O383" s="60"/>
      <c r="P383" s="2"/>
      <c r="Q383" s="2"/>
      <c r="R383" s="2"/>
      <c r="S383" s="2"/>
      <c r="T383" s="2"/>
      <c r="U383" s="2"/>
      <c r="V383" s="2"/>
      <c r="W383" s="2"/>
      <c r="X383" s="2"/>
      <c r="Y383" s="38"/>
    </row>
    <row r="384" spans="2:25" ht="15.75" customHeight="1" x14ac:dyDescent="0.3">
      <c r="B384" s="2"/>
      <c r="C384" s="61" t="s">
        <v>718</v>
      </c>
      <c r="D384" s="62" t="s">
        <v>732</v>
      </c>
      <c r="E384" s="63" t="s">
        <v>733</v>
      </c>
      <c r="F384" s="64">
        <v>8914.5</v>
      </c>
      <c r="G384" s="65">
        <v>9946.5</v>
      </c>
      <c r="H384" s="65">
        <v>11263.5</v>
      </c>
      <c r="I384" s="65">
        <v>13519.5</v>
      </c>
      <c r="J384" s="65">
        <v>16816.5</v>
      </c>
      <c r="K384" s="65">
        <v>22381.5</v>
      </c>
      <c r="L384" s="65">
        <v>26572.5</v>
      </c>
      <c r="M384" s="66">
        <v>1105.5</v>
      </c>
      <c r="N384" s="67">
        <v>853.5</v>
      </c>
      <c r="O384" s="60"/>
      <c r="P384" s="2"/>
      <c r="Q384" s="2"/>
      <c r="R384" s="2"/>
      <c r="S384" s="2"/>
      <c r="T384" s="2"/>
      <c r="U384" s="2"/>
      <c r="V384" s="2"/>
      <c r="W384" s="2"/>
      <c r="X384" s="2"/>
      <c r="Y384" s="38"/>
    </row>
    <row r="385" spans="2:25" ht="15.75" customHeight="1" x14ac:dyDescent="0.3">
      <c r="B385" s="2"/>
      <c r="C385" s="61" t="s">
        <v>718</v>
      </c>
      <c r="D385" s="62" t="s">
        <v>734</v>
      </c>
      <c r="E385" s="63" t="s">
        <v>735</v>
      </c>
      <c r="F385" s="64">
        <v>8914.5</v>
      </c>
      <c r="G385" s="65">
        <v>9946.5</v>
      </c>
      <c r="H385" s="65">
        <v>11263.5</v>
      </c>
      <c r="I385" s="65">
        <v>13519.5</v>
      </c>
      <c r="J385" s="65">
        <v>16816.5</v>
      </c>
      <c r="K385" s="65">
        <v>22381.5</v>
      </c>
      <c r="L385" s="65">
        <v>26572.5</v>
      </c>
      <c r="M385" s="66">
        <v>1105.5</v>
      </c>
      <c r="N385" s="67">
        <v>853.5</v>
      </c>
      <c r="O385" s="60"/>
      <c r="P385" s="2"/>
      <c r="Q385" s="2"/>
      <c r="R385" s="2"/>
      <c r="S385" s="2"/>
      <c r="T385" s="2"/>
      <c r="U385" s="2"/>
      <c r="V385" s="2"/>
      <c r="W385" s="2"/>
      <c r="X385" s="2"/>
      <c r="Y385" s="38"/>
    </row>
    <row r="386" spans="2:25" ht="15.75" customHeight="1" thickBot="1" x14ac:dyDescent="0.35">
      <c r="B386" s="2"/>
      <c r="C386" s="68" t="s">
        <v>718</v>
      </c>
      <c r="D386" s="69" t="s">
        <v>736</v>
      </c>
      <c r="E386" s="70" t="s">
        <v>737</v>
      </c>
      <c r="F386" s="71">
        <v>8914.5</v>
      </c>
      <c r="G386" s="72">
        <v>9946.5</v>
      </c>
      <c r="H386" s="72">
        <v>11263.5</v>
      </c>
      <c r="I386" s="72">
        <v>13519.5</v>
      </c>
      <c r="J386" s="72">
        <v>16816.5</v>
      </c>
      <c r="K386" s="72">
        <v>22381.5</v>
      </c>
      <c r="L386" s="72">
        <v>26572.5</v>
      </c>
      <c r="M386" s="73">
        <v>1105.5</v>
      </c>
      <c r="N386" s="74">
        <v>853.5</v>
      </c>
      <c r="O386" s="60"/>
      <c r="P386" s="2"/>
      <c r="Q386" s="2"/>
      <c r="R386" s="2"/>
      <c r="S386" s="2"/>
      <c r="T386" s="2"/>
      <c r="U386" s="2"/>
      <c r="V386" s="2"/>
      <c r="W386" s="2"/>
      <c r="X386" s="2"/>
      <c r="Y386" s="38"/>
    </row>
    <row r="387" spans="2:25" ht="15.75" customHeight="1" x14ac:dyDescent="0.3">
      <c r="B387" s="2"/>
      <c r="C387" s="75" t="s">
        <v>738</v>
      </c>
      <c r="D387" s="76" t="s">
        <v>739</v>
      </c>
      <c r="E387" s="77" t="s">
        <v>64</v>
      </c>
      <c r="F387" s="64">
        <v>5943</v>
      </c>
      <c r="G387" s="65">
        <v>6631</v>
      </c>
      <c r="H387" s="65">
        <v>7509</v>
      </c>
      <c r="I387" s="65">
        <v>9013</v>
      </c>
      <c r="J387" s="65">
        <v>11211</v>
      </c>
      <c r="K387" s="65">
        <v>14921</v>
      </c>
      <c r="L387" s="65">
        <v>17715</v>
      </c>
      <c r="M387" s="66">
        <v>737</v>
      </c>
      <c r="N387" s="67">
        <v>569</v>
      </c>
      <c r="O387" s="60"/>
      <c r="P387" s="2"/>
      <c r="Q387" s="2"/>
      <c r="R387" s="2"/>
      <c r="S387" s="2"/>
      <c r="T387" s="2"/>
      <c r="U387" s="2"/>
      <c r="V387" s="2"/>
      <c r="W387" s="2"/>
      <c r="X387" s="2"/>
      <c r="Y387" s="38"/>
    </row>
    <row r="388" spans="2:25" ht="15.75" customHeight="1" x14ac:dyDescent="0.3">
      <c r="B388" s="2"/>
      <c r="C388" s="61" t="s">
        <v>738</v>
      </c>
      <c r="D388" s="62" t="s">
        <v>740</v>
      </c>
      <c r="E388" s="63" t="s">
        <v>741</v>
      </c>
      <c r="F388" s="64">
        <v>23914.5</v>
      </c>
      <c r="G388" s="65">
        <v>24946.5</v>
      </c>
      <c r="H388" s="65">
        <v>26263.5</v>
      </c>
      <c r="I388" s="65">
        <v>28519.5</v>
      </c>
      <c r="J388" s="65">
        <v>31816.5</v>
      </c>
      <c r="K388" s="65">
        <v>37381.5</v>
      </c>
      <c r="L388" s="65">
        <v>41572.5</v>
      </c>
      <c r="M388" s="66">
        <v>1105.5</v>
      </c>
      <c r="N388" s="67">
        <v>853.5</v>
      </c>
      <c r="O388" s="60"/>
      <c r="P388" s="2"/>
      <c r="Q388" s="2"/>
      <c r="R388" s="2"/>
      <c r="S388" s="2"/>
      <c r="T388" s="2"/>
      <c r="U388" s="2"/>
      <c r="V388" s="2"/>
      <c r="W388" s="2"/>
      <c r="X388" s="2"/>
      <c r="Y388" s="38"/>
    </row>
    <row r="389" spans="2:25" ht="15.75" customHeight="1" x14ac:dyDescent="0.3">
      <c r="B389" s="2"/>
      <c r="C389" s="61" t="s">
        <v>738</v>
      </c>
      <c r="D389" s="62" t="s">
        <v>742</v>
      </c>
      <c r="E389" s="63" t="s">
        <v>743</v>
      </c>
      <c r="F389" s="64">
        <v>8914.5</v>
      </c>
      <c r="G389" s="65">
        <v>9946.5</v>
      </c>
      <c r="H389" s="65">
        <v>11263.5</v>
      </c>
      <c r="I389" s="65">
        <v>13519.5</v>
      </c>
      <c r="J389" s="65">
        <v>16816.5</v>
      </c>
      <c r="K389" s="65">
        <v>22381.5</v>
      </c>
      <c r="L389" s="65">
        <v>26572.5</v>
      </c>
      <c r="M389" s="66">
        <v>1105.5</v>
      </c>
      <c r="N389" s="67">
        <v>853.5</v>
      </c>
      <c r="O389" s="60"/>
      <c r="P389" s="2"/>
      <c r="Q389" s="2"/>
      <c r="R389" s="2"/>
      <c r="S389" s="2"/>
      <c r="T389" s="2"/>
      <c r="U389" s="2"/>
      <c r="V389" s="2"/>
      <c r="W389" s="2"/>
      <c r="X389" s="2"/>
      <c r="Y389" s="38"/>
    </row>
    <row r="390" spans="2:25" ht="15.75" customHeight="1" x14ac:dyDescent="0.3">
      <c r="B390" s="2"/>
      <c r="C390" s="61" t="s">
        <v>738</v>
      </c>
      <c r="D390" s="62" t="s">
        <v>744</v>
      </c>
      <c r="E390" s="63" t="s">
        <v>745</v>
      </c>
      <c r="F390" s="64">
        <v>23914.5</v>
      </c>
      <c r="G390" s="65">
        <v>24946.5</v>
      </c>
      <c r="H390" s="65">
        <v>26263.5</v>
      </c>
      <c r="I390" s="65">
        <v>28519.5</v>
      </c>
      <c r="J390" s="65">
        <v>31816.5</v>
      </c>
      <c r="K390" s="65">
        <v>37381.5</v>
      </c>
      <c r="L390" s="65">
        <v>41572.5</v>
      </c>
      <c r="M390" s="66">
        <v>1105.5</v>
      </c>
      <c r="N390" s="67">
        <v>853.5</v>
      </c>
      <c r="O390" s="60"/>
      <c r="P390" s="2"/>
      <c r="Q390" s="2"/>
      <c r="R390" s="2"/>
      <c r="S390" s="2"/>
      <c r="T390" s="2"/>
      <c r="U390" s="2"/>
      <c r="V390" s="2"/>
      <c r="W390" s="2"/>
      <c r="X390" s="2"/>
      <c r="Y390" s="38"/>
    </row>
    <row r="391" spans="2:25" ht="15.75" customHeight="1" x14ac:dyDescent="0.3">
      <c r="B391" s="2"/>
      <c r="C391" s="61" t="s">
        <v>738</v>
      </c>
      <c r="D391" s="62" t="s">
        <v>746</v>
      </c>
      <c r="E391" s="63" t="s">
        <v>747</v>
      </c>
      <c r="F391" s="64">
        <v>23914.5</v>
      </c>
      <c r="G391" s="65">
        <v>24946.5</v>
      </c>
      <c r="H391" s="65">
        <v>26263.5</v>
      </c>
      <c r="I391" s="65">
        <v>28519.5</v>
      </c>
      <c r="J391" s="65">
        <v>31816.5</v>
      </c>
      <c r="K391" s="65">
        <v>37381.5</v>
      </c>
      <c r="L391" s="65">
        <v>41572.5</v>
      </c>
      <c r="M391" s="66">
        <v>1105.5</v>
      </c>
      <c r="N391" s="67">
        <v>853.5</v>
      </c>
      <c r="O391" s="60"/>
      <c r="P391" s="2"/>
      <c r="Q391" s="2"/>
      <c r="R391" s="2"/>
      <c r="S391" s="2"/>
      <c r="T391" s="2"/>
      <c r="U391" s="2"/>
      <c r="V391" s="2"/>
      <c r="W391" s="2"/>
      <c r="X391" s="2"/>
      <c r="Y391" s="38"/>
    </row>
    <row r="392" spans="2:25" ht="15.75" customHeight="1" x14ac:dyDescent="0.3">
      <c r="B392" s="2"/>
      <c r="C392" s="61" t="s">
        <v>738</v>
      </c>
      <c r="D392" s="62" t="s">
        <v>748</v>
      </c>
      <c r="E392" s="63" t="s">
        <v>749</v>
      </c>
      <c r="F392" s="64">
        <v>23914.5</v>
      </c>
      <c r="G392" s="65">
        <v>24946.5</v>
      </c>
      <c r="H392" s="65">
        <v>26263.5</v>
      </c>
      <c r="I392" s="65">
        <v>28519.5</v>
      </c>
      <c r="J392" s="65">
        <v>31816.5</v>
      </c>
      <c r="K392" s="65">
        <v>37381.5</v>
      </c>
      <c r="L392" s="65">
        <v>41572.5</v>
      </c>
      <c r="M392" s="66">
        <v>1105.5</v>
      </c>
      <c r="N392" s="67">
        <v>853.5</v>
      </c>
      <c r="O392" s="60"/>
      <c r="P392" s="2"/>
      <c r="Q392" s="2"/>
      <c r="R392" s="2"/>
      <c r="S392" s="2"/>
      <c r="T392" s="2"/>
      <c r="U392" s="2"/>
      <c r="V392" s="2"/>
      <c r="W392" s="2"/>
      <c r="X392" s="2"/>
      <c r="Y392" s="38"/>
    </row>
    <row r="393" spans="2:25" ht="15.75" customHeight="1" x14ac:dyDescent="0.3">
      <c r="B393" s="2"/>
      <c r="C393" s="61" t="s">
        <v>738</v>
      </c>
      <c r="D393" s="62" t="s">
        <v>750</v>
      </c>
      <c r="E393" s="63" t="s">
        <v>751</v>
      </c>
      <c r="F393" s="64">
        <v>23914.5</v>
      </c>
      <c r="G393" s="65">
        <v>24946.5</v>
      </c>
      <c r="H393" s="65">
        <v>26263.5</v>
      </c>
      <c r="I393" s="65">
        <v>28519.5</v>
      </c>
      <c r="J393" s="65">
        <v>31816.5</v>
      </c>
      <c r="K393" s="65">
        <v>37381.5</v>
      </c>
      <c r="L393" s="65">
        <v>41572.5</v>
      </c>
      <c r="M393" s="66">
        <v>1105.5</v>
      </c>
      <c r="N393" s="67">
        <v>853.5</v>
      </c>
      <c r="O393" s="60"/>
      <c r="P393" s="2"/>
      <c r="Q393" s="2"/>
      <c r="R393" s="2"/>
      <c r="S393" s="2"/>
      <c r="T393" s="2"/>
      <c r="U393" s="2"/>
      <c r="V393" s="2"/>
      <c r="W393" s="2"/>
      <c r="X393" s="2"/>
      <c r="Y393" s="38"/>
    </row>
    <row r="394" spans="2:25" ht="15.75" customHeight="1" x14ac:dyDescent="0.3">
      <c r="B394" s="2"/>
      <c r="C394" s="61" t="s">
        <v>738</v>
      </c>
      <c r="D394" s="62" t="s">
        <v>752</v>
      </c>
      <c r="E394" s="63" t="s">
        <v>753</v>
      </c>
      <c r="F394" s="64">
        <v>8914.5</v>
      </c>
      <c r="G394" s="65">
        <v>9946.5</v>
      </c>
      <c r="H394" s="65">
        <v>11263.5</v>
      </c>
      <c r="I394" s="65">
        <v>13519.5</v>
      </c>
      <c r="J394" s="65">
        <v>16816.5</v>
      </c>
      <c r="K394" s="65">
        <v>22381.5</v>
      </c>
      <c r="L394" s="65">
        <v>26572.5</v>
      </c>
      <c r="M394" s="66">
        <v>1105.5</v>
      </c>
      <c r="N394" s="67">
        <v>853.5</v>
      </c>
      <c r="O394" s="60"/>
      <c r="P394" s="2"/>
      <c r="Q394" s="2"/>
      <c r="R394" s="2"/>
      <c r="S394" s="2"/>
      <c r="T394" s="2"/>
      <c r="U394" s="2"/>
      <c r="V394" s="2"/>
      <c r="W394" s="2"/>
      <c r="X394" s="2"/>
      <c r="Y394" s="38"/>
    </row>
    <row r="395" spans="2:25" ht="15.75" customHeight="1" x14ac:dyDescent="0.3">
      <c r="B395" s="2"/>
      <c r="C395" s="61" t="s">
        <v>738</v>
      </c>
      <c r="D395" s="62" t="s">
        <v>754</v>
      </c>
      <c r="E395" s="63" t="s">
        <v>755</v>
      </c>
      <c r="F395" s="64">
        <v>23914.5</v>
      </c>
      <c r="G395" s="65">
        <v>24946.5</v>
      </c>
      <c r="H395" s="65">
        <v>26263.5</v>
      </c>
      <c r="I395" s="65">
        <v>28519.5</v>
      </c>
      <c r="J395" s="65">
        <v>31816.5</v>
      </c>
      <c r="K395" s="65">
        <v>37381.5</v>
      </c>
      <c r="L395" s="65">
        <v>41572.5</v>
      </c>
      <c r="M395" s="66">
        <v>1105.5</v>
      </c>
      <c r="N395" s="67">
        <v>853.5</v>
      </c>
      <c r="O395" s="60"/>
      <c r="P395" s="2"/>
      <c r="Q395" s="2"/>
      <c r="R395" s="2"/>
      <c r="S395" s="2"/>
      <c r="T395" s="2"/>
      <c r="U395" s="2"/>
      <c r="V395" s="2"/>
      <c r="W395" s="2"/>
      <c r="X395" s="2"/>
      <c r="Y395" s="38"/>
    </row>
    <row r="396" spans="2:25" ht="15.75" customHeight="1" x14ac:dyDescent="0.3">
      <c r="B396" s="2"/>
      <c r="C396" s="61" t="s">
        <v>738</v>
      </c>
      <c r="D396" s="62" t="s">
        <v>756</v>
      </c>
      <c r="E396" s="63" t="s">
        <v>757</v>
      </c>
      <c r="F396" s="64">
        <v>8914.5</v>
      </c>
      <c r="G396" s="65">
        <v>9946.5</v>
      </c>
      <c r="H396" s="65">
        <v>11263.5</v>
      </c>
      <c r="I396" s="65">
        <v>13519.5</v>
      </c>
      <c r="J396" s="65">
        <v>16816.5</v>
      </c>
      <c r="K396" s="65">
        <v>22381.5</v>
      </c>
      <c r="L396" s="65">
        <v>26572.5</v>
      </c>
      <c r="M396" s="66">
        <v>1105.5</v>
      </c>
      <c r="N396" s="67">
        <v>853.5</v>
      </c>
      <c r="O396" s="60"/>
      <c r="P396" s="2"/>
      <c r="Q396" s="2"/>
      <c r="R396" s="2"/>
      <c r="S396" s="2"/>
      <c r="T396" s="2"/>
      <c r="U396" s="2"/>
      <c r="V396" s="2"/>
      <c r="W396" s="2"/>
      <c r="X396" s="2"/>
      <c r="Y396" s="38"/>
    </row>
    <row r="397" spans="2:25" ht="15.75" customHeight="1" thickBot="1" x14ac:dyDescent="0.35">
      <c r="B397" s="2"/>
      <c r="C397" s="68" t="s">
        <v>738</v>
      </c>
      <c r="D397" s="69" t="s">
        <v>758</v>
      </c>
      <c r="E397" s="70" t="s">
        <v>759</v>
      </c>
      <c r="F397" s="71">
        <v>23914.5</v>
      </c>
      <c r="G397" s="72">
        <v>24946.5</v>
      </c>
      <c r="H397" s="72">
        <v>26263.5</v>
      </c>
      <c r="I397" s="72">
        <v>28519.5</v>
      </c>
      <c r="J397" s="72">
        <v>31816.5</v>
      </c>
      <c r="K397" s="72">
        <v>37381.5</v>
      </c>
      <c r="L397" s="72">
        <v>41572.5</v>
      </c>
      <c r="M397" s="73">
        <v>1105.5</v>
      </c>
      <c r="N397" s="74">
        <v>853.5</v>
      </c>
      <c r="O397" s="60"/>
      <c r="P397" s="2"/>
      <c r="Q397" s="2"/>
      <c r="R397" s="2"/>
      <c r="S397" s="2"/>
      <c r="T397" s="2"/>
      <c r="U397" s="2"/>
      <c r="V397" s="2"/>
      <c r="W397" s="2"/>
      <c r="X397" s="2"/>
      <c r="Y397" s="38"/>
    </row>
    <row r="398" spans="2:25" ht="15.75" customHeight="1" thickBot="1" x14ac:dyDescent="0.35">
      <c r="B398" s="2"/>
      <c r="C398" s="139"/>
      <c r="D398" s="139"/>
      <c r="E398" s="139"/>
      <c r="F398" s="139"/>
      <c r="G398" s="139"/>
      <c r="H398" s="139"/>
      <c r="I398" s="139"/>
      <c r="J398" s="139"/>
      <c r="K398" s="139"/>
      <c r="L398" s="139"/>
      <c r="M398" s="140"/>
      <c r="N398" s="141"/>
      <c r="O398" s="60"/>
      <c r="P398" s="2"/>
      <c r="Q398" s="2"/>
      <c r="R398" s="2"/>
      <c r="S398" s="2"/>
      <c r="T398" s="2"/>
      <c r="U398" s="2"/>
      <c r="V398" s="2"/>
      <c r="W398" s="2"/>
      <c r="X398" s="2"/>
      <c r="Y398" s="38"/>
    </row>
    <row r="399" spans="2:25" ht="15.75" customHeight="1" thickBot="1" x14ac:dyDescent="0.35">
      <c r="B399" s="2"/>
      <c r="C399" s="203" t="s">
        <v>760</v>
      </c>
      <c r="D399" s="170"/>
      <c r="E399" s="170"/>
      <c r="F399" s="170"/>
      <c r="G399" s="170"/>
      <c r="H399" s="170"/>
      <c r="I399" s="170"/>
      <c r="J399" s="170"/>
      <c r="K399" s="170"/>
      <c r="L399" s="170"/>
      <c r="M399" s="170"/>
      <c r="N399" s="171"/>
      <c r="O399" s="83"/>
      <c r="P399" s="2"/>
      <c r="Q399" s="2"/>
      <c r="R399" s="2"/>
      <c r="S399" s="2"/>
      <c r="T399" s="2"/>
      <c r="U399" s="2"/>
      <c r="V399" s="2"/>
      <c r="W399" s="2"/>
      <c r="X399" s="2"/>
      <c r="Y399" s="38"/>
    </row>
    <row r="400" spans="2:25" ht="15.75" customHeight="1" thickBot="1" x14ac:dyDescent="0.35">
      <c r="B400" s="2"/>
      <c r="C400" s="204" t="s">
        <v>70</v>
      </c>
      <c r="D400" s="205"/>
      <c r="E400" s="86" t="s">
        <v>9</v>
      </c>
      <c r="F400" s="86" t="s">
        <v>10</v>
      </c>
      <c r="G400" s="86" t="s">
        <v>11</v>
      </c>
      <c r="H400" s="86" t="s">
        <v>12</v>
      </c>
      <c r="I400" s="87" t="s">
        <v>13</v>
      </c>
      <c r="J400" s="87" t="s">
        <v>14</v>
      </c>
      <c r="K400" s="88" t="s">
        <v>15</v>
      </c>
      <c r="L400" s="50" t="s">
        <v>16</v>
      </c>
      <c r="M400" s="48" t="s">
        <v>17</v>
      </c>
      <c r="N400" s="89" t="s">
        <v>18</v>
      </c>
      <c r="O400" s="90"/>
      <c r="P400" s="2"/>
      <c r="Q400" s="2"/>
      <c r="R400" s="2"/>
      <c r="S400" s="2"/>
      <c r="T400" s="2"/>
      <c r="U400" s="2"/>
      <c r="V400" s="2"/>
      <c r="W400" s="2"/>
      <c r="X400" s="2"/>
      <c r="Y400" s="38"/>
    </row>
    <row r="401" spans="2:25" ht="15.75" customHeight="1" thickBot="1" x14ac:dyDescent="0.35">
      <c r="B401" s="2"/>
      <c r="C401" s="206" t="s">
        <v>761</v>
      </c>
      <c r="D401" s="207"/>
      <c r="E401" s="91" t="s">
        <v>762</v>
      </c>
      <c r="F401" s="92">
        <v>3225</v>
      </c>
      <c r="G401" s="72">
        <v>3345</v>
      </c>
      <c r="H401" s="72">
        <v>3561</v>
      </c>
      <c r="I401" s="72">
        <v>3877</v>
      </c>
      <c r="J401" s="72">
        <v>4490</v>
      </c>
      <c r="K401" s="72">
        <v>4883</v>
      </c>
      <c r="L401" s="72">
        <v>5716</v>
      </c>
      <c r="M401" s="93">
        <v>451</v>
      </c>
      <c r="N401" s="94">
        <v>451</v>
      </c>
      <c r="O401" s="60"/>
      <c r="P401" s="2"/>
      <c r="Q401" s="2"/>
      <c r="R401" s="2"/>
      <c r="S401" s="2"/>
      <c r="T401" s="2"/>
      <c r="U401" s="2"/>
      <c r="V401" s="2"/>
      <c r="W401" s="2"/>
      <c r="X401" s="2"/>
      <c r="Y401" s="38"/>
    </row>
    <row r="402" spans="2:25" ht="15.75" customHeight="1" x14ac:dyDescent="0.3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38"/>
    </row>
    <row r="403" spans="2:25" ht="15.75" customHeight="1" x14ac:dyDescent="0.3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38"/>
    </row>
    <row r="404" spans="2:25" ht="15.75" customHeight="1" x14ac:dyDescent="0.3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38"/>
    </row>
    <row r="405" spans="2:25" ht="15.75" customHeight="1" x14ac:dyDescent="0.3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38"/>
    </row>
    <row r="406" spans="2:25" ht="15.75" customHeight="1" x14ac:dyDescent="0.3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38"/>
    </row>
    <row r="407" spans="2:25" ht="15.75" customHeight="1" x14ac:dyDescent="0.3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38"/>
    </row>
    <row r="408" spans="2:25" ht="15.75" customHeight="1" x14ac:dyDescent="0.3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38"/>
    </row>
    <row r="409" spans="2:25" ht="15.75" customHeight="1" x14ac:dyDescent="0.3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38"/>
    </row>
    <row r="410" spans="2:25" ht="15.75" customHeight="1" x14ac:dyDescent="0.3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38"/>
    </row>
    <row r="411" spans="2:25" ht="15.75" customHeight="1" x14ac:dyDescent="0.3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38"/>
    </row>
    <row r="412" spans="2:25" ht="15.75" customHeight="1" x14ac:dyDescent="0.3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38"/>
    </row>
    <row r="413" spans="2:25" ht="15.75" customHeight="1" x14ac:dyDescent="0.3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38"/>
    </row>
    <row r="414" spans="2:25" ht="15.75" customHeight="1" x14ac:dyDescent="0.3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38"/>
    </row>
    <row r="415" spans="2:25" ht="15.75" customHeight="1" x14ac:dyDescent="0.3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38"/>
    </row>
    <row r="416" spans="2:25" ht="15.75" customHeight="1" x14ac:dyDescent="0.3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38"/>
    </row>
    <row r="417" spans="2:25" ht="15.75" customHeight="1" x14ac:dyDescent="0.3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38"/>
    </row>
    <row r="418" spans="2:25" ht="15.75" customHeight="1" x14ac:dyDescent="0.3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38"/>
    </row>
    <row r="419" spans="2:25" ht="15.75" customHeight="1" x14ac:dyDescent="0.3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38"/>
    </row>
    <row r="420" spans="2:25" ht="15.75" customHeight="1" x14ac:dyDescent="0.3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38"/>
    </row>
    <row r="421" spans="2:25" ht="15.75" customHeight="1" x14ac:dyDescent="0.3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38"/>
    </row>
    <row r="422" spans="2:25" ht="15.75" customHeight="1" x14ac:dyDescent="0.3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38"/>
    </row>
    <row r="423" spans="2:25" ht="15.75" customHeight="1" x14ac:dyDescent="0.3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38"/>
    </row>
    <row r="424" spans="2:25" ht="15.75" customHeight="1" x14ac:dyDescent="0.3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38"/>
    </row>
    <row r="425" spans="2:25" ht="15.75" customHeight="1" x14ac:dyDescent="0.3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38"/>
    </row>
    <row r="426" spans="2:25" ht="15.75" customHeight="1" x14ac:dyDescent="0.3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38"/>
    </row>
    <row r="427" spans="2:25" ht="15.75" customHeight="1" x14ac:dyDescent="0.3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38"/>
    </row>
    <row r="428" spans="2:25" ht="15.75" customHeight="1" x14ac:dyDescent="0.3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38"/>
    </row>
    <row r="429" spans="2:25" ht="15.75" customHeight="1" x14ac:dyDescent="0.3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38"/>
    </row>
    <row r="430" spans="2:25" ht="15.75" customHeight="1" x14ac:dyDescent="0.3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38"/>
    </row>
    <row r="431" spans="2:25" ht="15.75" customHeight="1" x14ac:dyDescent="0.3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38"/>
    </row>
    <row r="432" spans="2:25" ht="15.75" customHeight="1" x14ac:dyDescent="0.3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38"/>
    </row>
    <row r="433" spans="2:25" ht="15.75" customHeight="1" x14ac:dyDescent="0.3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38"/>
    </row>
    <row r="434" spans="2:25" ht="15.75" customHeight="1" x14ac:dyDescent="0.3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38"/>
    </row>
    <row r="435" spans="2:25" ht="15.75" customHeight="1" x14ac:dyDescent="0.3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38"/>
    </row>
    <row r="436" spans="2:25" ht="15.75" customHeight="1" x14ac:dyDescent="0.3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38"/>
    </row>
    <row r="437" spans="2:25" ht="15.75" customHeight="1" x14ac:dyDescent="0.3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38"/>
    </row>
    <row r="438" spans="2:25" ht="15.75" customHeight="1" x14ac:dyDescent="0.3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38"/>
    </row>
    <row r="439" spans="2:25" ht="15.75" customHeight="1" x14ac:dyDescent="0.3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38"/>
    </row>
    <row r="440" spans="2:25" ht="15.75" customHeight="1" x14ac:dyDescent="0.3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38"/>
    </row>
    <row r="441" spans="2:25" ht="15.75" customHeight="1" x14ac:dyDescent="0.3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38"/>
    </row>
    <row r="442" spans="2:25" ht="15.75" customHeight="1" x14ac:dyDescent="0.3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38"/>
    </row>
    <row r="443" spans="2:25" ht="15.75" customHeight="1" x14ac:dyDescent="0.3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38"/>
    </row>
    <row r="444" spans="2:25" ht="15.75" customHeight="1" x14ac:dyDescent="0.3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38"/>
    </row>
    <row r="445" spans="2:25" ht="15.75" customHeight="1" x14ac:dyDescent="0.3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38"/>
    </row>
    <row r="446" spans="2:25" ht="15.75" customHeight="1" x14ac:dyDescent="0.3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38"/>
    </row>
    <row r="447" spans="2:25" ht="15.75" customHeight="1" x14ac:dyDescent="0.3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38"/>
    </row>
    <row r="448" spans="2:25" ht="15.75" customHeight="1" x14ac:dyDescent="0.3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38"/>
    </row>
    <row r="449" spans="2:25" ht="15.75" customHeight="1" x14ac:dyDescent="0.3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38"/>
    </row>
    <row r="450" spans="2:25" ht="15.75" customHeight="1" x14ac:dyDescent="0.3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38"/>
    </row>
    <row r="451" spans="2:25" ht="15.75" customHeight="1" x14ac:dyDescent="0.3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38"/>
    </row>
    <row r="452" spans="2:25" ht="15.75" customHeight="1" x14ac:dyDescent="0.3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38"/>
    </row>
    <row r="453" spans="2:25" ht="15.75" customHeight="1" x14ac:dyDescent="0.3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38"/>
    </row>
    <row r="454" spans="2:25" ht="15.75" customHeight="1" x14ac:dyDescent="0.3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38"/>
    </row>
    <row r="455" spans="2:25" ht="15.75" customHeight="1" x14ac:dyDescent="0.3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38"/>
    </row>
    <row r="456" spans="2:25" ht="15.75" customHeight="1" x14ac:dyDescent="0.3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38"/>
    </row>
    <row r="457" spans="2:25" ht="15.75" customHeight="1" x14ac:dyDescent="0.3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38"/>
    </row>
    <row r="458" spans="2:25" ht="15.75" customHeight="1" x14ac:dyDescent="0.3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38"/>
    </row>
    <row r="459" spans="2:25" ht="15.75" customHeight="1" x14ac:dyDescent="0.3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38"/>
    </row>
    <row r="460" spans="2:25" ht="15.75" customHeight="1" x14ac:dyDescent="0.3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38"/>
    </row>
    <row r="461" spans="2:25" ht="15.75" customHeight="1" x14ac:dyDescent="0.3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38"/>
    </row>
    <row r="462" spans="2:25" ht="15.75" customHeight="1" x14ac:dyDescent="0.3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38"/>
    </row>
    <row r="463" spans="2:25" ht="15.75" customHeight="1" x14ac:dyDescent="0.3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38"/>
    </row>
    <row r="464" spans="2:25" ht="15.75" customHeight="1" x14ac:dyDescent="0.3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38"/>
    </row>
    <row r="465" spans="2:25" ht="15.75" customHeight="1" x14ac:dyDescent="0.3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38"/>
    </row>
    <row r="466" spans="2:25" ht="15.75" customHeight="1" x14ac:dyDescent="0.3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38"/>
    </row>
    <row r="467" spans="2:25" ht="15.75" customHeight="1" x14ac:dyDescent="0.3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38"/>
    </row>
    <row r="468" spans="2:25" ht="15.75" customHeight="1" x14ac:dyDescent="0.3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38"/>
    </row>
    <row r="469" spans="2:25" ht="15.75" customHeight="1" x14ac:dyDescent="0.3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38"/>
    </row>
    <row r="470" spans="2:25" ht="15.75" customHeight="1" x14ac:dyDescent="0.3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38"/>
    </row>
    <row r="471" spans="2:25" ht="15.75" customHeight="1" x14ac:dyDescent="0.3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38"/>
    </row>
    <row r="472" spans="2:25" ht="15.75" customHeight="1" x14ac:dyDescent="0.3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38"/>
    </row>
    <row r="473" spans="2:25" ht="15.75" customHeight="1" x14ac:dyDescent="0.3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38"/>
    </row>
    <row r="474" spans="2:25" ht="15.75" customHeight="1" x14ac:dyDescent="0.3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38"/>
    </row>
    <row r="475" spans="2:25" ht="15.75" customHeight="1" x14ac:dyDescent="0.3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38"/>
    </row>
    <row r="476" spans="2:25" ht="15.75" customHeight="1" x14ac:dyDescent="0.3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38"/>
    </row>
    <row r="477" spans="2:25" ht="15.75" customHeight="1" x14ac:dyDescent="0.3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38"/>
    </row>
    <row r="478" spans="2:25" ht="15.75" customHeight="1" x14ac:dyDescent="0.3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38"/>
    </row>
    <row r="479" spans="2:25" ht="15.75" customHeight="1" x14ac:dyDescent="0.3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38"/>
    </row>
    <row r="480" spans="2:25" ht="15.75" customHeight="1" x14ac:dyDescent="0.3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38"/>
    </row>
    <row r="481" spans="2:25" ht="15.75" customHeight="1" x14ac:dyDescent="0.3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38"/>
    </row>
    <row r="482" spans="2:25" ht="15.75" customHeight="1" x14ac:dyDescent="0.3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38"/>
    </row>
    <row r="483" spans="2:25" ht="15.75" customHeight="1" x14ac:dyDescent="0.3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38"/>
    </row>
    <row r="484" spans="2:25" ht="15.75" customHeight="1" x14ac:dyDescent="0.3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38"/>
    </row>
    <row r="485" spans="2:25" ht="15.75" customHeight="1" x14ac:dyDescent="0.3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38"/>
    </row>
    <row r="486" spans="2:25" ht="15.75" customHeight="1" x14ac:dyDescent="0.3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38"/>
    </row>
    <row r="487" spans="2:25" ht="15.75" customHeight="1" x14ac:dyDescent="0.3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38"/>
    </row>
    <row r="488" spans="2:25" ht="15.75" customHeight="1" x14ac:dyDescent="0.3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38"/>
    </row>
    <row r="489" spans="2:25" ht="15.75" customHeight="1" x14ac:dyDescent="0.3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38"/>
    </row>
    <row r="490" spans="2:25" ht="15.75" customHeight="1" x14ac:dyDescent="0.3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38"/>
    </row>
    <row r="491" spans="2:25" ht="15.75" customHeight="1" x14ac:dyDescent="0.3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38"/>
    </row>
    <row r="492" spans="2:25" ht="15.75" customHeight="1" x14ac:dyDescent="0.3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38"/>
    </row>
    <row r="493" spans="2:25" ht="15.75" customHeight="1" x14ac:dyDescent="0.3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38"/>
    </row>
    <row r="494" spans="2:25" ht="15.75" customHeight="1" x14ac:dyDescent="0.3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38"/>
    </row>
    <row r="495" spans="2:25" ht="15.75" customHeight="1" x14ac:dyDescent="0.3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38"/>
    </row>
    <row r="496" spans="2:25" ht="15.75" customHeight="1" x14ac:dyDescent="0.3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38"/>
    </row>
    <row r="497" spans="2:25" ht="15.75" customHeight="1" x14ac:dyDescent="0.3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38"/>
    </row>
    <row r="498" spans="2:25" ht="15.75" customHeight="1" x14ac:dyDescent="0.3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38"/>
    </row>
    <row r="499" spans="2:25" ht="15.75" customHeight="1" x14ac:dyDescent="0.3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38"/>
    </row>
    <row r="500" spans="2:25" ht="15.75" customHeight="1" x14ac:dyDescent="0.3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38"/>
    </row>
    <row r="501" spans="2:25" ht="15.75" customHeight="1" x14ac:dyDescent="0.3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38"/>
    </row>
    <row r="502" spans="2:25" ht="15.75" customHeight="1" x14ac:dyDescent="0.3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38"/>
    </row>
    <row r="503" spans="2:25" ht="15.75" customHeight="1" x14ac:dyDescent="0.3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38"/>
    </row>
    <row r="504" spans="2:25" ht="15.75" customHeight="1" x14ac:dyDescent="0.3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38"/>
    </row>
    <row r="505" spans="2:25" ht="15.75" customHeight="1" x14ac:dyDescent="0.3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38"/>
    </row>
    <row r="506" spans="2:25" ht="15.75" customHeight="1" x14ac:dyDescent="0.3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38"/>
    </row>
    <row r="507" spans="2:25" ht="15.75" customHeight="1" x14ac:dyDescent="0.3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38"/>
    </row>
    <row r="508" spans="2:25" ht="15.75" customHeight="1" x14ac:dyDescent="0.3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38"/>
    </row>
    <row r="509" spans="2:25" ht="15.75" customHeight="1" x14ac:dyDescent="0.3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38"/>
    </row>
    <row r="510" spans="2:25" ht="15.75" customHeight="1" x14ac:dyDescent="0.3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38"/>
    </row>
    <row r="511" spans="2:25" ht="15.75" customHeight="1" x14ac:dyDescent="0.3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38"/>
    </row>
    <row r="512" spans="2:25" ht="15.75" customHeight="1" x14ac:dyDescent="0.3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38"/>
    </row>
    <row r="513" spans="2:25" ht="15.75" customHeight="1" x14ac:dyDescent="0.3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38"/>
    </row>
    <row r="514" spans="2:25" ht="15.75" customHeight="1" x14ac:dyDescent="0.3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38"/>
    </row>
    <row r="515" spans="2:25" ht="15.75" customHeight="1" x14ac:dyDescent="0.3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38"/>
    </row>
    <row r="516" spans="2:25" ht="15.75" customHeight="1" x14ac:dyDescent="0.3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38"/>
    </row>
    <row r="517" spans="2:25" ht="15.75" customHeight="1" x14ac:dyDescent="0.3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38"/>
    </row>
    <row r="518" spans="2:25" ht="15.75" customHeight="1" x14ac:dyDescent="0.3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38"/>
    </row>
    <row r="519" spans="2:25" ht="15.75" customHeight="1" x14ac:dyDescent="0.3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38"/>
    </row>
    <row r="520" spans="2:25" ht="15.75" customHeight="1" x14ac:dyDescent="0.3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38"/>
    </row>
    <row r="521" spans="2:25" ht="15.75" customHeight="1" x14ac:dyDescent="0.3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38"/>
    </row>
    <row r="522" spans="2:25" ht="15.75" customHeight="1" x14ac:dyDescent="0.3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38"/>
    </row>
    <row r="523" spans="2:25" ht="15.75" customHeight="1" x14ac:dyDescent="0.3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38"/>
    </row>
    <row r="524" spans="2:25" ht="15.75" customHeight="1" x14ac:dyDescent="0.3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38"/>
    </row>
    <row r="525" spans="2:25" ht="15.75" customHeight="1" x14ac:dyDescent="0.3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38"/>
    </row>
    <row r="526" spans="2:25" ht="15.75" customHeight="1" x14ac:dyDescent="0.3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38"/>
    </row>
    <row r="527" spans="2:25" ht="15.75" customHeight="1" x14ac:dyDescent="0.3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38"/>
    </row>
    <row r="528" spans="2:25" ht="15.75" customHeight="1" x14ac:dyDescent="0.3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38"/>
    </row>
    <row r="529" spans="2:25" ht="15.75" customHeight="1" x14ac:dyDescent="0.3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38"/>
    </row>
    <row r="530" spans="2:25" ht="15.75" customHeight="1" x14ac:dyDescent="0.3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38"/>
    </row>
    <row r="531" spans="2:25" ht="15.75" customHeight="1" x14ac:dyDescent="0.3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38"/>
    </row>
    <row r="532" spans="2:25" ht="15.75" customHeight="1" x14ac:dyDescent="0.3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38"/>
    </row>
    <row r="533" spans="2:25" ht="15.75" customHeight="1" x14ac:dyDescent="0.3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38"/>
    </row>
    <row r="534" spans="2:25" ht="15.75" customHeight="1" x14ac:dyDescent="0.3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38"/>
    </row>
    <row r="535" spans="2:25" ht="15.75" customHeight="1" x14ac:dyDescent="0.3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38"/>
    </row>
    <row r="536" spans="2:25" ht="15.75" customHeight="1" x14ac:dyDescent="0.3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38"/>
    </row>
    <row r="537" spans="2:25" ht="15.75" customHeight="1" x14ac:dyDescent="0.3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38"/>
    </row>
    <row r="538" spans="2:25" ht="15.75" customHeight="1" x14ac:dyDescent="0.3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38"/>
    </row>
    <row r="539" spans="2:25" ht="15.75" customHeight="1" x14ac:dyDescent="0.3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38"/>
    </row>
    <row r="540" spans="2:25" ht="15.75" customHeight="1" x14ac:dyDescent="0.3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38"/>
    </row>
    <row r="541" spans="2:25" ht="15.75" customHeight="1" x14ac:dyDescent="0.3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38"/>
    </row>
    <row r="542" spans="2:25" ht="15.75" customHeight="1" x14ac:dyDescent="0.3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38"/>
    </row>
    <row r="543" spans="2:25" ht="15.75" customHeight="1" x14ac:dyDescent="0.3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38"/>
    </row>
    <row r="544" spans="2:25" ht="15.75" customHeight="1" x14ac:dyDescent="0.3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38"/>
    </row>
    <row r="545" spans="2:25" ht="15.75" customHeight="1" x14ac:dyDescent="0.3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38"/>
    </row>
    <row r="546" spans="2:25" ht="15.75" customHeight="1" x14ac:dyDescent="0.3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38"/>
    </row>
    <row r="547" spans="2:25" ht="15.75" customHeight="1" x14ac:dyDescent="0.3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38"/>
    </row>
    <row r="548" spans="2:25" ht="15.75" customHeight="1" x14ac:dyDescent="0.3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38"/>
    </row>
    <row r="549" spans="2:25" ht="15.75" customHeight="1" x14ac:dyDescent="0.3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38"/>
    </row>
    <row r="550" spans="2:25" ht="15.75" customHeight="1" x14ac:dyDescent="0.3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38"/>
    </row>
    <row r="551" spans="2:25" ht="15.75" customHeight="1" x14ac:dyDescent="0.3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38"/>
    </row>
    <row r="552" spans="2:25" ht="15.75" customHeight="1" x14ac:dyDescent="0.3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38"/>
    </row>
    <row r="553" spans="2:25" ht="15.75" customHeight="1" x14ac:dyDescent="0.3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38"/>
    </row>
    <row r="554" spans="2:25" ht="15.75" customHeight="1" x14ac:dyDescent="0.3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38"/>
    </row>
    <row r="555" spans="2:25" ht="15.75" customHeight="1" x14ac:dyDescent="0.3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38"/>
    </row>
    <row r="556" spans="2:25" ht="15.75" customHeight="1" x14ac:dyDescent="0.3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38"/>
    </row>
    <row r="557" spans="2:25" ht="15.75" customHeight="1" x14ac:dyDescent="0.3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38"/>
    </row>
    <row r="558" spans="2:25" ht="15.75" customHeight="1" x14ac:dyDescent="0.3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38"/>
    </row>
    <row r="559" spans="2:25" ht="15.75" customHeight="1" x14ac:dyDescent="0.3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38"/>
    </row>
    <row r="560" spans="2:25" ht="15.75" customHeight="1" x14ac:dyDescent="0.3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38"/>
    </row>
    <row r="561" spans="2:25" ht="15.75" customHeight="1" x14ac:dyDescent="0.3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38"/>
    </row>
    <row r="562" spans="2:25" ht="15.75" customHeight="1" x14ac:dyDescent="0.3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38"/>
    </row>
    <row r="563" spans="2:25" ht="15.75" customHeight="1" x14ac:dyDescent="0.3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38"/>
    </row>
    <row r="564" spans="2:25" ht="15.75" customHeight="1" x14ac:dyDescent="0.3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38"/>
    </row>
    <row r="565" spans="2:25" ht="15.75" customHeight="1" x14ac:dyDescent="0.3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38"/>
    </row>
    <row r="566" spans="2:25" ht="15.75" customHeight="1" x14ac:dyDescent="0.3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38"/>
    </row>
    <row r="567" spans="2:25" ht="15.75" customHeight="1" x14ac:dyDescent="0.3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38"/>
    </row>
    <row r="568" spans="2:25" ht="15.75" customHeight="1" x14ac:dyDescent="0.3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38"/>
    </row>
    <row r="569" spans="2:25" ht="15.75" customHeight="1" x14ac:dyDescent="0.3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38"/>
    </row>
    <row r="570" spans="2:25" ht="15.75" customHeight="1" x14ac:dyDescent="0.3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38"/>
    </row>
    <row r="571" spans="2:25" ht="15.75" customHeight="1" x14ac:dyDescent="0.3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38"/>
    </row>
    <row r="572" spans="2:25" ht="15.75" customHeight="1" x14ac:dyDescent="0.3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38"/>
    </row>
    <row r="573" spans="2:25" ht="15.75" customHeight="1" x14ac:dyDescent="0.3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38"/>
    </row>
    <row r="574" spans="2:25" ht="15.75" customHeight="1" x14ac:dyDescent="0.3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38"/>
    </row>
    <row r="575" spans="2:25" ht="15.75" customHeight="1" x14ac:dyDescent="0.3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38"/>
    </row>
    <row r="576" spans="2:25" ht="15.75" customHeight="1" x14ac:dyDescent="0.3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38"/>
    </row>
    <row r="577" spans="2:25" ht="15.75" customHeight="1" x14ac:dyDescent="0.3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38"/>
    </row>
    <row r="578" spans="2:25" ht="15.75" customHeight="1" x14ac:dyDescent="0.3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38"/>
    </row>
    <row r="579" spans="2:25" ht="15.75" customHeight="1" x14ac:dyDescent="0.3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38"/>
    </row>
    <row r="580" spans="2:25" ht="15.75" customHeight="1" x14ac:dyDescent="0.3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38"/>
    </row>
    <row r="581" spans="2:25" ht="15.75" customHeight="1" x14ac:dyDescent="0.3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38"/>
    </row>
    <row r="582" spans="2:25" ht="15.75" customHeight="1" x14ac:dyDescent="0.3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38"/>
    </row>
    <row r="583" spans="2:25" ht="15.75" customHeight="1" x14ac:dyDescent="0.3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38"/>
    </row>
    <row r="584" spans="2:25" ht="15.75" customHeight="1" x14ac:dyDescent="0.3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38"/>
    </row>
    <row r="585" spans="2:25" ht="15.75" customHeight="1" x14ac:dyDescent="0.3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38"/>
    </row>
    <row r="586" spans="2:25" ht="15.75" customHeight="1" x14ac:dyDescent="0.3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38"/>
    </row>
    <row r="587" spans="2:25" ht="15.75" customHeight="1" x14ac:dyDescent="0.3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38"/>
    </row>
    <row r="588" spans="2:25" ht="15.75" customHeight="1" x14ac:dyDescent="0.3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38"/>
    </row>
    <row r="589" spans="2:25" ht="15.75" customHeight="1" x14ac:dyDescent="0.3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38"/>
    </row>
    <row r="590" spans="2:25" ht="15.75" customHeight="1" x14ac:dyDescent="0.3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38"/>
    </row>
    <row r="591" spans="2:25" ht="15.75" customHeight="1" x14ac:dyDescent="0.3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38"/>
    </row>
    <row r="592" spans="2:25" ht="15.75" customHeight="1" x14ac:dyDescent="0.3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38"/>
    </row>
    <row r="593" spans="2:25" ht="15.75" customHeight="1" x14ac:dyDescent="0.3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38"/>
    </row>
    <row r="594" spans="2:25" ht="15.75" customHeight="1" x14ac:dyDescent="0.3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38"/>
    </row>
    <row r="595" spans="2:25" ht="15.75" customHeight="1" x14ac:dyDescent="0.3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38"/>
    </row>
    <row r="596" spans="2:25" ht="15.75" customHeight="1" x14ac:dyDescent="0.3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38"/>
    </row>
    <row r="597" spans="2:25" ht="15.75" customHeight="1" x14ac:dyDescent="0.3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38"/>
    </row>
    <row r="598" spans="2:25" ht="15.75" customHeight="1" x14ac:dyDescent="0.3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38"/>
    </row>
    <row r="599" spans="2:25" ht="15.75" customHeight="1" x14ac:dyDescent="0.3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38"/>
    </row>
    <row r="600" spans="2:25" ht="15.75" customHeight="1" x14ac:dyDescent="0.3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38"/>
    </row>
    <row r="601" spans="2:25" ht="15.75" customHeight="1" x14ac:dyDescent="0.3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38"/>
    </row>
    <row r="602" spans="2:25" ht="15.75" customHeight="1" x14ac:dyDescent="0.3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38"/>
    </row>
    <row r="603" spans="2:25" ht="15.75" customHeight="1" x14ac:dyDescent="0.3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38"/>
    </row>
    <row r="604" spans="2:25" ht="15.75" customHeight="1" x14ac:dyDescent="0.3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38"/>
    </row>
    <row r="605" spans="2:25" ht="15.75" customHeight="1" x14ac:dyDescent="0.3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38"/>
    </row>
    <row r="606" spans="2:25" ht="15.75" customHeight="1" x14ac:dyDescent="0.3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38"/>
    </row>
    <row r="607" spans="2:25" ht="15.75" customHeight="1" x14ac:dyDescent="0.3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38"/>
    </row>
    <row r="608" spans="2:25" ht="15.75" customHeight="1" x14ac:dyDescent="0.3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38"/>
    </row>
    <row r="609" spans="2:25" ht="15.75" customHeight="1" x14ac:dyDescent="0.3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38"/>
    </row>
    <row r="610" spans="2:25" ht="15.75" customHeight="1" x14ac:dyDescent="0.3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38"/>
    </row>
    <row r="611" spans="2:25" ht="15.75" customHeight="1" x14ac:dyDescent="0.3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38"/>
    </row>
    <row r="612" spans="2:25" ht="15.75" customHeight="1" x14ac:dyDescent="0.3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38"/>
    </row>
    <row r="613" spans="2:25" ht="15.75" customHeight="1" x14ac:dyDescent="0.3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38"/>
    </row>
    <row r="614" spans="2:25" ht="15.75" customHeight="1" x14ac:dyDescent="0.3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38"/>
    </row>
    <row r="615" spans="2:25" ht="15.75" customHeight="1" x14ac:dyDescent="0.3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38"/>
    </row>
    <row r="616" spans="2:25" ht="15.75" customHeight="1" x14ac:dyDescent="0.3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38"/>
    </row>
    <row r="617" spans="2:25" ht="15.75" customHeight="1" x14ac:dyDescent="0.3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38"/>
    </row>
    <row r="618" spans="2:25" ht="15.75" customHeight="1" x14ac:dyDescent="0.3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38"/>
    </row>
    <row r="619" spans="2:25" ht="15.75" customHeight="1" x14ac:dyDescent="0.3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38"/>
    </row>
    <row r="620" spans="2:25" ht="15.75" customHeight="1" x14ac:dyDescent="0.3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38"/>
    </row>
    <row r="621" spans="2:25" ht="15.75" customHeight="1" x14ac:dyDescent="0.3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38"/>
    </row>
    <row r="622" spans="2:25" ht="15.75" customHeight="1" x14ac:dyDescent="0.3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38"/>
    </row>
    <row r="623" spans="2:25" ht="15.75" customHeight="1" x14ac:dyDescent="0.3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38"/>
    </row>
    <row r="624" spans="2:25" ht="15.75" customHeight="1" x14ac:dyDescent="0.3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38"/>
    </row>
    <row r="625" spans="2:25" ht="15.75" customHeight="1" x14ac:dyDescent="0.3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38"/>
    </row>
    <row r="626" spans="2:25" ht="15.75" customHeight="1" x14ac:dyDescent="0.3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38"/>
    </row>
    <row r="627" spans="2:25" ht="15.75" customHeight="1" x14ac:dyDescent="0.3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38"/>
    </row>
    <row r="628" spans="2:25" ht="15.75" customHeight="1" x14ac:dyDescent="0.3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38"/>
    </row>
    <row r="629" spans="2:25" ht="15.75" customHeight="1" x14ac:dyDescent="0.3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38"/>
    </row>
    <row r="630" spans="2:25" ht="15.75" customHeight="1" x14ac:dyDescent="0.3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38"/>
    </row>
    <row r="631" spans="2:25" ht="15.75" customHeight="1" x14ac:dyDescent="0.3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38"/>
    </row>
    <row r="632" spans="2:25" ht="15.75" customHeight="1" x14ac:dyDescent="0.3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38"/>
    </row>
    <row r="633" spans="2:25" ht="15.75" customHeight="1" x14ac:dyDescent="0.3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38"/>
    </row>
    <row r="634" spans="2:25" ht="15.75" customHeight="1" x14ac:dyDescent="0.3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38"/>
    </row>
    <row r="635" spans="2:25" ht="15.75" customHeight="1" x14ac:dyDescent="0.3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38"/>
    </row>
    <row r="636" spans="2:25" ht="15.75" customHeight="1" x14ac:dyDescent="0.3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38"/>
    </row>
    <row r="637" spans="2:25" ht="15.75" customHeight="1" x14ac:dyDescent="0.3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38"/>
    </row>
    <row r="638" spans="2:25" ht="15.75" customHeight="1" x14ac:dyDescent="0.3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38"/>
    </row>
    <row r="639" spans="2:25" ht="15.75" customHeight="1" x14ac:dyDescent="0.3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38"/>
    </row>
    <row r="640" spans="2:25" ht="15.75" customHeight="1" x14ac:dyDescent="0.3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38"/>
    </row>
    <row r="641" spans="2:25" ht="15.75" customHeight="1" x14ac:dyDescent="0.3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38"/>
    </row>
    <row r="642" spans="2:25" ht="15.75" customHeight="1" x14ac:dyDescent="0.3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38"/>
    </row>
    <row r="643" spans="2:25" ht="15.75" customHeight="1" x14ac:dyDescent="0.3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38"/>
    </row>
    <row r="644" spans="2:25" ht="15.75" customHeight="1" x14ac:dyDescent="0.3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38"/>
    </row>
    <row r="645" spans="2:25" ht="15.75" customHeight="1" x14ac:dyDescent="0.3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38"/>
    </row>
    <row r="646" spans="2:25" ht="15.75" customHeight="1" x14ac:dyDescent="0.3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38"/>
    </row>
    <row r="647" spans="2:25" ht="15.75" customHeight="1" x14ac:dyDescent="0.3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38"/>
    </row>
    <row r="648" spans="2:25" ht="15.75" customHeight="1" x14ac:dyDescent="0.3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38"/>
    </row>
    <row r="649" spans="2:25" ht="15.75" customHeight="1" x14ac:dyDescent="0.3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38"/>
    </row>
    <row r="650" spans="2:25" ht="15.75" customHeight="1" x14ac:dyDescent="0.3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38"/>
    </row>
    <row r="651" spans="2:25" ht="15.75" customHeight="1" x14ac:dyDescent="0.3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38"/>
    </row>
    <row r="652" spans="2:25" ht="15.75" customHeight="1" x14ac:dyDescent="0.3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38"/>
    </row>
    <row r="653" spans="2:25" ht="15.75" customHeight="1" x14ac:dyDescent="0.3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38"/>
    </row>
    <row r="654" spans="2:25" ht="15.75" customHeight="1" x14ac:dyDescent="0.3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38"/>
    </row>
    <row r="655" spans="2:25" ht="15.75" customHeight="1" x14ac:dyDescent="0.3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38"/>
    </row>
    <row r="656" spans="2:25" ht="15.75" customHeight="1" x14ac:dyDescent="0.3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38"/>
    </row>
    <row r="657" spans="2:25" ht="15.75" customHeight="1" x14ac:dyDescent="0.3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38"/>
    </row>
    <row r="658" spans="2:25" ht="15.75" customHeight="1" x14ac:dyDescent="0.3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38"/>
    </row>
    <row r="659" spans="2:25" ht="15.75" customHeight="1" x14ac:dyDescent="0.3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38"/>
    </row>
    <row r="660" spans="2:25" ht="15.75" customHeight="1" x14ac:dyDescent="0.3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38"/>
    </row>
    <row r="661" spans="2:25" ht="15.75" customHeight="1" x14ac:dyDescent="0.3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38"/>
    </row>
    <row r="662" spans="2:25" ht="15.75" customHeight="1" x14ac:dyDescent="0.3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38"/>
    </row>
    <row r="663" spans="2:25" ht="15.75" customHeight="1" x14ac:dyDescent="0.3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38"/>
    </row>
    <row r="664" spans="2:25" ht="15.75" customHeight="1" x14ac:dyDescent="0.3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38"/>
    </row>
    <row r="665" spans="2:25" ht="15.75" customHeight="1" x14ac:dyDescent="0.3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38"/>
    </row>
    <row r="666" spans="2:25" ht="15.75" customHeight="1" x14ac:dyDescent="0.3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38"/>
    </row>
    <row r="667" spans="2:25" ht="15.75" customHeight="1" x14ac:dyDescent="0.3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38"/>
    </row>
    <row r="668" spans="2:25" ht="15.75" customHeight="1" x14ac:dyDescent="0.3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38"/>
    </row>
    <row r="669" spans="2:25" ht="15.75" customHeight="1" x14ac:dyDescent="0.3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38"/>
    </row>
    <row r="670" spans="2:25" ht="15.75" customHeight="1" x14ac:dyDescent="0.3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38"/>
    </row>
    <row r="671" spans="2:25" ht="15.75" customHeight="1" x14ac:dyDescent="0.3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38"/>
    </row>
    <row r="672" spans="2:25" ht="15.75" customHeight="1" x14ac:dyDescent="0.3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38"/>
    </row>
    <row r="673" spans="2:25" ht="15.75" customHeight="1" x14ac:dyDescent="0.3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38"/>
    </row>
    <row r="674" spans="2:25" ht="15.75" customHeight="1" x14ac:dyDescent="0.3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38"/>
    </row>
    <row r="675" spans="2:25" ht="15.75" customHeight="1" x14ac:dyDescent="0.3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38"/>
    </row>
    <row r="676" spans="2:25" ht="15.75" customHeight="1" x14ac:dyDescent="0.3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38"/>
    </row>
    <row r="677" spans="2:25" ht="15.75" customHeight="1" x14ac:dyDescent="0.3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38"/>
    </row>
    <row r="678" spans="2:25" ht="15.75" customHeight="1" x14ac:dyDescent="0.3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38"/>
    </row>
    <row r="679" spans="2:25" ht="15.75" customHeight="1" x14ac:dyDescent="0.3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38"/>
    </row>
    <row r="680" spans="2:25" ht="15.75" customHeight="1" x14ac:dyDescent="0.3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38"/>
    </row>
    <row r="681" spans="2:25" ht="15.75" customHeight="1" x14ac:dyDescent="0.3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38"/>
    </row>
    <row r="682" spans="2:25" ht="15.75" customHeight="1" x14ac:dyDescent="0.3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38"/>
    </row>
    <row r="683" spans="2:25" ht="15.75" customHeight="1" x14ac:dyDescent="0.3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38"/>
    </row>
    <row r="684" spans="2:25" ht="15.75" customHeight="1" x14ac:dyDescent="0.3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38"/>
    </row>
    <row r="685" spans="2:25" ht="15.75" customHeight="1" x14ac:dyDescent="0.3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38"/>
    </row>
    <row r="686" spans="2:25" ht="15.75" customHeight="1" x14ac:dyDescent="0.3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38"/>
    </row>
    <row r="687" spans="2:25" ht="15.75" customHeight="1" x14ac:dyDescent="0.3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38"/>
    </row>
    <row r="688" spans="2:25" ht="15.75" customHeight="1" x14ac:dyDescent="0.3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38"/>
    </row>
    <row r="689" spans="2:25" ht="15.75" customHeight="1" x14ac:dyDescent="0.3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38"/>
    </row>
    <row r="690" spans="2:25" ht="15.75" customHeight="1" x14ac:dyDescent="0.3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38"/>
    </row>
    <row r="691" spans="2:25" ht="15.75" customHeight="1" x14ac:dyDescent="0.3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38"/>
    </row>
    <row r="692" spans="2:25" ht="15.75" customHeight="1" x14ac:dyDescent="0.3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38"/>
    </row>
    <row r="693" spans="2:25" ht="15.75" customHeight="1" x14ac:dyDescent="0.3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38"/>
    </row>
    <row r="694" spans="2:25" ht="15.75" customHeight="1" x14ac:dyDescent="0.3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38"/>
    </row>
    <row r="695" spans="2:25" ht="15.75" customHeight="1" x14ac:dyDescent="0.3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38"/>
    </row>
    <row r="696" spans="2:25" ht="15.75" customHeight="1" x14ac:dyDescent="0.3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38"/>
    </row>
    <row r="697" spans="2:25" ht="15.75" customHeight="1" x14ac:dyDescent="0.3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38"/>
    </row>
    <row r="698" spans="2:25" ht="15.75" customHeight="1" x14ac:dyDescent="0.3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38"/>
    </row>
    <row r="699" spans="2:25" ht="15.75" customHeight="1" x14ac:dyDescent="0.3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38"/>
    </row>
    <row r="700" spans="2:25" ht="15.75" customHeight="1" x14ac:dyDescent="0.3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38"/>
    </row>
    <row r="701" spans="2:25" ht="15.75" customHeight="1" x14ac:dyDescent="0.3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38"/>
    </row>
    <row r="702" spans="2:25" ht="15.75" customHeight="1" x14ac:dyDescent="0.3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38"/>
    </row>
    <row r="703" spans="2:25" ht="15.75" customHeight="1" x14ac:dyDescent="0.3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38"/>
    </row>
    <row r="704" spans="2:25" ht="15.75" customHeight="1" x14ac:dyDescent="0.3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38"/>
    </row>
    <row r="705" spans="2:25" ht="15.75" customHeight="1" x14ac:dyDescent="0.3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38"/>
    </row>
    <row r="706" spans="2:25" ht="15.75" customHeight="1" x14ac:dyDescent="0.3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38"/>
    </row>
    <row r="707" spans="2:25" ht="15.75" customHeight="1" x14ac:dyDescent="0.3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38"/>
    </row>
    <row r="708" spans="2:25" ht="15.75" customHeight="1" x14ac:dyDescent="0.3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38"/>
    </row>
    <row r="709" spans="2:25" ht="15.75" customHeight="1" x14ac:dyDescent="0.3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38"/>
    </row>
    <row r="710" spans="2:25" ht="15.75" customHeight="1" x14ac:dyDescent="0.3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38"/>
    </row>
    <row r="711" spans="2:25" ht="15.75" customHeight="1" x14ac:dyDescent="0.3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38"/>
    </row>
    <row r="712" spans="2:25" ht="15.75" customHeight="1" x14ac:dyDescent="0.3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38"/>
    </row>
    <row r="713" spans="2:25" ht="15.75" customHeight="1" x14ac:dyDescent="0.3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38"/>
    </row>
    <row r="714" spans="2:25" ht="15.75" customHeight="1" x14ac:dyDescent="0.3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38"/>
    </row>
    <row r="715" spans="2:25" ht="15.75" customHeight="1" x14ac:dyDescent="0.3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38"/>
    </row>
    <row r="716" spans="2:25" ht="15.75" customHeight="1" x14ac:dyDescent="0.3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38"/>
    </row>
    <row r="717" spans="2:25" ht="15.75" customHeight="1" x14ac:dyDescent="0.3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38"/>
    </row>
    <row r="718" spans="2:25" ht="15.75" customHeight="1" x14ac:dyDescent="0.3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38"/>
    </row>
    <row r="719" spans="2:25" ht="15.75" customHeight="1" x14ac:dyDescent="0.3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38"/>
    </row>
    <row r="720" spans="2:25" ht="15.75" customHeight="1" x14ac:dyDescent="0.3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38"/>
    </row>
    <row r="721" spans="2:25" ht="15.75" customHeight="1" x14ac:dyDescent="0.3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38"/>
    </row>
    <row r="722" spans="2:25" ht="15.75" customHeight="1" x14ac:dyDescent="0.3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38"/>
    </row>
    <row r="723" spans="2:25" ht="15.75" customHeight="1" x14ac:dyDescent="0.3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38"/>
    </row>
    <row r="724" spans="2:25" ht="15.75" customHeight="1" x14ac:dyDescent="0.3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38"/>
    </row>
    <row r="725" spans="2:25" ht="15.75" customHeight="1" x14ac:dyDescent="0.3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38"/>
    </row>
    <row r="726" spans="2:25" ht="15.75" customHeight="1" x14ac:dyDescent="0.3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38"/>
    </row>
    <row r="727" spans="2:25" ht="15.75" customHeight="1" x14ac:dyDescent="0.3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38"/>
    </row>
    <row r="728" spans="2:25" ht="15.75" customHeight="1" x14ac:dyDescent="0.3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38"/>
    </row>
    <row r="729" spans="2:25" ht="15.75" customHeight="1" x14ac:dyDescent="0.3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38"/>
    </row>
    <row r="730" spans="2:25" ht="15.75" customHeight="1" x14ac:dyDescent="0.3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38"/>
    </row>
    <row r="731" spans="2:25" ht="15.75" customHeight="1" x14ac:dyDescent="0.3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38"/>
    </row>
    <row r="732" spans="2:25" ht="15.75" customHeight="1" x14ac:dyDescent="0.3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38"/>
    </row>
    <row r="733" spans="2:25" ht="15.75" customHeight="1" x14ac:dyDescent="0.3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38"/>
    </row>
    <row r="734" spans="2:25" ht="15.75" customHeight="1" x14ac:dyDescent="0.3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38"/>
    </row>
    <row r="735" spans="2:25" ht="15.75" customHeight="1" x14ac:dyDescent="0.3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38"/>
    </row>
    <row r="736" spans="2:25" ht="15.75" customHeight="1" x14ac:dyDescent="0.3"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38"/>
    </row>
    <row r="737" spans="2:25" ht="15.75" customHeight="1" x14ac:dyDescent="0.3"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38"/>
    </row>
    <row r="738" spans="2:25" ht="15.75" customHeight="1" x14ac:dyDescent="0.3"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38"/>
    </row>
    <row r="739" spans="2:25" ht="15.75" customHeight="1" x14ac:dyDescent="0.3"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38"/>
    </row>
    <row r="740" spans="2:25" ht="15.75" customHeight="1" x14ac:dyDescent="0.3"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38"/>
    </row>
    <row r="741" spans="2:25" ht="15.75" customHeight="1" x14ac:dyDescent="0.3"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38"/>
    </row>
    <row r="742" spans="2:25" ht="15.75" customHeight="1" x14ac:dyDescent="0.3"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38"/>
    </row>
    <row r="743" spans="2:25" ht="15.75" customHeight="1" x14ac:dyDescent="0.3"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38"/>
    </row>
    <row r="744" spans="2:25" ht="15.75" customHeight="1" x14ac:dyDescent="0.3"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38"/>
    </row>
    <row r="745" spans="2:25" ht="15.75" customHeight="1" x14ac:dyDescent="0.3"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38"/>
    </row>
    <row r="746" spans="2:25" ht="15.75" customHeight="1" x14ac:dyDescent="0.3"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38"/>
    </row>
    <row r="747" spans="2:25" ht="15.75" customHeight="1" x14ac:dyDescent="0.3"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38"/>
    </row>
    <row r="748" spans="2:25" ht="15.75" customHeight="1" x14ac:dyDescent="0.3"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38"/>
    </row>
    <row r="749" spans="2:25" ht="15.75" customHeight="1" x14ac:dyDescent="0.3"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38"/>
    </row>
    <row r="750" spans="2:25" ht="15.75" customHeight="1" x14ac:dyDescent="0.3"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38"/>
    </row>
    <row r="751" spans="2:25" ht="15.75" customHeight="1" x14ac:dyDescent="0.3"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38"/>
    </row>
    <row r="752" spans="2:25" ht="15.75" customHeight="1" x14ac:dyDescent="0.3"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38"/>
    </row>
    <row r="753" spans="2:25" ht="15.75" customHeight="1" x14ac:dyDescent="0.3"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38"/>
    </row>
    <row r="754" spans="2:25" ht="15.75" customHeight="1" x14ac:dyDescent="0.3"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38"/>
    </row>
    <row r="755" spans="2:25" ht="15.75" customHeight="1" x14ac:dyDescent="0.3"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38"/>
    </row>
    <row r="756" spans="2:25" ht="15.75" customHeight="1" x14ac:dyDescent="0.3"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38"/>
    </row>
    <row r="757" spans="2:25" ht="15.75" customHeight="1" x14ac:dyDescent="0.3"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38"/>
    </row>
    <row r="758" spans="2:25" ht="15.75" customHeight="1" x14ac:dyDescent="0.3"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38"/>
    </row>
    <row r="759" spans="2:25" ht="15.75" customHeight="1" x14ac:dyDescent="0.3"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38"/>
    </row>
    <row r="760" spans="2:25" ht="15.75" customHeight="1" x14ac:dyDescent="0.3"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38"/>
    </row>
    <row r="761" spans="2:25" ht="15.75" customHeight="1" x14ac:dyDescent="0.3"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38"/>
    </row>
    <row r="762" spans="2:25" ht="15.75" customHeight="1" x14ac:dyDescent="0.3"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38"/>
    </row>
    <row r="763" spans="2:25" ht="15.75" customHeight="1" x14ac:dyDescent="0.3"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38"/>
    </row>
    <row r="764" spans="2:25" ht="15.75" customHeight="1" x14ac:dyDescent="0.3"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38"/>
    </row>
    <row r="765" spans="2:25" ht="15.75" customHeight="1" x14ac:dyDescent="0.3"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38"/>
    </row>
    <row r="766" spans="2:25" ht="15.75" customHeight="1" x14ac:dyDescent="0.3"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38"/>
    </row>
    <row r="767" spans="2:25" ht="15.75" customHeight="1" x14ac:dyDescent="0.3"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38"/>
    </row>
    <row r="768" spans="2:25" ht="15.75" customHeight="1" x14ac:dyDescent="0.3"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38"/>
    </row>
    <row r="769" spans="2:25" ht="15.75" customHeight="1" x14ac:dyDescent="0.3"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38"/>
    </row>
    <row r="770" spans="2:25" ht="15.75" customHeight="1" x14ac:dyDescent="0.3"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38"/>
    </row>
    <row r="771" spans="2:25" ht="15.75" customHeight="1" x14ac:dyDescent="0.3"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38"/>
    </row>
    <row r="772" spans="2:25" ht="15.75" customHeight="1" x14ac:dyDescent="0.3"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38"/>
    </row>
    <row r="773" spans="2:25" ht="15.75" customHeight="1" x14ac:dyDescent="0.3"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38"/>
    </row>
    <row r="774" spans="2:25" ht="15.75" customHeight="1" x14ac:dyDescent="0.3"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38"/>
    </row>
    <row r="775" spans="2:25" ht="15.75" customHeight="1" x14ac:dyDescent="0.3"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38"/>
    </row>
    <row r="776" spans="2:25" ht="15.75" customHeight="1" x14ac:dyDescent="0.3"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38"/>
    </row>
    <row r="777" spans="2:25" ht="15.75" customHeight="1" x14ac:dyDescent="0.3"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38"/>
    </row>
    <row r="778" spans="2:25" ht="15.75" customHeight="1" x14ac:dyDescent="0.3"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38"/>
    </row>
    <row r="779" spans="2:25" ht="15.75" customHeight="1" x14ac:dyDescent="0.3"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38"/>
    </row>
    <row r="780" spans="2:25" ht="15.75" customHeight="1" x14ac:dyDescent="0.3"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38"/>
    </row>
    <row r="781" spans="2:25" ht="15.75" customHeight="1" x14ac:dyDescent="0.3"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38"/>
    </row>
    <row r="782" spans="2:25" ht="15.75" customHeight="1" x14ac:dyDescent="0.3"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38"/>
    </row>
    <row r="783" spans="2:25" ht="15.75" customHeight="1" x14ac:dyDescent="0.3"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38"/>
    </row>
    <row r="784" spans="2:25" ht="15.75" customHeight="1" x14ac:dyDescent="0.3"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38"/>
    </row>
    <row r="785" spans="2:25" ht="15.75" customHeight="1" x14ac:dyDescent="0.3"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38"/>
    </row>
    <row r="786" spans="2:25" ht="15.75" customHeight="1" x14ac:dyDescent="0.3"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38"/>
    </row>
    <row r="787" spans="2:25" ht="15.75" customHeight="1" x14ac:dyDescent="0.3"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38"/>
    </row>
    <row r="788" spans="2:25" ht="15.75" customHeight="1" x14ac:dyDescent="0.3"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38"/>
    </row>
    <row r="789" spans="2:25" ht="15.75" customHeight="1" x14ac:dyDescent="0.3"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38"/>
    </row>
    <row r="790" spans="2:25" ht="15.75" customHeight="1" x14ac:dyDescent="0.3"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38"/>
    </row>
    <row r="791" spans="2:25" ht="15.75" customHeight="1" x14ac:dyDescent="0.3"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38"/>
    </row>
    <row r="792" spans="2:25" ht="15.75" customHeight="1" x14ac:dyDescent="0.3"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38"/>
    </row>
    <row r="793" spans="2:25" ht="15.75" customHeight="1" x14ac:dyDescent="0.3"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38"/>
    </row>
    <row r="794" spans="2:25" ht="15.75" customHeight="1" x14ac:dyDescent="0.3"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38"/>
    </row>
    <row r="795" spans="2:25" ht="15.75" customHeight="1" x14ac:dyDescent="0.3"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38"/>
    </row>
    <row r="796" spans="2:25" ht="15.75" customHeight="1" x14ac:dyDescent="0.3"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38"/>
    </row>
    <row r="797" spans="2:25" ht="15.75" customHeight="1" x14ac:dyDescent="0.3"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38"/>
    </row>
    <row r="798" spans="2:25" ht="15.75" customHeight="1" x14ac:dyDescent="0.3"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38"/>
    </row>
    <row r="799" spans="2:25" ht="15.75" customHeight="1" x14ac:dyDescent="0.3"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38"/>
    </row>
    <row r="800" spans="2:25" ht="15.75" customHeight="1" x14ac:dyDescent="0.3"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38"/>
    </row>
    <row r="801" spans="2:25" ht="15.75" customHeight="1" x14ac:dyDescent="0.3"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38"/>
    </row>
    <row r="802" spans="2:25" ht="15.75" customHeight="1" x14ac:dyDescent="0.3"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38"/>
    </row>
    <row r="803" spans="2:25" ht="15.75" customHeight="1" x14ac:dyDescent="0.3"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38"/>
    </row>
    <row r="804" spans="2:25" ht="15.75" customHeight="1" x14ac:dyDescent="0.3"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38"/>
    </row>
    <row r="805" spans="2:25" ht="15.75" customHeight="1" x14ac:dyDescent="0.3"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38"/>
    </row>
    <row r="806" spans="2:25" ht="15.75" customHeight="1" x14ac:dyDescent="0.3"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38"/>
    </row>
    <row r="807" spans="2:25" ht="15.75" customHeight="1" x14ac:dyDescent="0.3"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38"/>
    </row>
    <row r="808" spans="2:25" ht="15.75" customHeight="1" x14ac:dyDescent="0.3"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38"/>
    </row>
    <row r="809" spans="2:25" ht="15.75" customHeight="1" x14ac:dyDescent="0.3"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38"/>
    </row>
    <row r="810" spans="2:25" ht="15.75" customHeight="1" x14ac:dyDescent="0.3"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38"/>
    </row>
    <row r="811" spans="2:25" ht="15.75" customHeight="1" x14ac:dyDescent="0.3"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38"/>
    </row>
    <row r="812" spans="2:25" ht="15.75" customHeight="1" x14ac:dyDescent="0.3"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38"/>
    </row>
    <row r="813" spans="2:25" ht="15.75" customHeight="1" x14ac:dyDescent="0.3"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38"/>
    </row>
    <row r="814" spans="2:25" ht="15.75" customHeight="1" x14ac:dyDescent="0.3"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38"/>
    </row>
    <row r="815" spans="2:25" ht="15.75" customHeight="1" x14ac:dyDescent="0.3"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38"/>
    </row>
    <row r="816" spans="2:25" ht="15.75" customHeight="1" x14ac:dyDescent="0.3"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38"/>
    </row>
    <row r="817" spans="2:25" ht="15.75" customHeight="1" x14ac:dyDescent="0.3"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38"/>
    </row>
    <row r="818" spans="2:25" ht="15.75" customHeight="1" x14ac:dyDescent="0.3"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38"/>
    </row>
    <row r="819" spans="2:25" ht="15.75" customHeight="1" x14ac:dyDescent="0.3"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38"/>
    </row>
    <row r="820" spans="2:25" ht="15.75" customHeight="1" x14ac:dyDescent="0.3"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38"/>
    </row>
    <row r="821" spans="2:25" ht="15.75" customHeight="1" x14ac:dyDescent="0.3"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38"/>
    </row>
    <row r="822" spans="2:25" ht="15.75" customHeight="1" x14ac:dyDescent="0.3"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38"/>
    </row>
    <row r="823" spans="2:25" ht="15.75" customHeight="1" x14ac:dyDescent="0.3"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38"/>
    </row>
    <row r="824" spans="2:25" ht="15.75" customHeight="1" x14ac:dyDescent="0.3"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38"/>
    </row>
    <row r="825" spans="2:25" ht="15.75" customHeight="1" x14ac:dyDescent="0.3"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38"/>
    </row>
    <row r="826" spans="2:25" ht="15.75" customHeight="1" x14ac:dyDescent="0.3"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38"/>
    </row>
    <row r="827" spans="2:25" ht="15.75" customHeight="1" x14ac:dyDescent="0.3"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38"/>
    </row>
    <row r="828" spans="2:25" ht="15.75" customHeight="1" x14ac:dyDescent="0.3"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38"/>
    </row>
    <row r="829" spans="2:25" ht="15.75" customHeight="1" x14ac:dyDescent="0.3"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38"/>
    </row>
    <row r="830" spans="2:25" ht="15.75" customHeight="1" x14ac:dyDescent="0.3"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38"/>
    </row>
    <row r="831" spans="2:25" ht="15.75" customHeight="1" x14ac:dyDescent="0.3"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38"/>
    </row>
    <row r="832" spans="2:25" ht="15.75" customHeight="1" x14ac:dyDescent="0.3"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38"/>
    </row>
    <row r="833" spans="2:25" ht="15.75" customHeight="1" x14ac:dyDescent="0.3"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38"/>
    </row>
    <row r="834" spans="2:25" ht="15.75" customHeight="1" x14ac:dyDescent="0.3"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38"/>
    </row>
    <row r="835" spans="2:25" ht="15.75" customHeight="1" x14ac:dyDescent="0.3"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38"/>
    </row>
    <row r="836" spans="2:25" ht="15.75" customHeight="1" x14ac:dyDescent="0.3"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38"/>
    </row>
    <row r="837" spans="2:25" ht="15.75" customHeight="1" x14ac:dyDescent="0.3"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38"/>
    </row>
    <row r="838" spans="2:25" ht="15.75" customHeight="1" x14ac:dyDescent="0.3"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38"/>
    </row>
    <row r="839" spans="2:25" ht="15.75" customHeight="1" x14ac:dyDescent="0.3"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38"/>
    </row>
    <row r="840" spans="2:25" ht="15.75" customHeight="1" x14ac:dyDescent="0.3"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38"/>
    </row>
    <row r="841" spans="2:25" ht="15.75" customHeight="1" x14ac:dyDescent="0.3"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38"/>
    </row>
    <row r="842" spans="2:25" ht="15.75" customHeight="1" x14ac:dyDescent="0.3"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38"/>
    </row>
    <row r="843" spans="2:25" ht="15.75" customHeight="1" x14ac:dyDescent="0.3"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38"/>
    </row>
    <row r="844" spans="2:25" ht="15.75" customHeight="1" x14ac:dyDescent="0.3"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38"/>
    </row>
    <row r="845" spans="2:25" ht="15.75" customHeight="1" x14ac:dyDescent="0.3"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38"/>
    </row>
    <row r="846" spans="2:25" ht="15.75" customHeight="1" x14ac:dyDescent="0.3"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38"/>
    </row>
    <row r="847" spans="2:25" ht="15.75" customHeight="1" x14ac:dyDescent="0.3"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38"/>
    </row>
    <row r="848" spans="2:25" ht="15.75" customHeight="1" x14ac:dyDescent="0.3"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38"/>
    </row>
    <row r="849" spans="2:25" ht="15.75" customHeight="1" x14ac:dyDescent="0.3"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38"/>
    </row>
    <row r="850" spans="2:25" ht="15.75" customHeight="1" x14ac:dyDescent="0.3"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38"/>
    </row>
    <row r="851" spans="2:25" ht="15.75" customHeight="1" x14ac:dyDescent="0.3"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38"/>
    </row>
    <row r="852" spans="2:25" ht="15.75" customHeight="1" x14ac:dyDescent="0.3"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38"/>
    </row>
    <row r="853" spans="2:25" ht="15.75" customHeight="1" x14ac:dyDescent="0.3"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38"/>
    </row>
    <row r="854" spans="2:25" ht="15.75" customHeight="1" x14ac:dyDescent="0.3"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38"/>
    </row>
    <row r="855" spans="2:25" ht="15.75" customHeight="1" x14ac:dyDescent="0.3"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38"/>
    </row>
    <row r="856" spans="2:25" ht="15.75" customHeight="1" x14ac:dyDescent="0.3"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38"/>
    </row>
    <row r="857" spans="2:25" ht="15.75" customHeight="1" x14ac:dyDescent="0.3"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38"/>
    </row>
    <row r="858" spans="2:25" ht="15.75" customHeight="1" x14ac:dyDescent="0.3"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38"/>
    </row>
    <row r="859" spans="2:25" ht="15.75" customHeight="1" x14ac:dyDescent="0.3"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38"/>
    </row>
    <row r="860" spans="2:25" ht="15.75" customHeight="1" x14ac:dyDescent="0.3"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38"/>
    </row>
    <row r="861" spans="2:25" ht="15.75" customHeight="1" x14ac:dyDescent="0.3"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38"/>
    </row>
    <row r="862" spans="2:25" ht="15.75" customHeight="1" x14ac:dyDescent="0.3"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38"/>
    </row>
    <row r="863" spans="2:25" ht="15.75" customHeight="1" x14ac:dyDescent="0.3"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38"/>
    </row>
    <row r="864" spans="2:25" ht="15.75" customHeight="1" x14ac:dyDescent="0.3"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38"/>
    </row>
    <row r="865" spans="2:25" ht="15.75" customHeight="1" x14ac:dyDescent="0.3"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38"/>
    </row>
    <row r="866" spans="2:25" ht="15.75" customHeight="1" x14ac:dyDescent="0.3"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38"/>
    </row>
    <row r="867" spans="2:25" ht="15.75" customHeight="1" x14ac:dyDescent="0.3"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38"/>
    </row>
    <row r="868" spans="2:25" ht="15.75" customHeight="1" x14ac:dyDescent="0.3"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38"/>
    </row>
    <row r="869" spans="2:25" ht="15.75" customHeight="1" x14ac:dyDescent="0.3"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38"/>
    </row>
    <row r="870" spans="2:25" ht="15.75" customHeight="1" x14ac:dyDescent="0.3"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38"/>
    </row>
    <row r="871" spans="2:25" ht="15.75" customHeight="1" x14ac:dyDescent="0.3"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38"/>
    </row>
    <row r="872" spans="2:25" ht="15.75" customHeight="1" x14ac:dyDescent="0.3"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38"/>
    </row>
    <row r="873" spans="2:25" ht="15.75" customHeight="1" x14ac:dyDescent="0.3"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38"/>
    </row>
    <row r="874" spans="2:25" ht="15.75" customHeight="1" x14ac:dyDescent="0.3"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38"/>
    </row>
    <row r="875" spans="2:25" ht="15.75" customHeight="1" x14ac:dyDescent="0.3"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38"/>
    </row>
    <row r="876" spans="2:25" ht="15.75" customHeight="1" x14ac:dyDescent="0.3"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38"/>
    </row>
    <row r="877" spans="2:25" ht="15.75" customHeight="1" x14ac:dyDescent="0.3"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38"/>
    </row>
    <row r="878" spans="2:25" ht="15.75" customHeight="1" x14ac:dyDescent="0.3"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38"/>
    </row>
    <row r="879" spans="2:25" ht="15.75" customHeight="1" x14ac:dyDescent="0.3"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38"/>
    </row>
    <row r="880" spans="2:25" ht="15.75" customHeight="1" x14ac:dyDescent="0.3"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38"/>
    </row>
    <row r="881" spans="2:25" ht="15.75" customHeight="1" x14ac:dyDescent="0.3"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38"/>
    </row>
    <row r="882" spans="2:25" ht="15.75" customHeight="1" x14ac:dyDescent="0.3"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38"/>
    </row>
    <row r="883" spans="2:25" ht="15.75" customHeight="1" x14ac:dyDescent="0.3"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38"/>
    </row>
    <row r="884" spans="2:25" ht="15.75" customHeight="1" x14ac:dyDescent="0.3"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38"/>
    </row>
    <row r="885" spans="2:25" ht="15.75" customHeight="1" x14ac:dyDescent="0.3"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38"/>
    </row>
    <row r="886" spans="2:25" ht="15.75" customHeight="1" x14ac:dyDescent="0.3"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38"/>
    </row>
    <row r="887" spans="2:25" ht="15.75" customHeight="1" x14ac:dyDescent="0.3"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38"/>
    </row>
    <row r="888" spans="2:25" ht="15.75" customHeight="1" x14ac:dyDescent="0.3"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38"/>
    </row>
    <row r="889" spans="2:25" ht="15.75" customHeight="1" x14ac:dyDescent="0.3"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38"/>
    </row>
    <row r="890" spans="2:25" ht="15.75" customHeight="1" x14ac:dyDescent="0.3"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38"/>
    </row>
    <row r="891" spans="2:25" ht="15.75" customHeight="1" x14ac:dyDescent="0.3"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38"/>
    </row>
    <row r="892" spans="2:25" ht="15.75" customHeight="1" x14ac:dyDescent="0.3"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38"/>
    </row>
    <row r="893" spans="2:25" ht="15.75" customHeight="1" x14ac:dyDescent="0.3"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38"/>
    </row>
    <row r="894" spans="2:25" ht="15.75" customHeight="1" x14ac:dyDescent="0.3"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38"/>
    </row>
    <row r="895" spans="2:25" ht="15.75" customHeight="1" x14ac:dyDescent="0.3"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38"/>
    </row>
    <row r="896" spans="2:25" ht="15.75" customHeight="1" x14ac:dyDescent="0.3"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38"/>
    </row>
    <row r="897" spans="2:25" ht="15.75" customHeight="1" x14ac:dyDescent="0.3"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38"/>
    </row>
    <row r="898" spans="2:25" ht="15.75" customHeight="1" x14ac:dyDescent="0.3"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38"/>
    </row>
    <row r="899" spans="2:25" ht="15.75" customHeight="1" x14ac:dyDescent="0.3"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38"/>
    </row>
    <row r="900" spans="2:25" ht="15.75" customHeight="1" x14ac:dyDescent="0.3"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38"/>
    </row>
    <row r="901" spans="2:25" ht="15.75" customHeight="1" x14ac:dyDescent="0.3"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38"/>
    </row>
    <row r="902" spans="2:25" ht="15.75" customHeight="1" x14ac:dyDescent="0.3"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38"/>
    </row>
    <row r="903" spans="2:25" ht="15.75" customHeight="1" x14ac:dyDescent="0.3"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38"/>
    </row>
    <row r="904" spans="2:25" ht="15.75" customHeight="1" x14ac:dyDescent="0.3"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38"/>
    </row>
    <row r="905" spans="2:25" ht="15.75" customHeight="1" x14ac:dyDescent="0.3"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38"/>
    </row>
    <row r="906" spans="2:25" ht="15.75" customHeight="1" x14ac:dyDescent="0.3"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38"/>
    </row>
    <row r="907" spans="2:25" ht="15.75" customHeight="1" x14ac:dyDescent="0.3"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38"/>
    </row>
    <row r="908" spans="2:25" ht="15.75" customHeight="1" x14ac:dyDescent="0.3"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38"/>
    </row>
    <row r="909" spans="2:25" ht="15.75" customHeight="1" x14ac:dyDescent="0.3"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38"/>
    </row>
    <row r="910" spans="2:25" ht="15.75" customHeight="1" x14ac:dyDescent="0.3"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38"/>
    </row>
    <row r="911" spans="2:25" ht="15.75" customHeight="1" x14ac:dyDescent="0.3"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38"/>
    </row>
    <row r="912" spans="2:25" ht="15.75" customHeight="1" x14ac:dyDescent="0.3"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38"/>
    </row>
    <row r="913" spans="2:25" ht="15.75" customHeight="1" x14ac:dyDescent="0.3"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38"/>
    </row>
    <row r="914" spans="2:25" ht="15.75" customHeight="1" x14ac:dyDescent="0.3"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38"/>
    </row>
    <row r="915" spans="2:25" ht="15.75" customHeight="1" x14ac:dyDescent="0.3"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38"/>
    </row>
    <row r="916" spans="2:25" ht="15.75" customHeight="1" x14ac:dyDescent="0.3"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38"/>
    </row>
    <row r="917" spans="2:25" ht="15.75" customHeight="1" x14ac:dyDescent="0.3"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38"/>
    </row>
    <row r="918" spans="2:25" ht="15.75" customHeight="1" x14ac:dyDescent="0.3"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38"/>
    </row>
    <row r="919" spans="2:25" ht="15.75" customHeight="1" x14ac:dyDescent="0.3"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38"/>
    </row>
    <row r="920" spans="2:25" ht="15.75" customHeight="1" x14ac:dyDescent="0.3"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38"/>
    </row>
    <row r="921" spans="2:25" ht="15.75" customHeight="1" x14ac:dyDescent="0.3"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38"/>
    </row>
    <row r="922" spans="2:25" ht="15.75" customHeight="1" x14ac:dyDescent="0.3"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38"/>
    </row>
    <row r="923" spans="2:25" ht="15.75" customHeight="1" x14ac:dyDescent="0.3"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38"/>
    </row>
    <row r="924" spans="2:25" ht="15.75" customHeight="1" x14ac:dyDescent="0.3"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38"/>
    </row>
    <row r="925" spans="2:25" ht="15.75" customHeight="1" x14ac:dyDescent="0.3"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38"/>
    </row>
    <row r="926" spans="2:25" ht="15.75" customHeight="1" x14ac:dyDescent="0.3"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38"/>
    </row>
    <row r="927" spans="2:25" ht="15.75" customHeight="1" x14ac:dyDescent="0.3"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38"/>
    </row>
    <row r="928" spans="2:25" ht="15.75" customHeight="1" x14ac:dyDescent="0.3"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38"/>
    </row>
    <row r="929" spans="2:25" ht="15.75" customHeight="1" x14ac:dyDescent="0.3"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38"/>
    </row>
    <row r="930" spans="2:25" ht="15.75" customHeight="1" x14ac:dyDescent="0.3"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38"/>
    </row>
    <row r="931" spans="2:25" ht="15.75" customHeight="1" x14ac:dyDescent="0.3"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38"/>
    </row>
    <row r="932" spans="2:25" ht="15.75" customHeight="1" x14ac:dyDescent="0.3"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38"/>
    </row>
    <row r="933" spans="2:25" ht="15.75" customHeight="1" x14ac:dyDescent="0.3"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38"/>
    </row>
    <row r="934" spans="2:25" ht="15.75" customHeight="1" x14ac:dyDescent="0.3"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38"/>
    </row>
    <row r="935" spans="2:25" ht="15.75" customHeight="1" x14ac:dyDescent="0.3"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38"/>
    </row>
    <row r="936" spans="2:25" ht="15.75" customHeight="1" x14ac:dyDescent="0.3"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38"/>
    </row>
    <row r="937" spans="2:25" ht="15.75" customHeight="1" x14ac:dyDescent="0.3"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38"/>
    </row>
    <row r="938" spans="2:25" ht="15.75" customHeight="1" x14ac:dyDescent="0.3"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38"/>
    </row>
    <row r="939" spans="2:25" ht="15.75" customHeight="1" x14ac:dyDescent="0.3"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38"/>
    </row>
    <row r="940" spans="2:25" ht="15.75" customHeight="1" x14ac:dyDescent="0.3"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38"/>
    </row>
    <row r="941" spans="2:25" ht="15.75" customHeight="1" x14ac:dyDescent="0.3"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38"/>
    </row>
    <row r="942" spans="2:25" ht="15.75" customHeight="1" x14ac:dyDescent="0.3"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38"/>
    </row>
    <row r="943" spans="2:25" ht="15.75" customHeight="1" x14ac:dyDescent="0.3"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38"/>
    </row>
    <row r="944" spans="2:25" ht="15.75" customHeight="1" x14ac:dyDescent="0.3"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38"/>
    </row>
    <row r="945" spans="2:25" ht="15.75" customHeight="1" x14ac:dyDescent="0.3"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38"/>
    </row>
    <row r="946" spans="2:25" ht="15.75" customHeight="1" x14ac:dyDescent="0.3"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38"/>
    </row>
    <row r="947" spans="2:25" ht="15.75" customHeight="1" x14ac:dyDescent="0.3"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38"/>
    </row>
    <row r="948" spans="2:25" ht="15.75" customHeight="1" x14ac:dyDescent="0.3"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38"/>
    </row>
    <row r="949" spans="2:25" ht="15.75" customHeight="1" x14ac:dyDescent="0.3"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38"/>
    </row>
    <row r="950" spans="2:25" ht="15.75" customHeight="1" x14ac:dyDescent="0.3"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38"/>
    </row>
    <row r="951" spans="2:25" ht="15.75" customHeight="1" x14ac:dyDescent="0.3"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38"/>
    </row>
    <row r="952" spans="2:25" ht="15.75" customHeight="1" x14ac:dyDescent="0.3"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38"/>
    </row>
    <row r="953" spans="2:25" ht="15.75" customHeight="1" x14ac:dyDescent="0.3"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38"/>
    </row>
    <row r="954" spans="2:25" ht="15.75" customHeight="1" x14ac:dyDescent="0.3"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38"/>
    </row>
    <row r="955" spans="2:25" ht="15.75" customHeight="1" x14ac:dyDescent="0.3"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38"/>
    </row>
    <row r="956" spans="2:25" ht="15.75" customHeight="1" x14ac:dyDescent="0.3"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38"/>
    </row>
    <row r="957" spans="2:25" ht="15.75" customHeight="1" x14ac:dyDescent="0.3"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38"/>
    </row>
    <row r="958" spans="2:25" ht="15.75" customHeight="1" x14ac:dyDescent="0.3"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38"/>
    </row>
    <row r="959" spans="2:25" ht="15.75" customHeight="1" x14ac:dyDescent="0.3"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38"/>
    </row>
    <row r="960" spans="2:25" ht="15.75" customHeight="1" x14ac:dyDescent="0.3"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38"/>
    </row>
    <row r="961" spans="2:25" ht="15.75" customHeight="1" x14ac:dyDescent="0.3"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38"/>
    </row>
    <row r="962" spans="2:25" ht="15.75" customHeight="1" x14ac:dyDescent="0.3"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38"/>
    </row>
    <row r="963" spans="2:25" ht="15.75" customHeight="1" x14ac:dyDescent="0.3"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38"/>
    </row>
    <row r="964" spans="2:25" ht="15.75" customHeight="1" x14ac:dyDescent="0.3"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38"/>
    </row>
    <row r="965" spans="2:25" ht="15.75" customHeight="1" x14ac:dyDescent="0.3"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38"/>
    </row>
    <row r="966" spans="2:25" ht="15.75" customHeight="1" x14ac:dyDescent="0.3"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38"/>
    </row>
    <row r="967" spans="2:25" ht="15.75" customHeight="1" x14ac:dyDescent="0.3"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38"/>
    </row>
    <row r="968" spans="2:25" ht="15.75" customHeight="1" x14ac:dyDescent="0.3"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38"/>
    </row>
    <row r="969" spans="2:25" ht="15.75" customHeight="1" x14ac:dyDescent="0.3"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38"/>
    </row>
    <row r="970" spans="2:25" ht="15.75" customHeight="1" x14ac:dyDescent="0.3"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38"/>
    </row>
    <row r="971" spans="2:25" ht="15.75" customHeight="1" x14ac:dyDescent="0.3"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38"/>
    </row>
    <row r="972" spans="2:25" ht="15.75" customHeight="1" x14ac:dyDescent="0.3"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38"/>
    </row>
    <row r="973" spans="2:25" ht="15.75" customHeight="1" x14ac:dyDescent="0.3"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38"/>
    </row>
    <row r="974" spans="2:25" ht="15.75" customHeight="1" x14ac:dyDescent="0.3"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38"/>
    </row>
    <row r="975" spans="2:25" ht="15.75" customHeight="1" x14ac:dyDescent="0.3"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38"/>
    </row>
    <row r="976" spans="2:25" ht="15.75" customHeight="1" x14ac:dyDescent="0.3"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38"/>
    </row>
    <row r="977" spans="2:25" ht="15.75" customHeight="1" x14ac:dyDescent="0.3"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38"/>
    </row>
    <row r="978" spans="2:25" ht="15.75" customHeight="1" x14ac:dyDescent="0.3"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38"/>
    </row>
    <row r="979" spans="2:25" ht="15.75" customHeight="1" x14ac:dyDescent="0.3"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38"/>
    </row>
    <row r="980" spans="2:25" ht="15.75" customHeight="1" x14ac:dyDescent="0.3"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38"/>
    </row>
    <row r="981" spans="2:25" ht="15.75" customHeight="1" x14ac:dyDescent="0.3"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38"/>
    </row>
    <row r="982" spans="2:25" ht="15.75" customHeight="1" x14ac:dyDescent="0.3"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38"/>
    </row>
    <row r="983" spans="2:25" ht="15.75" customHeight="1" x14ac:dyDescent="0.3"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38"/>
    </row>
    <row r="984" spans="2:25" ht="15.75" customHeight="1" x14ac:dyDescent="0.3"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38"/>
    </row>
    <row r="985" spans="2:25" ht="15.75" customHeight="1" x14ac:dyDescent="0.3"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38"/>
    </row>
    <row r="986" spans="2:25" ht="15.75" customHeight="1" x14ac:dyDescent="0.3"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38"/>
    </row>
    <row r="987" spans="2:25" ht="15.75" customHeight="1" x14ac:dyDescent="0.3"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38"/>
    </row>
    <row r="988" spans="2:25" ht="15.75" customHeight="1" x14ac:dyDescent="0.3"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38"/>
    </row>
    <row r="989" spans="2:25" ht="15.75" customHeight="1" x14ac:dyDescent="0.3"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38"/>
    </row>
    <row r="990" spans="2:25" ht="15.75" customHeight="1" x14ac:dyDescent="0.3"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38"/>
    </row>
    <row r="991" spans="2:25" ht="15.75" customHeight="1" x14ac:dyDescent="0.3"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38"/>
    </row>
    <row r="992" spans="2:25" ht="15.75" customHeight="1" x14ac:dyDescent="0.3"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38"/>
    </row>
    <row r="993" spans="2:25" ht="15.75" customHeight="1" x14ac:dyDescent="0.3"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38"/>
    </row>
    <row r="994" spans="2:25" ht="15.75" customHeight="1" x14ac:dyDescent="0.3"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38"/>
    </row>
    <row r="995" spans="2:25" ht="15.75" customHeight="1" x14ac:dyDescent="0.3"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38"/>
    </row>
    <row r="996" spans="2:25" ht="15.75" customHeight="1" x14ac:dyDescent="0.3"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38"/>
    </row>
    <row r="997" spans="2:25" ht="15.75" customHeight="1" x14ac:dyDescent="0.3"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38"/>
    </row>
    <row r="998" spans="2:25" ht="15.75" customHeight="1" x14ac:dyDescent="0.3"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38"/>
    </row>
    <row r="999" spans="2:25" ht="15.75" customHeight="1" x14ac:dyDescent="0.3"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38"/>
    </row>
  </sheetData>
  <mergeCells count="7">
    <mergeCell ref="C401:D401"/>
    <mergeCell ref="C2:N2"/>
    <mergeCell ref="C3:N3"/>
    <mergeCell ref="C311:D311"/>
    <mergeCell ref="C355:N355"/>
    <mergeCell ref="C399:N399"/>
    <mergeCell ref="C400:D400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X1000"/>
  <sheetViews>
    <sheetView showGridLines="0" topLeftCell="D1" workbookViewId="0">
      <selection activeCell="O6" sqref="O6"/>
    </sheetView>
  </sheetViews>
  <sheetFormatPr baseColWidth="10" defaultColWidth="12.6640625" defaultRowHeight="15" customHeight="1" x14ac:dyDescent="0.3"/>
  <cols>
    <col min="1" max="1" width="10.6640625" customWidth="1"/>
    <col min="2" max="2" width="6.77734375" customWidth="1"/>
    <col min="3" max="3" width="26.6640625" customWidth="1"/>
    <col min="4" max="4" width="7.88671875" customWidth="1"/>
    <col min="5" max="5" width="25.109375" customWidth="1"/>
    <col min="6" max="15" width="11.88671875" customWidth="1"/>
    <col min="16" max="23" width="11.33203125" customWidth="1"/>
    <col min="24" max="26" width="10.6640625" customWidth="1"/>
  </cols>
  <sheetData>
    <row r="1" spans="2:24" ht="14.4" x14ac:dyDescent="0.3">
      <c r="B1" s="2"/>
      <c r="C1" s="4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2:24" ht="34.799999999999997" x14ac:dyDescent="0.7">
      <c r="B2" s="2"/>
      <c r="C2" s="208" t="s">
        <v>764</v>
      </c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7"/>
      <c r="O2" s="2"/>
      <c r="P2" s="5" t="s">
        <v>5</v>
      </c>
      <c r="Q2" s="2"/>
      <c r="R2" s="2"/>
      <c r="S2" s="2"/>
      <c r="T2" s="2"/>
      <c r="U2" s="2"/>
      <c r="V2" s="2"/>
      <c r="W2" s="2"/>
      <c r="X2" s="2"/>
    </row>
    <row r="3" spans="2:24" ht="28.8" x14ac:dyDescent="0.7">
      <c r="B3" s="2"/>
      <c r="C3" s="209" t="s">
        <v>765</v>
      </c>
      <c r="D3" s="197"/>
      <c r="E3" s="197"/>
      <c r="F3" s="197"/>
      <c r="G3" s="197"/>
      <c r="H3" s="197"/>
      <c r="I3" s="197"/>
      <c r="J3" s="197"/>
      <c r="K3" s="197"/>
      <c r="L3" s="197"/>
      <c r="M3" s="197"/>
      <c r="N3" s="198"/>
      <c r="O3" s="39"/>
      <c r="P3" s="7" t="s">
        <v>8</v>
      </c>
      <c r="Q3" s="2"/>
      <c r="R3" s="2"/>
      <c r="S3" s="2"/>
      <c r="T3" s="2"/>
      <c r="U3" s="2"/>
      <c r="V3" s="2"/>
      <c r="W3" s="2"/>
      <c r="X3" s="2"/>
    </row>
    <row r="4" spans="2:24" ht="20.399999999999999" x14ac:dyDescent="0.7">
      <c r="B4" s="38"/>
      <c r="C4" s="104" t="s">
        <v>6</v>
      </c>
      <c r="D4" s="105"/>
      <c r="E4" s="105"/>
      <c r="F4" s="106">
        <v>1</v>
      </c>
      <c r="G4" s="106">
        <v>2</v>
      </c>
      <c r="H4" s="106">
        <v>3</v>
      </c>
      <c r="I4" s="106">
        <v>4</v>
      </c>
      <c r="J4" s="106">
        <v>5</v>
      </c>
      <c r="K4" s="106">
        <v>6</v>
      </c>
      <c r="L4" s="106">
        <v>7</v>
      </c>
      <c r="M4" s="106">
        <v>8</v>
      </c>
      <c r="N4" s="107">
        <v>9</v>
      </c>
      <c r="O4" s="44"/>
      <c r="P4" s="7" t="s">
        <v>73</v>
      </c>
      <c r="Q4" s="2"/>
      <c r="R4" s="2"/>
      <c r="S4" s="2"/>
      <c r="T4" s="2"/>
      <c r="U4" s="2"/>
      <c r="V4" s="2"/>
      <c r="W4" s="2"/>
      <c r="X4" s="2"/>
    </row>
    <row r="5" spans="2:24" ht="20.399999999999999" x14ac:dyDescent="0.7">
      <c r="B5" s="2"/>
      <c r="C5" s="45" t="s">
        <v>70</v>
      </c>
      <c r="D5" s="46" t="s">
        <v>71</v>
      </c>
      <c r="E5" s="46" t="s">
        <v>72</v>
      </c>
      <c r="F5" s="48" t="s">
        <v>10</v>
      </c>
      <c r="G5" s="48" t="s">
        <v>11</v>
      </c>
      <c r="H5" s="48" t="s">
        <v>12</v>
      </c>
      <c r="I5" s="49" t="s">
        <v>13</v>
      </c>
      <c r="J5" s="49" t="s">
        <v>14</v>
      </c>
      <c r="K5" s="50" t="s">
        <v>15</v>
      </c>
      <c r="L5" s="50" t="s">
        <v>16</v>
      </c>
      <c r="M5" s="48" t="s">
        <v>17</v>
      </c>
      <c r="N5" s="51" t="s">
        <v>18</v>
      </c>
      <c r="O5" s="52"/>
      <c r="P5" s="7" t="s">
        <v>773</v>
      </c>
      <c r="Q5" s="2"/>
      <c r="R5" s="2"/>
      <c r="S5" s="2"/>
      <c r="T5" s="2"/>
      <c r="U5" s="2"/>
      <c r="V5" s="2"/>
      <c r="W5" s="2"/>
      <c r="X5" s="2"/>
    </row>
    <row r="6" spans="2:24" ht="20.399999999999999" x14ac:dyDescent="0.7">
      <c r="B6" s="2"/>
      <c r="C6" s="53" t="s">
        <v>74</v>
      </c>
      <c r="D6" s="54" t="s">
        <v>75</v>
      </c>
      <c r="E6" s="55" t="s">
        <v>32</v>
      </c>
      <c r="F6" s="56">
        <v>2400</v>
      </c>
      <c r="G6" s="57">
        <v>2604</v>
      </c>
      <c r="H6" s="57">
        <v>2991</v>
      </c>
      <c r="I6" s="57">
        <v>3454</v>
      </c>
      <c r="J6" s="57">
        <v>4251</v>
      </c>
      <c r="K6" s="57">
        <v>5163</v>
      </c>
      <c r="L6" s="57">
        <v>6082</v>
      </c>
      <c r="M6" s="58">
        <v>381</v>
      </c>
      <c r="N6" s="59">
        <v>305</v>
      </c>
      <c r="O6" s="60"/>
      <c r="P6" s="13" t="s">
        <v>2</v>
      </c>
      <c r="Q6" s="2"/>
      <c r="R6" s="2"/>
      <c r="S6" s="2"/>
      <c r="T6" s="2"/>
      <c r="U6" s="2"/>
      <c r="V6" s="2"/>
      <c r="W6" s="2"/>
      <c r="X6" s="2"/>
    </row>
    <row r="7" spans="2:24" ht="20.399999999999999" x14ac:dyDescent="0.7">
      <c r="B7" s="2"/>
      <c r="C7" s="61" t="s">
        <v>74</v>
      </c>
      <c r="D7" s="62" t="s">
        <v>76</v>
      </c>
      <c r="E7" s="63" t="s">
        <v>77</v>
      </c>
      <c r="F7" s="64">
        <v>2400</v>
      </c>
      <c r="G7" s="65">
        <v>2604</v>
      </c>
      <c r="H7" s="65">
        <v>2991</v>
      </c>
      <c r="I7" s="65">
        <v>3454</v>
      </c>
      <c r="J7" s="65">
        <v>4251</v>
      </c>
      <c r="K7" s="65">
        <v>5163</v>
      </c>
      <c r="L7" s="65">
        <v>6082</v>
      </c>
      <c r="M7" s="66">
        <v>381</v>
      </c>
      <c r="N7" s="67">
        <v>305</v>
      </c>
      <c r="O7" s="60"/>
      <c r="P7" s="13" t="s">
        <v>2</v>
      </c>
      <c r="Q7" s="2"/>
      <c r="R7" s="2"/>
      <c r="S7" s="2"/>
      <c r="T7" s="2"/>
      <c r="U7" s="2"/>
      <c r="V7" s="2"/>
      <c r="W7" s="2"/>
      <c r="X7" s="2"/>
    </row>
    <row r="8" spans="2:24" ht="20.399999999999999" x14ac:dyDescent="0.7">
      <c r="B8" s="2"/>
      <c r="C8" s="61" t="s">
        <v>74</v>
      </c>
      <c r="D8" s="62" t="s">
        <v>78</v>
      </c>
      <c r="E8" s="63" t="s">
        <v>79</v>
      </c>
      <c r="F8" s="64">
        <v>2400</v>
      </c>
      <c r="G8" s="65">
        <v>2604</v>
      </c>
      <c r="H8" s="65">
        <v>2991</v>
      </c>
      <c r="I8" s="65">
        <v>3454</v>
      </c>
      <c r="J8" s="65">
        <v>4251</v>
      </c>
      <c r="K8" s="65">
        <v>5163</v>
      </c>
      <c r="L8" s="65">
        <v>6082</v>
      </c>
      <c r="M8" s="66">
        <v>381</v>
      </c>
      <c r="N8" s="67">
        <v>305</v>
      </c>
      <c r="O8" s="60"/>
      <c r="P8" s="97" t="s">
        <v>767</v>
      </c>
      <c r="Q8" s="98"/>
      <c r="R8" s="98"/>
      <c r="S8" s="98"/>
      <c r="T8" s="98"/>
      <c r="U8" s="98"/>
      <c r="V8" s="99"/>
      <c r="W8" s="2"/>
      <c r="X8" s="2"/>
    </row>
    <row r="9" spans="2:24" ht="20.399999999999999" x14ac:dyDescent="0.7">
      <c r="B9" s="2"/>
      <c r="C9" s="61" t="s">
        <v>74</v>
      </c>
      <c r="D9" s="62" t="s">
        <v>80</v>
      </c>
      <c r="E9" s="63" t="s">
        <v>81</v>
      </c>
      <c r="F9" s="64">
        <v>2400</v>
      </c>
      <c r="G9" s="65">
        <v>2604</v>
      </c>
      <c r="H9" s="65">
        <v>2991</v>
      </c>
      <c r="I9" s="65">
        <v>3454</v>
      </c>
      <c r="J9" s="65">
        <v>4251</v>
      </c>
      <c r="K9" s="65">
        <v>5163</v>
      </c>
      <c r="L9" s="65">
        <v>6082</v>
      </c>
      <c r="M9" s="66">
        <v>381</v>
      </c>
      <c r="N9" s="67">
        <v>305</v>
      </c>
      <c r="O9" s="60"/>
      <c r="P9" s="7" t="s">
        <v>774</v>
      </c>
      <c r="Q9" s="2"/>
      <c r="R9" s="2"/>
      <c r="S9" s="2"/>
      <c r="T9" s="2"/>
      <c r="U9" s="2"/>
      <c r="V9" s="2"/>
      <c r="W9" s="2"/>
      <c r="X9" s="2"/>
    </row>
    <row r="10" spans="2:24" ht="20.399999999999999" x14ac:dyDescent="0.7">
      <c r="B10" s="2"/>
      <c r="C10" s="61" t="s">
        <v>74</v>
      </c>
      <c r="D10" s="62" t="s">
        <v>82</v>
      </c>
      <c r="E10" s="63" t="s">
        <v>83</v>
      </c>
      <c r="F10" s="64">
        <v>2400</v>
      </c>
      <c r="G10" s="65">
        <v>2604</v>
      </c>
      <c r="H10" s="65">
        <v>2991</v>
      </c>
      <c r="I10" s="65">
        <v>3454</v>
      </c>
      <c r="J10" s="65">
        <v>4251</v>
      </c>
      <c r="K10" s="65">
        <v>5163</v>
      </c>
      <c r="L10" s="65">
        <v>6082</v>
      </c>
      <c r="M10" s="66">
        <v>381</v>
      </c>
      <c r="N10" s="67">
        <v>305</v>
      </c>
      <c r="O10" s="60"/>
      <c r="P10" s="13" t="s">
        <v>769</v>
      </c>
      <c r="Q10" s="2"/>
      <c r="R10" s="2"/>
      <c r="S10" s="2"/>
      <c r="T10" s="2"/>
      <c r="U10" s="2"/>
      <c r="V10" s="2"/>
      <c r="W10" s="2"/>
      <c r="X10" s="2"/>
    </row>
    <row r="11" spans="2:24" ht="20.399999999999999" x14ac:dyDescent="0.7">
      <c r="B11" s="2"/>
      <c r="C11" s="61" t="s">
        <v>74</v>
      </c>
      <c r="D11" s="62" t="s">
        <v>84</v>
      </c>
      <c r="E11" s="63" t="s">
        <v>85</v>
      </c>
      <c r="F11" s="64">
        <v>2400</v>
      </c>
      <c r="G11" s="65">
        <v>2604</v>
      </c>
      <c r="H11" s="65">
        <v>2991</v>
      </c>
      <c r="I11" s="65">
        <v>3454</v>
      </c>
      <c r="J11" s="65">
        <v>4251</v>
      </c>
      <c r="K11" s="65">
        <v>5163</v>
      </c>
      <c r="L11" s="65">
        <v>6082</v>
      </c>
      <c r="M11" s="66">
        <v>381</v>
      </c>
      <c r="N11" s="67">
        <v>305</v>
      </c>
      <c r="O11" s="60"/>
      <c r="P11" s="7" t="s">
        <v>775</v>
      </c>
      <c r="Q11" s="2"/>
      <c r="R11" s="2"/>
      <c r="S11" s="2"/>
      <c r="T11" s="2"/>
      <c r="U11" s="2"/>
      <c r="V11" s="2"/>
      <c r="W11" s="2"/>
      <c r="X11" s="2"/>
    </row>
    <row r="12" spans="2:24" ht="20.399999999999999" x14ac:dyDescent="0.3">
      <c r="B12" s="2"/>
      <c r="C12" s="61" t="s">
        <v>74</v>
      </c>
      <c r="D12" s="62" t="s">
        <v>86</v>
      </c>
      <c r="E12" s="63" t="s">
        <v>87</v>
      </c>
      <c r="F12" s="64">
        <v>2400</v>
      </c>
      <c r="G12" s="65">
        <v>2604</v>
      </c>
      <c r="H12" s="65">
        <v>2991</v>
      </c>
      <c r="I12" s="65">
        <v>3454</v>
      </c>
      <c r="J12" s="65">
        <v>4251</v>
      </c>
      <c r="K12" s="65">
        <v>5163</v>
      </c>
      <c r="L12" s="65">
        <v>6082</v>
      </c>
      <c r="M12" s="66">
        <v>381</v>
      </c>
      <c r="N12" s="67">
        <v>305</v>
      </c>
      <c r="O12" s="60"/>
      <c r="P12" s="2"/>
      <c r="Q12" s="2"/>
      <c r="R12" s="2"/>
      <c r="S12" s="2"/>
      <c r="T12" s="2"/>
      <c r="U12" s="2"/>
      <c r="V12" s="2"/>
      <c r="W12" s="2"/>
      <c r="X12" s="2"/>
    </row>
    <row r="13" spans="2:24" ht="20.399999999999999" x14ac:dyDescent="0.7">
      <c r="B13" s="2"/>
      <c r="C13" s="61" t="s">
        <v>74</v>
      </c>
      <c r="D13" s="62" t="s">
        <v>88</v>
      </c>
      <c r="E13" s="63" t="s">
        <v>89</v>
      </c>
      <c r="F13" s="64">
        <v>2400</v>
      </c>
      <c r="G13" s="65">
        <v>2604</v>
      </c>
      <c r="H13" s="65">
        <v>2991</v>
      </c>
      <c r="I13" s="65">
        <v>3454</v>
      </c>
      <c r="J13" s="65">
        <v>4251</v>
      </c>
      <c r="K13" s="65">
        <v>5163</v>
      </c>
      <c r="L13" s="65">
        <v>6082</v>
      </c>
      <c r="M13" s="66">
        <v>381</v>
      </c>
      <c r="N13" s="67">
        <v>305</v>
      </c>
      <c r="O13" s="60"/>
      <c r="P13" s="5" t="s">
        <v>771</v>
      </c>
      <c r="Q13" s="2"/>
      <c r="R13" s="2"/>
      <c r="S13" s="2"/>
      <c r="T13" s="2"/>
      <c r="U13" s="2"/>
      <c r="V13" s="2"/>
      <c r="W13" s="2"/>
      <c r="X13" s="2"/>
    </row>
    <row r="14" spans="2:24" ht="20.399999999999999" x14ac:dyDescent="0.3">
      <c r="B14" s="2"/>
      <c r="C14" s="61" t="s">
        <v>74</v>
      </c>
      <c r="D14" s="62" t="s">
        <v>90</v>
      </c>
      <c r="E14" s="63" t="s">
        <v>91</v>
      </c>
      <c r="F14" s="64">
        <v>2400</v>
      </c>
      <c r="G14" s="65">
        <v>2604</v>
      </c>
      <c r="H14" s="65">
        <v>2991</v>
      </c>
      <c r="I14" s="65">
        <v>3454</v>
      </c>
      <c r="J14" s="65">
        <v>4251</v>
      </c>
      <c r="K14" s="65">
        <v>5163</v>
      </c>
      <c r="L14" s="65">
        <v>6082</v>
      </c>
      <c r="M14" s="66">
        <v>381</v>
      </c>
      <c r="N14" s="67">
        <v>305</v>
      </c>
      <c r="O14" s="60"/>
      <c r="P14" s="227" t="s">
        <v>772</v>
      </c>
      <c r="Q14" s="179"/>
      <c r="R14" s="179"/>
      <c r="S14" s="179"/>
      <c r="T14" s="179"/>
      <c r="U14" s="179"/>
      <c r="V14" s="179"/>
      <c r="W14" s="179"/>
      <c r="X14" s="2"/>
    </row>
    <row r="15" spans="2:24" ht="20.399999999999999" x14ac:dyDescent="0.3">
      <c r="B15" s="2"/>
      <c r="C15" s="61" t="s">
        <v>74</v>
      </c>
      <c r="D15" s="62" t="s">
        <v>92</v>
      </c>
      <c r="E15" s="63" t="s">
        <v>93</v>
      </c>
      <c r="F15" s="64">
        <v>2400</v>
      </c>
      <c r="G15" s="65">
        <v>2604</v>
      </c>
      <c r="H15" s="65">
        <v>2991</v>
      </c>
      <c r="I15" s="65">
        <v>3454</v>
      </c>
      <c r="J15" s="65">
        <v>4251</v>
      </c>
      <c r="K15" s="65">
        <v>5163</v>
      </c>
      <c r="L15" s="65">
        <v>6082</v>
      </c>
      <c r="M15" s="66">
        <v>381</v>
      </c>
      <c r="N15" s="67">
        <v>305</v>
      </c>
      <c r="O15" s="60"/>
      <c r="P15" s="179"/>
      <c r="Q15" s="179"/>
      <c r="R15" s="179"/>
      <c r="S15" s="179"/>
      <c r="T15" s="179"/>
      <c r="U15" s="179"/>
      <c r="V15" s="179"/>
      <c r="W15" s="179"/>
      <c r="X15" s="2"/>
    </row>
    <row r="16" spans="2:24" ht="20.399999999999999" x14ac:dyDescent="0.3">
      <c r="B16" s="2"/>
      <c r="C16" s="61" t="s">
        <v>74</v>
      </c>
      <c r="D16" s="62" t="s">
        <v>94</v>
      </c>
      <c r="E16" s="63" t="s">
        <v>95</v>
      </c>
      <c r="F16" s="64">
        <v>2400</v>
      </c>
      <c r="G16" s="65">
        <v>2604</v>
      </c>
      <c r="H16" s="65">
        <v>2991</v>
      </c>
      <c r="I16" s="65">
        <v>3454</v>
      </c>
      <c r="J16" s="65">
        <v>4251</v>
      </c>
      <c r="K16" s="65">
        <v>5163</v>
      </c>
      <c r="L16" s="65">
        <v>6082</v>
      </c>
      <c r="M16" s="66">
        <v>381</v>
      </c>
      <c r="N16" s="67">
        <v>305</v>
      </c>
      <c r="O16" s="60"/>
      <c r="P16" s="179"/>
      <c r="Q16" s="179"/>
      <c r="R16" s="179"/>
      <c r="S16" s="179"/>
      <c r="T16" s="179"/>
      <c r="U16" s="179"/>
      <c r="V16" s="179"/>
      <c r="W16" s="179"/>
      <c r="X16" s="2"/>
    </row>
    <row r="17" spans="2:24" ht="20.399999999999999" x14ac:dyDescent="0.3">
      <c r="B17" s="2"/>
      <c r="C17" s="61" t="s">
        <v>74</v>
      </c>
      <c r="D17" s="62" t="s">
        <v>96</v>
      </c>
      <c r="E17" s="63" t="s">
        <v>97</v>
      </c>
      <c r="F17" s="64">
        <v>2400</v>
      </c>
      <c r="G17" s="65">
        <v>2604</v>
      </c>
      <c r="H17" s="65">
        <v>2991</v>
      </c>
      <c r="I17" s="65">
        <v>3454</v>
      </c>
      <c r="J17" s="65">
        <v>4251</v>
      </c>
      <c r="K17" s="65">
        <v>5163</v>
      </c>
      <c r="L17" s="65">
        <v>6082</v>
      </c>
      <c r="M17" s="66">
        <v>381</v>
      </c>
      <c r="N17" s="67">
        <v>305</v>
      </c>
      <c r="O17" s="60"/>
      <c r="P17" s="38"/>
      <c r="Q17" s="2"/>
      <c r="R17" s="2"/>
      <c r="S17" s="2"/>
      <c r="T17" s="2"/>
      <c r="U17" s="2"/>
      <c r="V17" s="2"/>
      <c r="W17" s="2"/>
      <c r="X17" s="2"/>
    </row>
    <row r="18" spans="2:24" ht="20.399999999999999" x14ac:dyDescent="0.3">
      <c r="B18" s="2"/>
      <c r="C18" s="61" t="s">
        <v>74</v>
      </c>
      <c r="D18" s="62" t="s">
        <v>98</v>
      </c>
      <c r="E18" s="63" t="s">
        <v>99</v>
      </c>
      <c r="F18" s="64">
        <v>2400</v>
      </c>
      <c r="G18" s="65">
        <v>2604</v>
      </c>
      <c r="H18" s="65">
        <v>2991</v>
      </c>
      <c r="I18" s="65">
        <v>3454</v>
      </c>
      <c r="J18" s="65">
        <v>4251</v>
      </c>
      <c r="K18" s="65">
        <v>5163</v>
      </c>
      <c r="L18" s="65">
        <v>6082</v>
      </c>
      <c r="M18" s="66">
        <v>381</v>
      </c>
      <c r="N18" s="67">
        <v>305</v>
      </c>
      <c r="O18" s="60"/>
      <c r="P18" s="38"/>
      <c r="Q18" s="2"/>
      <c r="R18" s="2"/>
      <c r="S18" s="2"/>
      <c r="T18" s="2"/>
      <c r="U18" s="2"/>
      <c r="V18" s="2"/>
      <c r="W18" s="2"/>
      <c r="X18" s="2"/>
    </row>
    <row r="19" spans="2:24" ht="20.399999999999999" x14ac:dyDescent="0.3">
      <c r="B19" s="2"/>
      <c r="C19" s="61" t="s">
        <v>74</v>
      </c>
      <c r="D19" s="62" t="s">
        <v>100</v>
      </c>
      <c r="E19" s="63" t="s">
        <v>101</v>
      </c>
      <c r="F19" s="64">
        <v>2400</v>
      </c>
      <c r="G19" s="65">
        <v>2604</v>
      </c>
      <c r="H19" s="65">
        <v>2991</v>
      </c>
      <c r="I19" s="65">
        <v>3454</v>
      </c>
      <c r="J19" s="65">
        <v>4251</v>
      </c>
      <c r="K19" s="65">
        <v>5163</v>
      </c>
      <c r="L19" s="65">
        <v>6082</v>
      </c>
      <c r="M19" s="66">
        <v>381</v>
      </c>
      <c r="N19" s="67">
        <v>305</v>
      </c>
      <c r="O19" s="60"/>
      <c r="P19" s="38"/>
      <c r="Q19" s="2"/>
      <c r="R19" s="2"/>
      <c r="S19" s="2"/>
      <c r="T19" s="2"/>
      <c r="U19" s="2"/>
      <c r="V19" s="2"/>
      <c r="W19" s="2"/>
      <c r="X19" s="2"/>
    </row>
    <row r="20" spans="2:24" ht="20.399999999999999" x14ac:dyDescent="0.3">
      <c r="B20" s="2"/>
      <c r="C20" s="61" t="s">
        <v>74</v>
      </c>
      <c r="D20" s="62" t="s">
        <v>102</v>
      </c>
      <c r="E20" s="63" t="s">
        <v>103</v>
      </c>
      <c r="F20" s="64">
        <v>3233</v>
      </c>
      <c r="G20" s="65">
        <v>3478</v>
      </c>
      <c r="H20" s="65">
        <v>4097</v>
      </c>
      <c r="I20" s="65">
        <v>4696</v>
      </c>
      <c r="J20" s="65">
        <v>6104</v>
      </c>
      <c r="K20" s="65">
        <v>7368</v>
      </c>
      <c r="L20" s="65">
        <v>8523</v>
      </c>
      <c r="M20" s="66">
        <v>516</v>
      </c>
      <c r="N20" s="67">
        <v>428</v>
      </c>
      <c r="O20" s="60"/>
      <c r="P20" s="38"/>
      <c r="Q20" s="2"/>
      <c r="R20" s="2"/>
      <c r="S20" s="2"/>
      <c r="T20" s="2"/>
      <c r="U20" s="2"/>
      <c r="V20" s="2"/>
      <c r="W20" s="2"/>
      <c r="X20" s="2"/>
    </row>
    <row r="21" spans="2:24" ht="15.75" customHeight="1" x14ac:dyDescent="0.3">
      <c r="B21" s="2"/>
      <c r="C21" s="61" t="s">
        <v>74</v>
      </c>
      <c r="D21" s="62" t="s">
        <v>104</v>
      </c>
      <c r="E21" s="63" t="s">
        <v>105</v>
      </c>
      <c r="F21" s="64">
        <v>2400</v>
      </c>
      <c r="G21" s="65">
        <v>2604</v>
      </c>
      <c r="H21" s="65">
        <v>2991</v>
      </c>
      <c r="I21" s="65">
        <v>3454</v>
      </c>
      <c r="J21" s="65">
        <v>4251</v>
      </c>
      <c r="K21" s="65">
        <v>5163</v>
      </c>
      <c r="L21" s="65">
        <v>6082</v>
      </c>
      <c r="M21" s="66">
        <v>381</v>
      </c>
      <c r="N21" s="67">
        <v>305</v>
      </c>
      <c r="O21" s="60"/>
      <c r="P21" s="38"/>
      <c r="Q21" s="2"/>
      <c r="R21" s="2"/>
      <c r="S21" s="2"/>
      <c r="T21" s="2"/>
      <c r="U21" s="2"/>
      <c r="V21" s="2"/>
      <c r="W21" s="2"/>
      <c r="X21" s="2"/>
    </row>
    <row r="22" spans="2:24" ht="15.75" customHeight="1" x14ac:dyDescent="0.3">
      <c r="B22" s="2"/>
      <c r="C22" s="61" t="s">
        <v>74</v>
      </c>
      <c r="D22" s="62" t="s">
        <v>106</v>
      </c>
      <c r="E22" s="63" t="s">
        <v>107</v>
      </c>
      <c r="F22" s="64">
        <v>2400</v>
      </c>
      <c r="G22" s="65">
        <v>2604</v>
      </c>
      <c r="H22" s="65">
        <v>2991</v>
      </c>
      <c r="I22" s="65">
        <v>3454</v>
      </c>
      <c r="J22" s="65">
        <v>4251</v>
      </c>
      <c r="K22" s="65">
        <v>5163</v>
      </c>
      <c r="L22" s="65">
        <v>6082</v>
      </c>
      <c r="M22" s="66">
        <v>381</v>
      </c>
      <c r="N22" s="67">
        <v>305</v>
      </c>
      <c r="O22" s="60"/>
      <c r="P22" s="38"/>
      <c r="Q22" s="2"/>
      <c r="R22" s="2"/>
      <c r="S22" s="2"/>
      <c r="T22" s="2"/>
      <c r="U22" s="2"/>
      <c r="V22" s="2"/>
      <c r="W22" s="2"/>
      <c r="X22" s="2"/>
    </row>
    <row r="23" spans="2:24" ht="15.75" customHeight="1" x14ac:dyDescent="0.3">
      <c r="B23" s="2"/>
      <c r="C23" s="61" t="s">
        <v>74</v>
      </c>
      <c r="D23" s="62" t="s">
        <v>108</v>
      </c>
      <c r="E23" s="63" t="s">
        <v>109</v>
      </c>
      <c r="F23" s="64">
        <v>2400</v>
      </c>
      <c r="G23" s="65">
        <v>2604</v>
      </c>
      <c r="H23" s="65">
        <v>2991</v>
      </c>
      <c r="I23" s="65">
        <v>3454</v>
      </c>
      <c r="J23" s="65">
        <v>4251</v>
      </c>
      <c r="K23" s="65">
        <v>5163</v>
      </c>
      <c r="L23" s="65">
        <v>6082</v>
      </c>
      <c r="M23" s="66">
        <v>381</v>
      </c>
      <c r="N23" s="67">
        <v>305</v>
      </c>
      <c r="O23" s="60"/>
      <c r="P23" s="38"/>
      <c r="Q23" s="2"/>
      <c r="R23" s="2"/>
      <c r="S23" s="2"/>
      <c r="T23" s="2"/>
      <c r="U23" s="2"/>
      <c r="V23" s="2"/>
      <c r="W23" s="2"/>
      <c r="X23" s="2"/>
    </row>
    <row r="24" spans="2:24" ht="15.75" customHeight="1" x14ac:dyDescent="0.3">
      <c r="B24" s="2"/>
      <c r="C24" s="61" t="s">
        <v>74</v>
      </c>
      <c r="D24" s="62" t="s">
        <v>110</v>
      </c>
      <c r="E24" s="63" t="s">
        <v>111</v>
      </c>
      <c r="F24" s="64">
        <v>2400</v>
      </c>
      <c r="G24" s="65">
        <v>2604</v>
      </c>
      <c r="H24" s="65">
        <v>2991</v>
      </c>
      <c r="I24" s="65">
        <v>3454</v>
      </c>
      <c r="J24" s="65">
        <v>4251</v>
      </c>
      <c r="K24" s="65">
        <v>5163</v>
      </c>
      <c r="L24" s="65">
        <v>6082</v>
      </c>
      <c r="M24" s="66">
        <v>381</v>
      </c>
      <c r="N24" s="67">
        <v>305</v>
      </c>
      <c r="O24" s="60"/>
      <c r="P24" s="38"/>
      <c r="Q24" s="2"/>
      <c r="R24" s="2"/>
      <c r="S24" s="2"/>
      <c r="T24" s="2"/>
      <c r="U24" s="2"/>
      <c r="V24" s="2"/>
      <c r="W24" s="2"/>
      <c r="X24" s="2"/>
    </row>
    <row r="25" spans="2:24" ht="15.75" customHeight="1" x14ac:dyDescent="0.3">
      <c r="B25" s="2"/>
      <c r="C25" s="61" t="s">
        <v>74</v>
      </c>
      <c r="D25" s="62" t="s">
        <v>112</v>
      </c>
      <c r="E25" s="63" t="s">
        <v>113</v>
      </c>
      <c r="F25" s="64">
        <v>2400</v>
      </c>
      <c r="G25" s="65">
        <v>2604</v>
      </c>
      <c r="H25" s="65">
        <v>2991</v>
      </c>
      <c r="I25" s="65">
        <v>3454</v>
      </c>
      <c r="J25" s="65">
        <v>4251</v>
      </c>
      <c r="K25" s="65">
        <v>5163</v>
      </c>
      <c r="L25" s="65">
        <v>6082</v>
      </c>
      <c r="M25" s="66">
        <v>381</v>
      </c>
      <c r="N25" s="67">
        <v>305</v>
      </c>
      <c r="O25" s="60"/>
      <c r="P25" s="2"/>
      <c r="Q25" s="2"/>
      <c r="R25" s="2"/>
      <c r="S25" s="2"/>
      <c r="T25" s="2"/>
      <c r="U25" s="2"/>
      <c r="V25" s="2"/>
      <c r="W25" s="2"/>
      <c r="X25" s="2"/>
    </row>
    <row r="26" spans="2:24" ht="15.75" customHeight="1" x14ac:dyDescent="0.3">
      <c r="B26" s="2"/>
      <c r="C26" s="61" t="s">
        <v>74</v>
      </c>
      <c r="D26" s="62" t="s">
        <v>114</v>
      </c>
      <c r="E26" s="63" t="s">
        <v>115</v>
      </c>
      <c r="F26" s="64">
        <v>2400</v>
      </c>
      <c r="G26" s="65">
        <v>2604</v>
      </c>
      <c r="H26" s="65">
        <v>2991</v>
      </c>
      <c r="I26" s="65">
        <v>3454</v>
      </c>
      <c r="J26" s="65">
        <v>4251</v>
      </c>
      <c r="K26" s="65">
        <v>5163</v>
      </c>
      <c r="L26" s="65">
        <v>6082</v>
      </c>
      <c r="M26" s="66">
        <v>381</v>
      </c>
      <c r="N26" s="67">
        <v>305</v>
      </c>
      <c r="O26" s="60"/>
      <c r="P26" s="2"/>
      <c r="Q26" s="2"/>
      <c r="R26" s="2"/>
      <c r="S26" s="2"/>
      <c r="T26" s="2"/>
      <c r="U26" s="2"/>
      <c r="V26" s="2"/>
      <c r="W26" s="2"/>
      <c r="X26" s="2"/>
    </row>
    <row r="27" spans="2:24" ht="15.75" customHeight="1" x14ac:dyDescent="0.3">
      <c r="B27" s="2"/>
      <c r="C27" s="61" t="s">
        <v>74</v>
      </c>
      <c r="D27" s="62" t="s">
        <v>116</v>
      </c>
      <c r="E27" s="63" t="s">
        <v>117</v>
      </c>
      <c r="F27" s="64">
        <v>2400</v>
      </c>
      <c r="G27" s="65">
        <v>2604</v>
      </c>
      <c r="H27" s="65">
        <v>2991</v>
      </c>
      <c r="I27" s="65">
        <v>3454</v>
      </c>
      <c r="J27" s="65">
        <v>4251</v>
      </c>
      <c r="K27" s="65">
        <v>5163</v>
      </c>
      <c r="L27" s="65">
        <v>6082</v>
      </c>
      <c r="M27" s="66">
        <v>381</v>
      </c>
      <c r="N27" s="67">
        <v>305</v>
      </c>
      <c r="O27" s="60"/>
      <c r="P27" s="2"/>
      <c r="Q27" s="2"/>
      <c r="R27" s="2"/>
      <c r="S27" s="2"/>
      <c r="T27" s="2"/>
      <c r="U27" s="2"/>
      <c r="V27" s="2"/>
      <c r="W27" s="2"/>
      <c r="X27" s="2"/>
    </row>
    <row r="28" spans="2:24" ht="15.75" customHeight="1" x14ac:dyDescent="0.3">
      <c r="B28" s="2"/>
      <c r="C28" s="61" t="s">
        <v>74</v>
      </c>
      <c r="D28" s="62" t="s">
        <v>118</v>
      </c>
      <c r="E28" s="63" t="s">
        <v>119</v>
      </c>
      <c r="F28" s="64">
        <v>2400</v>
      </c>
      <c r="G28" s="65">
        <v>2604</v>
      </c>
      <c r="H28" s="65">
        <v>2991</v>
      </c>
      <c r="I28" s="65">
        <v>3454</v>
      </c>
      <c r="J28" s="65">
        <v>4251</v>
      </c>
      <c r="K28" s="65">
        <v>5163</v>
      </c>
      <c r="L28" s="65">
        <v>6082</v>
      </c>
      <c r="M28" s="66">
        <v>381</v>
      </c>
      <c r="N28" s="67">
        <v>305</v>
      </c>
      <c r="O28" s="60"/>
      <c r="P28" s="2"/>
      <c r="Q28" s="2"/>
      <c r="R28" s="2"/>
      <c r="S28" s="2"/>
      <c r="T28" s="2"/>
      <c r="U28" s="2"/>
      <c r="V28" s="2"/>
      <c r="W28" s="2"/>
      <c r="X28" s="2"/>
    </row>
    <row r="29" spans="2:24" ht="15.75" customHeight="1" x14ac:dyDescent="0.3">
      <c r="B29" s="2"/>
      <c r="C29" s="61" t="s">
        <v>74</v>
      </c>
      <c r="D29" s="62" t="s">
        <v>120</v>
      </c>
      <c r="E29" s="63" t="s">
        <v>121</v>
      </c>
      <c r="F29" s="64">
        <v>2400</v>
      </c>
      <c r="G29" s="65">
        <v>2604</v>
      </c>
      <c r="H29" s="65">
        <v>2991</v>
      </c>
      <c r="I29" s="65">
        <v>3454</v>
      </c>
      <c r="J29" s="65">
        <v>4251</v>
      </c>
      <c r="K29" s="65">
        <v>5163</v>
      </c>
      <c r="L29" s="65">
        <v>6082</v>
      </c>
      <c r="M29" s="66">
        <v>381</v>
      </c>
      <c r="N29" s="67">
        <v>305</v>
      </c>
      <c r="O29" s="60"/>
      <c r="P29" s="2"/>
      <c r="Q29" s="2"/>
      <c r="R29" s="2"/>
      <c r="S29" s="2"/>
      <c r="T29" s="2"/>
      <c r="U29" s="2"/>
      <c r="V29" s="2"/>
      <c r="W29" s="2"/>
      <c r="X29" s="2"/>
    </row>
    <row r="30" spans="2:24" ht="15.75" customHeight="1" x14ac:dyDescent="0.3">
      <c r="B30" s="2"/>
      <c r="C30" s="61" t="s">
        <v>74</v>
      </c>
      <c r="D30" s="62" t="s">
        <v>122</v>
      </c>
      <c r="E30" s="63" t="s">
        <v>123</v>
      </c>
      <c r="F30" s="64">
        <v>2400</v>
      </c>
      <c r="G30" s="65">
        <v>2604</v>
      </c>
      <c r="H30" s="65">
        <v>2991</v>
      </c>
      <c r="I30" s="65">
        <v>3454</v>
      </c>
      <c r="J30" s="65">
        <v>4251</v>
      </c>
      <c r="K30" s="65">
        <v>5163</v>
      </c>
      <c r="L30" s="65">
        <v>6082</v>
      </c>
      <c r="M30" s="66">
        <v>381</v>
      </c>
      <c r="N30" s="67">
        <v>305</v>
      </c>
      <c r="O30" s="60"/>
      <c r="P30" s="2"/>
      <c r="Q30" s="2"/>
      <c r="R30" s="2"/>
      <c r="S30" s="2"/>
      <c r="T30" s="2"/>
      <c r="U30" s="2"/>
      <c r="V30" s="2"/>
      <c r="W30" s="2"/>
      <c r="X30" s="2"/>
    </row>
    <row r="31" spans="2:24" ht="15.75" customHeight="1" x14ac:dyDescent="0.3">
      <c r="B31" s="2"/>
      <c r="C31" s="61" t="s">
        <v>74</v>
      </c>
      <c r="D31" s="62" t="s">
        <v>124</v>
      </c>
      <c r="E31" s="63" t="s">
        <v>125</v>
      </c>
      <c r="F31" s="64">
        <v>2400</v>
      </c>
      <c r="G31" s="65">
        <v>2604</v>
      </c>
      <c r="H31" s="65">
        <v>2991</v>
      </c>
      <c r="I31" s="65">
        <v>3454</v>
      </c>
      <c r="J31" s="65">
        <v>4251</v>
      </c>
      <c r="K31" s="65">
        <v>5163</v>
      </c>
      <c r="L31" s="65">
        <v>6082</v>
      </c>
      <c r="M31" s="66">
        <v>381</v>
      </c>
      <c r="N31" s="67">
        <v>305</v>
      </c>
      <c r="O31" s="60"/>
      <c r="P31" s="2"/>
      <c r="Q31" s="2"/>
      <c r="R31" s="2"/>
      <c r="S31" s="2"/>
      <c r="T31" s="2"/>
      <c r="U31" s="2"/>
      <c r="V31" s="2"/>
      <c r="W31" s="2"/>
      <c r="X31" s="2"/>
    </row>
    <row r="32" spans="2:24" ht="15.75" customHeight="1" x14ac:dyDescent="0.3">
      <c r="B32" s="2"/>
      <c r="C32" s="61" t="s">
        <v>74</v>
      </c>
      <c r="D32" s="62" t="s">
        <v>126</v>
      </c>
      <c r="E32" s="63" t="s">
        <v>127</v>
      </c>
      <c r="F32" s="64">
        <v>2400</v>
      </c>
      <c r="G32" s="65">
        <v>2604</v>
      </c>
      <c r="H32" s="65">
        <v>2991</v>
      </c>
      <c r="I32" s="65">
        <v>3454</v>
      </c>
      <c r="J32" s="65">
        <v>4251</v>
      </c>
      <c r="K32" s="65">
        <v>5163</v>
      </c>
      <c r="L32" s="65">
        <v>6082</v>
      </c>
      <c r="M32" s="66">
        <v>381</v>
      </c>
      <c r="N32" s="67">
        <v>305</v>
      </c>
      <c r="O32" s="60"/>
      <c r="P32" s="2"/>
      <c r="Q32" s="2"/>
      <c r="R32" s="2"/>
      <c r="S32" s="2"/>
      <c r="T32" s="2"/>
      <c r="U32" s="2"/>
      <c r="V32" s="2"/>
      <c r="W32" s="2"/>
      <c r="X32" s="2"/>
    </row>
    <row r="33" spans="2:24" ht="15.75" customHeight="1" x14ac:dyDescent="0.3">
      <c r="B33" s="2"/>
      <c r="C33" s="61" t="s">
        <v>74</v>
      </c>
      <c r="D33" s="62" t="s">
        <v>128</v>
      </c>
      <c r="E33" s="63" t="s">
        <v>129</v>
      </c>
      <c r="F33" s="64">
        <v>2400</v>
      </c>
      <c r="G33" s="65">
        <v>2604</v>
      </c>
      <c r="H33" s="65">
        <v>2991</v>
      </c>
      <c r="I33" s="65">
        <v>3454</v>
      </c>
      <c r="J33" s="65">
        <v>4251</v>
      </c>
      <c r="K33" s="65">
        <v>5163</v>
      </c>
      <c r="L33" s="65">
        <v>6082</v>
      </c>
      <c r="M33" s="66">
        <v>381</v>
      </c>
      <c r="N33" s="67">
        <v>305</v>
      </c>
      <c r="O33" s="60"/>
      <c r="P33" s="2"/>
      <c r="Q33" s="2"/>
      <c r="R33" s="2"/>
      <c r="S33" s="2"/>
      <c r="T33" s="2"/>
      <c r="U33" s="2"/>
      <c r="V33" s="2"/>
      <c r="W33" s="2"/>
      <c r="X33" s="2"/>
    </row>
    <row r="34" spans="2:24" ht="15.75" customHeight="1" x14ac:dyDescent="0.3">
      <c r="B34" s="2"/>
      <c r="C34" s="61" t="s">
        <v>74</v>
      </c>
      <c r="D34" s="62" t="s">
        <v>130</v>
      </c>
      <c r="E34" s="63" t="s">
        <v>131</v>
      </c>
      <c r="F34" s="64">
        <v>2400</v>
      </c>
      <c r="G34" s="65">
        <v>2604</v>
      </c>
      <c r="H34" s="65">
        <v>2991</v>
      </c>
      <c r="I34" s="65">
        <v>3454</v>
      </c>
      <c r="J34" s="65">
        <v>4251</v>
      </c>
      <c r="K34" s="65">
        <v>5163</v>
      </c>
      <c r="L34" s="65">
        <v>6082</v>
      </c>
      <c r="M34" s="66">
        <v>381</v>
      </c>
      <c r="N34" s="67">
        <v>305</v>
      </c>
      <c r="O34" s="60"/>
      <c r="P34" s="2"/>
      <c r="Q34" s="2"/>
      <c r="R34" s="2"/>
      <c r="S34" s="2"/>
      <c r="T34" s="2"/>
      <c r="U34" s="2"/>
      <c r="V34" s="2"/>
      <c r="W34" s="2"/>
      <c r="X34" s="2"/>
    </row>
    <row r="35" spans="2:24" ht="15.75" customHeight="1" x14ac:dyDescent="0.3">
      <c r="B35" s="2"/>
      <c r="C35" s="61" t="s">
        <v>74</v>
      </c>
      <c r="D35" s="62" t="s">
        <v>132</v>
      </c>
      <c r="E35" s="63" t="s">
        <v>133</v>
      </c>
      <c r="F35" s="64">
        <v>2400</v>
      </c>
      <c r="G35" s="65">
        <v>2604</v>
      </c>
      <c r="H35" s="65">
        <v>2991</v>
      </c>
      <c r="I35" s="65">
        <v>3454</v>
      </c>
      <c r="J35" s="65">
        <v>4251</v>
      </c>
      <c r="K35" s="65">
        <v>5163</v>
      </c>
      <c r="L35" s="65">
        <v>6082</v>
      </c>
      <c r="M35" s="66">
        <v>381</v>
      </c>
      <c r="N35" s="67">
        <v>305</v>
      </c>
      <c r="O35" s="60"/>
      <c r="P35" s="2"/>
      <c r="Q35" s="2"/>
      <c r="R35" s="2"/>
      <c r="S35" s="2"/>
      <c r="T35" s="2"/>
      <c r="U35" s="2"/>
      <c r="V35" s="2"/>
      <c r="W35" s="2"/>
      <c r="X35" s="2"/>
    </row>
    <row r="36" spans="2:24" ht="15.75" customHeight="1" x14ac:dyDescent="0.3">
      <c r="B36" s="2"/>
      <c r="C36" s="61" t="s">
        <v>74</v>
      </c>
      <c r="D36" s="62" t="s">
        <v>134</v>
      </c>
      <c r="E36" s="63" t="s">
        <v>135</v>
      </c>
      <c r="F36" s="64">
        <v>2400</v>
      </c>
      <c r="G36" s="65">
        <v>2604</v>
      </c>
      <c r="H36" s="65">
        <v>2991</v>
      </c>
      <c r="I36" s="65">
        <v>3454</v>
      </c>
      <c r="J36" s="65">
        <v>4251</v>
      </c>
      <c r="K36" s="65">
        <v>5163</v>
      </c>
      <c r="L36" s="65">
        <v>6082</v>
      </c>
      <c r="M36" s="66">
        <v>381</v>
      </c>
      <c r="N36" s="67">
        <v>305</v>
      </c>
      <c r="O36" s="60"/>
      <c r="P36" s="2"/>
      <c r="Q36" s="2"/>
      <c r="R36" s="2"/>
      <c r="S36" s="2"/>
      <c r="T36" s="2"/>
      <c r="U36" s="2"/>
      <c r="V36" s="2"/>
      <c r="W36" s="2"/>
      <c r="X36" s="2"/>
    </row>
    <row r="37" spans="2:24" ht="15.75" customHeight="1" x14ac:dyDescent="0.3">
      <c r="B37" s="2"/>
      <c r="C37" s="61" t="s">
        <v>74</v>
      </c>
      <c r="D37" s="62" t="s">
        <v>136</v>
      </c>
      <c r="E37" s="63" t="s">
        <v>137</v>
      </c>
      <c r="F37" s="64">
        <v>2400</v>
      </c>
      <c r="G37" s="65">
        <v>2604</v>
      </c>
      <c r="H37" s="65">
        <v>2991</v>
      </c>
      <c r="I37" s="65">
        <v>3454</v>
      </c>
      <c r="J37" s="65">
        <v>4251</v>
      </c>
      <c r="K37" s="65">
        <v>5163</v>
      </c>
      <c r="L37" s="65">
        <v>6082</v>
      </c>
      <c r="M37" s="66">
        <v>381</v>
      </c>
      <c r="N37" s="67">
        <v>305</v>
      </c>
      <c r="O37" s="60"/>
      <c r="P37" s="2"/>
      <c r="Q37" s="2"/>
      <c r="R37" s="2"/>
      <c r="S37" s="2"/>
      <c r="T37" s="2"/>
      <c r="U37" s="2"/>
      <c r="V37" s="2"/>
      <c r="W37" s="2"/>
      <c r="X37" s="2"/>
    </row>
    <row r="38" spans="2:24" ht="15.75" customHeight="1" x14ac:dyDescent="0.3">
      <c r="B38" s="2"/>
      <c r="C38" s="61" t="s">
        <v>74</v>
      </c>
      <c r="D38" s="62" t="s">
        <v>138</v>
      </c>
      <c r="E38" s="63" t="s">
        <v>139</v>
      </c>
      <c r="F38" s="64">
        <v>2400</v>
      </c>
      <c r="G38" s="65">
        <v>2604</v>
      </c>
      <c r="H38" s="65">
        <v>2991</v>
      </c>
      <c r="I38" s="65">
        <v>3454</v>
      </c>
      <c r="J38" s="65">
        <v>4251</v>
      </c>
      <c r="K38" s="65">
        <v>5163</v>
      </c>
      <c r="L38" s="65">
        <v>6082</v>
      </c>
      <c r="M38" s="66">
        <v>381</v>
      </c>
      <c r="N38" s="67">
        <v>305</v>
      </c>
      <c r="O38" s="60"/>
      <c r="P38" s="2"/>
      <c r="Q38" s="2"/>
      <c r="R38" s="2"/>
      <c r="S38" s="2"/>
      <c r="T38" s="2"/>
      <c r="U38" s="2"/>
      <c r="V38" s="2"/>
      <c r="W38" s="2"/>
      <c r="X38" s="2"/>
    </row>
    <row r="39" spans="2:24" ht="15.75" customHeight="1" x14ac:dyDescent="0.3">
      <c r="B39" s="2"/>
      <c r="C39" s="61" t="s">
        <v>74</v>
      </c>
      <c r="D39" s="62" t="s">
        <v>140</v>
      </c>
      <c r="E39" s="63" t="s">
        <v>141</v>
      </c>
      <c r="F39" s="64">
        <v>2400</v>
      </c>
      <c r="G39" s="65">
        <v>2604</v>
      </c>
      <c r="H39" s="65">
        <v>2991</v>
      </c>
      <c r="I39" s="65">
        <v>3454</v>
      </c>
      <c r="J39" s="65">
        <v>4251</v>
      </c>
      <c r="K39" s="65">
        <v>5163</v>
      </c>
      <c r="L39" s="65">
        <v>6082</v>
      </c>
      <c r="M39" s="66">
        <v>381</v>
      </c>
      <c r="N39" s="67">
        <v>305</v>
      </c>
      <c r="O39" s="60"/>
      <c r="P39" s="2"/>
      <c r="Q39" s="2"/>
      <c r="R39" s="2"/>
      <c r="S39" s="2"/>
      <c r="T39" s="2"/>
      <c r="U39" s="2"/>
      <c r="V39" s="2"/>
      <c r="W39" s="2"/>
      <c r="X39" s="2"/>
    </row>
    <row r="40" spans="2:24" ht="15.75" customHeight="1" x14ac:dyDescent="0.3">
      <c r="B40" s="2"/>
      <c r="C40" s="61" t="s">
        <v>74</v>
      </c>
      <c r="D40" s="62" t="s">
        <v>142</v>
      </c>
      <c r="E40" s="63" t="s">
        <v>143</v>
      </c>
      <c r="F40" s="64">
        <v>2400</v>
      </c>
      <c r="G40" s="65">
        <v>2604</v>
      </c>
      <c r="H40" s="65">
        <v>2991</v>
      </c>
      <c r="I40" s="65">
        <v>3454</v>
      </c>
      <c r="J40" s="65">
        <v>4251</v>
      </c>
      <c r="K40" s="65">
        <v>5163</v>
      </c>
      <c r="L40" s="65">
        <v>6082</v>
      </c>
      <c r="M40" s="66">
        <v>381</v>
      </c>
      <c r="N40" s="67">
        <v>305</v>
      </c>
      <c r="O40" s="60"/>
      <c r="P40" s="2"/>
      <c r="Q40" s="2"/>
      <c r="R40" s="2"/>
      <c r="S40" s="2"/>
      <c r="T40" s="2"/>
      <c r="U40" s="2"/>
      <c r="V40" s="2"/>
      <c r="W40" s="2"/>
      <c r="X40" s="2"/>
    </row>
    <row r="41" spans="2:24" ht="15.75" customHeight="1" x14ac:dyDescent="0.3">
      <c r="B41" s="2"/>
      <c r="C41" s="61" t="s">
        <v>74</v>
      </c>
      <c r="D41" s="62" t="s">
        <v>144</v>
      </c>
      <c r="E41" s="63" t="s">
        <v>145</v>
      </c>
      <c r="F41" s="64">
        <v>3233</v>
      </c>
      <c r="G41" s="65">
        <v>3478</v>
      </c>
      <c r="H41" s="65">
        <v>4097</v>
      </c>
      <c r="I41" s="65">
        <v>4696</v>
      </c>
      <c r="J41" s="65">
        <v>6104</v>
      </c>
      <c r="K41" s="65">
        <v>7368</v>
      </c>
      <c r="L41" s="65">
        <v>8523</v>
      </c>
      <c r="M41" s="66">
        <v>516</v>
      </c>
      <c r="N41" s="67">
        <v>428</v>
      </c>
      <c r="O41" s="60"/>
      <c r="P41" s="2"/>
      <c r="Q41" s="2"/>
      <c r="R41" s="2"/>
      <c r="S41" s="2"/>
      <c r="T41" s="2"/>
      <c r="U41" s="2"/>
      <c r="V41" s="2"/>
      <c r="W41" s="2"/>
      <c r="X41" s="2"/>
    </row>
    <row r="42" spans="2:24" ht="15.75" customHeight="1" x14ac:dyDescent="0.3">
      <c r="B42" s="2"/>
      <c r="C42" s="61" t="s">
        <v>74</v>
      </c>
      <c r="D42" s="62" t="s">
        <v>146</v>
      </c>
      <c r="E42" s="63" t="s">
        <v>147</v>
      </c>
      <c r="F42" s="64">
        <v>2400</v>
      </c>
      <c r="G42" s="65">
        <v>2604</v>
      </c>
      <c r="H42" s="65">
        <v>2991</v>
      </c>
      <c r="I42" s="65">
        <v>3454</v>
      </c>
      <c r="J42" s="65">
        <v>4251</v>
      </c>
      <c r="K42" s="65">
        <v>5163</v>
      </c>
      <c r="L42" s="65">
        <v>6082</v>
      </c>
      <c r="M42" s="66">
        <v>381</v>
      </c>
      <c r="N42" s="67">
        <v>305</v>
      </c>
      <c r="O42" s="60"/>
      <c r="P42" s="2"/>
      <c r="Q42" s="2"/>
      <c r="R42" s="2"/>
      <c r="S42" s="2"/>
      <c r="T42" s="2"/>
      <c r="U42" s="2"/>
      <c r="V42" s="2"/>
      <c r="W42" s="2"/>
      <c r="X42" s="2"/>
    </row>
    <row r="43" spans="2:24" ht="15.75" customHeight="1" x14ac:dyDescent="0.3">
      <c r="B43" s="2"/>
      <c r="C43" s="61" t="s">
        <v>74</v>
      </c>
      <c r="D43" s="62" t="s">
        <v>148</v>
      </c>
      <c r="E43" s="63" t="s">
        <v>149</v>
      </c>
      <c r="F43" s="64">
        <v>2400</v>
      </c>
      <c r="G43" s="65">
        <v>2604</v>
      </c>
      <c r="H43" s="65">
        <v>2991</v>
      </c>
      <c r="I43" s="65">
        <v>3454</v>
      </c>
      <c r="J43" s="65">
        <v>4251</v>
      </c>
      <c r="K43" s="65">
        <v>5163</v>
      </c>
      <c r="L43" s="65">
        <v>6082</v>
      </c>
      <c r="M43" s="66">
        <v>381</v>
      </c>
      <c r="N43" s="67">
        <v>305</v>
      </c>
      <c r="O43" s="60"/>
      <c r="P43" s="2"/>
      <c r="Q43" s="2"/>
      <c r="R43" s="2"/>
      <c r="S43" s="2"/>
      <c r="T43" s="2"/>
      <c r="U43" s="2"/>
      <c r="V43" s="2"/>
      <c r="W43" s="2"/>
      <c r="X43" s="2"/>
    </row>
    <row r="44" spans="2:24" ht="15.75" customHeight="1" x14ac:dyDescent="0.3">
      <c r="B44" s="2"/>
      <c r="C44" s="61" t="s">
        <v>74</v>
      </c>
      <c r="D44" s="62" t="s">
        <v>150</v>
      </c>
      <c r="E44" s="63" t="s">
        <v>151</v>
      </c>
      <c r="F44" s="64">
        <v>2400</v>
      </c>
      <c r="G44" s="65">
        <v>2604</v>
      </c>
      <c r="H44" s="65">
        <v>2991</v>
      </c>
      <c r="I44" s="65">
        <v>3454</v>
      </c>
      <c r="J44" s="65">
        <v>4251</v>
      </c>
      <c r="K44" s="65">
        <v>5163</v>
      </c>
      <c r="L44" s="65">
        <v>6082</v>
      </c>
      <c r="M44" s="66">
        <v>381</v>
      </c>
      <c r="N44" s="67">
        <v>305</v>
      </c>
      <c r="O44" s="60"/>
      <c r="P44" s="2"/>
      <c r="Q44" s="2"/>
      <c r="R44" s="2"/>
      <c r="S44" s="2"/>
      <c r="T44" s="2"/>
      <c r="U44" s="2"/>
      <c r="V44" s="2"/>
      <c r="W44" s="2"/>
      <c r="X44" s="2"/>
    </row>
    <row r="45" spans="2:24" ht="15.75" customHeight="1" x14ac:dyDescent="0.3">
      <c r="B45" s="2"/>
      <c r="C45" s="61" t="s">
        <v>74</v>
      </c>
      <c r="D45" s="62" t="s">
        <v>152</v>
      </c>
      <c r="E45" s="63" t="s">
        <v>153</v>
      </c>
      <c r="F45" s="64">
        <v>3233</v>
      </c>
      <c r="G45" s="65">
        <v>3478</v>
      </c>
      <c r="H45" s="65">
        <v>4097</v>
      </c>
      <c r="I45" s="65">
        <v>4696</v>
      </c>
      <c r="J45" s="65">
        <v>6104</v>
      </c>
      <c r="K45" s="65">
        <v>7368</v>
      </c>
      <c r="L45" s="65">
        <v>8523</v>
      </c>
      <c r="M45" s="66">
        <v>516</v>
      </c>
      <c r="N45" s="67">
        <v>428</v>
      </c>
      <c r="O45" s="60"/>
      <c r="P45" s="2"/>
      <c r="Q45" s="2"/>
      <c r="R45" s="2"/>
      <c r="S45" s="2"/>
      <c r="T45" s="2"/>
      <c r="U45" s="2"/>
      <c r="V45" s="2"/>
      <c r="W45" s="2"/>
      <c r="X45" s="2"/>
    </row>
    <row r="46" spans="2:24" ht="15.75" customHeight="1" x14ac:dyDescent="0.3">
      <c r="B46" s="2"/>
      <c r="C46" s="61" t="s">
        <v>74</v>
      </c>
      <c r="D46" s="62" t="s">
        <v>154</v>
      </c>
      <c r="E46" s="63" t="s">
        <v>155</v>
      </c>
      <c r="F46" s="64">
        <v>3233</v>
      </c>
      <c r="G46" s="65">
        <v>3478</v>
      </c>
      <c r="H46" s="65">
        <v>4097</v>
      </c>
      <c r="I46" s="65">
        <v>4696</v>
      </c>
      <c r="J46" s="65">
        <v>6104</v>
      </c>
      <c r="K46" s="65">
        <v>7368</v>
      </c>
      <c r="L46" s="65">
        <v>8523</v>
      </c>
      <c r="M46" s="66">
        <v>516</v>
      </c>
      <c r="N46" s="67">
        <v>428</v>
      </c>
      <c r="O46" s="60"/>
      <c r="P46" s="2"/>
      <c r="Q46" s="2"/>
      <c r="R46" s="2"/>
      <c r="S46" s="2"/>
      <c r="T46" s="2"/>
      <c r="U46" s="2"/>
      <c r="V46" s="2"/>
      <c r="W46" s="2"/>
      <c r="X46" s="2"/>
    </row>
    <row r="47" spans="2:24" ht="15.75" customHeight="1" x14ac:dyDescent="0.3">
      <c r="B47" s="2"/>
      <c r="C47" s="61" t="s">
        <v>74</v>
      </c>
      <c r="D47" s="62" t="s">
        <v>156</v>
      </c>
      <c r="E47" s="63" t="s">
        <v>157</v>
      </c>
      <c r="F47" s="64">
        <v>2400</v>
      </c>
      <c r="G47" s="65">
        <v>2604</v>
      </c>
      <c r="H47" s="65">
        <v>2991</v>
      </c>
      <c r="I47" s="65">
        <v>3454</v>
      </c>
      <c r="J47" s="65">
        <v>4251</v>
      </c>
      <c r="K47" s="65">
        <v>5163</v>
      </c>
      <c r="L47" s="65">
        <v>6082</v>
      </c>
      <c r="M47" s="66">
        <v>381</v>
      </c>
      <c r="N47" s="67">
        <v>305</v>
      </c>
      <c r="O47" s="60"/>
      <c r="P47" s="2"/>
      <c r="Q47" s="2"/>
      <c r="R47" s="2"/>
      <c r="S47" s="2"/>
      <c r="T47" s="2"/>
      <c r="U47" s="2"/>
      <c r="V47" s="2"/>
      <c r="W47" s="2"/>
      <c r="X47" s="2"/>
    </row>
    <row r="48" spans="2:24" ht="15.75" customHeight="1" x14ac:dyDescent="0.3">
      <c r="B48" s="2"/>
      <c r="C48" s="61" t="s">
        <v>74</v>
      </c>
      <c r="D48" s="62" t="s">
        <v>158</v>
      </c>
      <c r="E48" s="63" t="s">
        <v>159</v>
      </c>
      <c r="F48" s="64">
        <v>2400</v>
      </c>
      <c r="G48" s="65">
        <v>2604</v>
      </c>
      <c r="H48" s="65">
        <v>2991</v>
      </c>
      <c r="I48" s="65">
        <v>3454</v>
      </c>
      <c r="J48" s="65">
        <v>4251</v>
      </c>
      <c r="K48" s="65">
        <v>5163</v>
      </c>
      <c r="L48" s="65">
        <v>6082</v>
      </c>
      <c r="M48" s="66">
        <v>381</v>
      </c>
      <c r="N48" s="67">
        <v>305</v>
      </c>
      <c r="O48" s="60"/>
      <c r="P48" s="2"/>
      <c r="Q48" s="2"/>
      <c r="R48" s="2"/>
      <c r="S48" s="2"/>
      <c r="T48" s="2"/>
      <c r="U48" s="2"/>
      <c r="V48" s="2"/>
      <c r="W48" s="2"/>
      <c r="X48" s="2"/>
    </row>
    <row r="49" spans="2:24" ht="15.75" customHeight="1" x14ac:dyDescent="0.3">
      <c r="B49" s="2"/>
      <c r="C49" s="61" t="s">
        <v>74</v>
      </c>
      <c r="D49" s="62" t="s">
        <v>160</v>
      </c>
      <c r="E49" s="63" t="s">
        <v>161</v>
      </c>
      <c r="F49" s="64">
        <v>3233</v>
      </c>
      <c r="G49" s="65">
        <v>3478</v>
      </c>
      <c r="H49" s="65">
        <v>4097</v>
      </c>
      <c r="I49" s="65">
        <v>4696</v>
      </c>
      <c r="J49" s="65">
        <v>6104</v>
      </c>
      <c r="K49" s="65">
        <v>7368</v>
      </c>
      <c r="L49" s="65">
        <v>8523</v>
      </c>
      <c r="M49" s="66">
        <v>516</v>
      </c>
      <c r="N49" s="67">
        <v>428</v>
      </c>
      <c r="O49" s="60"/>
      <c r="P49" s="2"/>
      <c r="Q49" s="2"/>
      <c r="R49" s="2"/>
      <c r="S49" s="2"/>
      <c r="T49" s="2"/>
      <c r="U49" s="2"/>
      <c r="V49" s="2"/>
      <c r="W49" s="2"/>
      <c r="X49" s="2"/>
    </row>
    <row r="50" spans="2:24" ht="15.75" customHeight="1" x14ac:dyDescent="0.3">
      <c r="B50" s="2"/>
      <c r="C50" s="61" t="s">
        <v>74</v>
      </c>
      <c r="D50" s="62" t="s">
        <v>162</v>
      </c>
      <c r="E50" s="63" t="s">
        <v>34</v>
      </c>
      <c r="F50" s="64">
        <v>3233</v>
      </c>
      <c r="G50" s="65">
        <v>3478</v>
      </c>
      <c r="H50" s="65">
        <v>4097</v>
      </c>
      <c r="I50" s="65">
        <v>4696</v>
      </c>
      <c r="J50" s="65">
        <v>6104</v>
      </c>
      <c r="K50" s="65">
        <v>7368</v>
      </c>
      <c r="L50" s="65">
        <v>8523</v>
      </c>
      <c r="M50" s="66">
        <v>516</v>
      </c>
      <c r="N50" s="67">
        <v>428</v>
      </c>
      <c r="O50" s="60"/>
      <c r="P50" s="2"/>
      <c r="Q50" s="2"/>
      <c r="R50" s="2"/>
      <c r="S50" s="2"/>
      <c r="T50" s="2"/>
      <c r="U50" s="2"/>
      <c r="V50" s="2"/>
      <c r="W50" s="2"/>
      <c r="X50" s="2"/>
    </row>
    <row r="51" spans="2:24" ht="15.75" customHeight="1" x14ac:dyDescent="0.3">
      <c r="B51" s="2"/>
      <c r="C51" s="61" t="s">
        <v>74</v>
      </c>
      <c r="D51" s="62" t="s">
        <v>163</v>
      </c>
      <c r="E51" s="63" t="s">
        <v>164</v>
      </c>
      <c r="F51" s="64">
        <v>2400</v>
      </c>
      <c r="G51" s="65">
        <v>2604</v>
      </c>
      <c r="H51" s="65">
        <v>2991</v>
      </c>
      <c r="I51" s="65">
        <v>3454</v>
      </c>
      <c r="J51" s="65">
        <v>4251</v>
      </c>
      <c r="K51" s="65">
        <v>5163</v>
      </c>
      <c r="L51" s="65">
        <v>6082</v>
      </c>
      <c r="M51" s="66">
        <v>381</v>
      </c>
      <c r="N51" s="67">
        <v>305</v>
      </c>
      <c r="O51" s="60"/>
      <c r="P51" s="2"/>
      <c r="Q51" s="2"/>
      <c r="R51" s="2"/>
      <c r="S51" s="2"/>
      <c r="T51" s="2"/>
      <c r="U51" s="2"/>
      <c r="V51" s="2"/>
      <c r="W51" s="2"/>
      <c r="X51" s="2"/>
    </row>
    <row r="52" spans="2:24" ht="15.75" customHeight="1" x14ac:dyDescent="0.3">
      <c r="B52" s="2"/>
      <c r="C52" s="61" t="s">
        <v>74</v>
      </c>
      <c r="D52" s="62" t="s">
        <v>165</v>
      </c>
      <c r="E52" s="63" t="s">
        <v>166</v>
      </c>
      <c r="F52" s="64">
        <v>2400</v>
      </c>
      <c r="G52" s="65">
        <v>2604</v>
      </c>
      <c r="H52" s="65">
        <v>2991</v>
      </c>
      <c r="I52" s="65">
        <v>3454</v>
      </c>
      <c r="J52" s="65">
        <v>4251</v>
      </c>
      <c r="K52" s="65">
        <v>5163</v>
      </c>
      <c r="L52" s="65">
        <v>6082</v>
      </c>
      <c r="M52" s="66">
        <v>381</v>
      </c>
      <c r="N52" s="67">
        <v>305</v>
      </c>
      <c r="O52" s="60"/>
      <c r="P52" s="2"/>
      <c r="Q52" s="2"/>
      <c r="R52" s="2"/>
      <c r="S52" s="2"/>
      <c r="T52" s="2"/>
      <c r="U52" s="2"/>
      <c r="V52" s="2"/>
      <c r="W52" s="2"/>
      <c r="X52" s="2"/>
    </row>
    <row r="53" spans="2:24" ht="15.75" customHeight="1" x14ac:dyDescent="0.3">
      <c r="B53" s="2"/>
      <c r="C53" s="61" t="s">
        <v>74</v>
      </c>
      <c r="D53" s="62" t="s">
        <v>167</v>
      </c>
      <c r="E53" s="63" t="s">
        <v>168</v>
      </c>
      <c r="F53" s="64">
        <v>2400</v>
      </c>
      <c r="G53" s="65">
        <v>2604</v>
      </c>
      <c r="H53" s="65">
        <v>2991</v>
      </c>
      <c r="I53" s="65">
        <v>3454</v>
      </c>
      <c r="J53" s="65">
        <v>4251</v>
      </c>
      <c r="K53" s="65">
        <v>5163</v>
      </c>
      <c r="L53" s="65">
        <v>6082</v>
      </c>
      <c r="M53" s="66">
        <v>381</v>
      </c>
      <c r="N53" s="67">
        <v>305</v>
      </c>
      <c r="O53" s="60"/>
      <c r="P53" s="2"/>
      <c r="Q53" s="2"/>
      <c r="R53" s="2"/>
      <c r="S53" s="2"/>
      <c r="T53" s="2"/>
      <c r="U53" s="2"/>
      <c r="V53" s="2"/>
      <c r="W53" s="2"/>
      <c r="X53" s="2"/>
    </row>
    <row r="54" spans="2:24" ht="15.75" customHeight="1" x14ac:dyDescent="0.3">
      <c r="B54" s="2"/>
      <c r="C54" s="61" t="s">
        <v>74</v>
      </c>
      <c r="D54" s="62" t="s">
        <v>169</v>
      </c>
      <c r="E54" s="63" t="s">
        <v>170</v>
      </c>
      <c r="F54" s="64">
        <v>2400</v>
      </c>
      <c r="G54" s="65">
        <v>2604</v>
      </c>
      <c r="H54" s="65">
        <v>2991</v>
      </c>
      <c r="I54" s="65">
        <v>3454</v>
      </c>
      <c r="J54" s="65">
        <v>4251</v>
      </c>
      <c r="K54" s="65">
        <v>5163</v>
      </c>
      <c r="L54" s="65">
        <v>6082</v>
      </c>
      <c r="M54" s="66">
        <v>381</v>
      </c>
      <c r="N54" s="67">
        <v>305</v>
      </c>
      <c r="O54" s="60"/>
      <c r="P54" s="2"/>
      <c r="Q54" s="2"/>
      <c r="R54" s="2"/>
      <c r="S54" s="2"/>
      <c r="T54" s="2"/>
      <c r="U54" s="2"/>
      <c r="V54" s="2"/>
      <c r="W54" s="2"/>
      <c r="X54" s="2"/>
    </row>
    <row r="55" spans="2:24" ht="15.75" customHeight="1" x14ac:dyDescent="0.3">
      <c r="B55" s="2"/>
      <c r="C55" s="61" t="s">
        <v>74</v>
      </c>
      <c r="D55" s="62" t="s">
        <v>171</v>
      </c>
      <c r="E55" s="63" t="s">
        <v>172</v>
      </c>
      <c r="F55" s="64">
        <v>2400</v>
      </c>
      <c r="G55" s="65">
        <v>2604</v>
      </c>
      <c r="H55" s="65">
        <v>2991</v>
      </c>
      <c r="I55" s="65">
        <v>3454</v>
      </c>
      <c r="J55" s="65">
        <v>4251</v>
      </c>
      <c r="K55" s="65">
        <v>5163</v>
      </c>
      <c r="L55" s="65">
        <v>6082</v>
      </c>
      <c r="M55" s="66">
        <v>381</v>
      </c>
      <c r="N55" s="67">
        <v>305</v>
      </c>
      <c r="O55" s="60"/>
      <c r="P55" s="2"/>
      <c r="Q55" s="2"/>
      <c r="R55" s="2"/>
      <c r="S55" s="2"/>
      <c r="T55" s="2"/>
      <c r="U55" s="2"/>
      <c r="V55" s="2"/>
      <c r="W55" s="2"/>
      <c r="X55" s="2"/>
    </row>
    <row r="56" spans="2:24" ht="15.75" customHeight="1" x14ac:dyDescent="0.3">
      <c r="B56" s="2"/>
      <c r="C56" s="61" t="s">
        <v>74</v>
      </c>
      <c r="D56" s="62" t="s">
        <v>173</v>
      </c>
      <c r="E56" s="63" t="s">
        <v>174</v>
      </c>
      <c r="F56" s="64">
        <v>3233</v>
      </c>
      <c r="G56" s="65">
        <v>3478</v>
      </c>
      <c r="H56" s="65">
        <v>4097</v>
      </c>
      <c r="I56" s="65">
        <v>4696</v>
      </c>
      <c r="J56" s="65">
        <v>6104</v>
      </c>
      <c r="K56" s="65">
        <v>7368</v>
      </c>
      <c r="L56" s="65">
        <v>8523</v>
      </c>
      <c r="M56" s="66">
        <v>516</v>
      </c>
      <c r="N56" s="67">
        <v>428</v>
      </c>
      <c r="O56" s="60"/>
      <c r="P56" s="2"/>
      <c r="Q56" s="2"/>
      <c r="R56" s="2"/>
      <c r="S56" s="2"/>
      <c r="T56" s="2"/>
      <c r="U56" s="2"/>
      <c r="V56" s="2"/>
      <c r="W56" s="2"/>
      <c r="X56" s="2"/>
    </row>
    <row r="57" spans="2:24" ht="15.75" customHeight="1" x14ac:dyDescent="0.3">
      <c r="B57" s="2"/>
      <c r="C57" s="68" t="s">
        <v>74</v>
      </c>
      <c r="D57" s="69" t="s">
        <v>175</v>
      </c>
      <c r="E57" s="70" t="s">
        <v>176</v>
      </c>
      <c r="F57" s="71">
        <v>2400</v>
      </c>
      <c r="G57" s="72">
        <v>2604</v>
      </c>
      <c r="H57" s="72">
        <v>2991</v>
      </c>
      <c r="I57" s="72">
        <v>3454</v>
      </c>
      <c r="J57" s="72">
        <v>4251</v>
      </c>
      <c r="K57" s="72">
        <v>5163</v>
      </c>
      <c r="L57" s="72">
        <v>6082</v>
      </c>
      <c r="M57" s="73">
        <v>381</v>
      </c>
      <c r="N57" s="74">
        <v>305</v>
      </c>
      <c r="O57" s="60"/>
      <c r="P57" s="2"/>
      <c r="Q57" s="2"/>
      <c r="R57" s="2"/>
      <c r="S57" s="2"/>
      <c r="T57" s="2"/>
      <c r="U57" s="2"/>
      <c r="V57" s="2"/>
      <c r="W57" s="2"/>
      <c r="X57" s="2"/>
    </row>
    <row r="58" spans="2:24" ht="15.75" customHeight="1" x14ac:dyDescent="0.3">
      <c r="B58" s="2"/>
      <c r="C58" s="53" t="s">
        <v>177</v>
      </c>
      <c r="D58" s="54" t="s">
        <v>178</v>
      </c>
      <c r="E58" s="55" t="s">
        <v>20</v>
      </c>
      <c r="F58" s="56">
        <v>4181</v>
      </c>
      <c r="G58" s="57">
        <v>4658</v>
      </c>
      <c r="H58" s="57">
        <v>5357</v>
      </c>
      <c r="I58" s="57">
        <v>5816</v>
      </c>
      <c r="J58" s="57">
        <v>7544</v>
      </c>
      <c r="K58" s="57">
        <v>9631</v>
      </c>
      <c r="L58" s="57">
        <v>11243</v>
      </c>
      <c r="M58" s="58">
        <v>681</v>
      </c>
      <c r="N58" s="59">
        <v>559</v>
      </c>
      <c r="O58" s="60"/>
      <c r="P58" s="2"/>
      <c r="Q58" s="2"/>
      <c r="R58" s="2"/>
      <c r="S58" s="2"/>
      <c r="T58" s="2"/>
      <c r="U58" s="2"/>
      <c r="V58" s="2"/>
      <c r="W58" s="2"/>
      <c r="X58" s="2"/>
    </row>
    <row r="59" spans="2:24" ht="15.75" customHeight="1" x14ac:dyDescent="0.3">
      <c r="B59" s="2"/>
      <c r="C59" s="61" t="s">
        <v>177</v>
      </c>
      <c r="D59" s="62" t="s">
        <v>179</v>
      </c>
      <c r="E59" s="63" t="s">
        <v>180</v>
      </c>
      <c r="F59" s="64">
        <v>3886</v>
      </c>
      <c r="G59" s="65">
        <v>4333</v>
      </c>
      <c r="H59" s="65">
        <v>4989</v>
      </c>
      <c r="I59" s="65">
        <v>5419</v>
      </c>
      <c r="J59" s="65">
        <v>6926</v>
      </c>
      <c r="K59" s="65">
        <v>8856</v>
      </c>
      <c r="L59" s="65">
        <v>10350</v>
      </c>
      <c r="M59" s="66">
        <v>671</v>
      </c>
      <c r="N59" s="67">
        <v>549</v>
      </c>
      <c r="O59" s="60"/>
      <c r="P59" s="2"/>
      <c r="Q59" s="2"/>
      <c r="R59" s="2"/>
      <c r="S59" s="2"/>
      <c r="T59" s="2"/>
      <c r="U59" s="2"/>
      <c r="V59" s="2"/>
      <c r="W59" s="2"/>
      <c r="X59" s="2"/>
    </row>
    <row r="60" spans="2:24" ht="15.75" customHeight="1" x14ac:dyDescent="0.3">
      <c r="B60" s="2"/>
      <c r="C60" s="61" t="s">
        <v>177</v>
      </c>
      <c r="D60" s="62" t="s">
        <v>181</v>
      </c>
      <c r="E60" s="63" t="s">
        <v>182</v>
      </c>
      <c r="F60" s="64">
        <v>3886</v>
      </c>
      <c r="G60" s="65">
        <v>4333</v>
      </c>
      <c r="H60" s="65">
        <v>4989</v>
      </c>
      <c r="I60" s="65">
        <v>5419</v>
      </c>
      <c r="J60" s="65">
        <v>6926</v>
      </c>
      <c r="K60" s="65">
        <v>8856</v>
      </c>
      <c r="L60" s="65">
        <v>10350</v>
      </c>
      <c r="M60" s="66">
        <v>671</v>
      </c>
      <c r="N60" s="67">
        <v>549</v>
      </c>
      <c r="O60" s="60"/>
      <c r="P60" s="2"/>
      <c r="Q60" s="2"/>
      <c r="R60" s="2"/>
      <c r="S60" s="2"/>
      <c r="T60" s="2"/>
      <c r="U60" s="2"/>
      <c r="V60" s="2"/>
      <c r="W60" s="2"/>
      <c r="X60" s="2"/>
    </row>
    <row r="61" spans="2:24" ht="15.75" customHeight="1" x14ac:dyDescent="0.3">
      <c r="B61" s="2"/>
      <c r="C61" s="61" t="s">
        <v>177</v>
      </c>
      <c r="D61" s="62" t="s">
        <v>183</v>
      </c>
      <c r="E61" s="63" t="s">
        <v>184</v>
      </c>
      <c r="F61" s="64">
        <v>4181</v>
      </c>
      <c r="G61" s="65">
        <v>4658</v>
      </c>
      <c r="H61" s="65">
        <v>5357</v>
      </c>
      <c r="I61" s="65">
        <v>5816</v>
      </c>
      <c r="J61" s="65">
        <v>7544</v>
      </c>
      <c r="K61" s="65">
        <v>9631</v>
      </c>
      <c r="L61" s="65">
        <v>11243</v>
      </c>
      <c r="M61" s="66">
        <v>681</v>
      </c>
      <c r="N61" s="67">
        <v>559</v>
      </c>
      <c r="O61" s="60"/>
      <c r="P61" s="2"/>
      <c r="Q61" s="2"/>
      <c r="R61" s="2"/>
      <c r="S61" s="2"/>
      <c r="T61" s="2"/>
      <c r="U61" s="2"/>
      <c r="V61" s="2"/>
      <c r="W61" s="2"/>
      <c r="X61" s="2"/>
    </row>
    <row r="62" spans="2:24" ht="15.75" customHeight="1" x14ac:dyDescent="0.3">
      <c r="B62" s="2"/>
      <c r="C62" s="61" t="s">
        <v>177</v>
      </c>
      <c r="D62" s="62" t="s">
        <v>185</v>
      </c>
      <c r="E62" s="63" t="s">
        <v>186</v>
      </c>
      <c r="F62" s="64">
        <v>6271.5</v>
      </c>
      <c r="G62" s="65">
        <v>6987</v>
      </c>
      <c r="H62" s="65">
        <v>8035.5</v>
      </c>
      <c r="I62" s="65">
        <v>8724</v>
      </c>
      <c r="J62" s="65">
        <v>11316</v>
      </c>
      <c r="K62" s="65">
        <v>14446.5</v>
      </c>
      <c r="L62" s="65">
        <v>16864.5</v>
      </c>
      <c r="M62" s="66">
        <v>1021.5</v>
      </c>
      <c r="N62" s="67">
        <v>838.5</v>
      </c>
      <c r="O62" s="60"/>
      <c r="P62" s="2"/>
      <c r="Q62" s="2"/>
      <c r="R62" s="2"/>
      <c r="S62" s="2"/>
      <c r="T62" s="2"/>
      <c r="U62" s="2"/>
      <c r="V62" s="2"/>
      <c r="W62" s="2"/>
      <c r="X62" s="2"/>
    </row>
    <row r="63" spans="2:24" ht="15.75" customHeight="1" x14ac:dyDescent="0.3">
      <c r="B63" s="2"/>
      <c r="C63" s="61" t="s">
        <v>177</v>
      </c>
      <c r="D63" s="62" t="s">
        <v>187</v>
      </c>
      <c r="E63" s="63" t="s">
        <v>188</v>
      </c>
      <c r="F63" s="64">
        <v>6271.5</v>
      </c>
      <c r="G63" s="65">
        <v>6987</v>
      </c>
      <c r="H63" s="65">
        <v>8035.5</v>
      </c>
      <c r="I63" s="65">
        <v>8724</v>
      </c>
      <c r="J63" s="65">
        <v>11316</v>
      </c>
      <c r="K63" s="65">
        <v>14446.5</v>
      </c>
      <c r="L63" s="65">
        <v>16864.5</v>
      </c>
      <c r="M63" s="66">
        <v>1021.5</v>
      </c>
      <c r="N63" s="67">
        <v>838.5</v>
      </c>
      <c r="O63" s="60"/>
      <c r="P63" s="2"/>
      <c r="Q63" s="2"/>
      <c r="R63" s="2"/>
      <c r="S63" s="2"/>
      <c r="T63" s="2"/>
      <c r="U63" s="2"/>
      <c r="V63" s="2"/>
      <c r="W63" s="2"/>
      <c r="X63" s="2"/>
    </row>
    <row r="64" spans="2:24" ht="15.75" customHeight="1" x14ac:dyDescent="0.3">
      <c r="B64" s="2"/>
      <c r="C64" s="61" t="s">
        <v>177</v>
      </c>
      <c r="D64" s="62" t="s">
        <v>189</v>
      </c>
      <c r="E64" s="63" t="s">
        <v>190</v>
      </c>
      <c r="F64" s="64">
        <v>5829</v>
      </c>
      <c r="G64" s="65">
        <v>6499.5</v>
      </c>
      <c r="H64" s="65">
        <v>7483.5</v>
      </c>
      <c r="I64" s="65">
        <v>8128.5</v>
      </c>
      <c r="J64" s="65">
        <v>10389</v>
      </c>
      <c r="K64" s="65">
        <v>13284</v>
      </c>
      <c r="L64" s="65">
        <v>15525</v>
      </c>
      <c r="M64" s="66">
        <v>1006.5</v>
      </c>
      <c r="N64" s="67">
        <v>823.5</v>
      </c>
      <c r="O64" s="60"/>
      <c r="P64" s="2"/>
      <c r="Q64" s="2"/>
      <c r="R64" s="2"/>
      <c r="S64" s="2"/>
      <c r="T64" s="2"/>
      <c r="U64" s="2"/>
      <c r="V64" s="2"/>
      <c r="W64" s="2"/>
      <c r="X64" s="2"/>
    </row>
    <row r="65" spans="2:24" ht="15.75" customHeight="1" x14ac:dyDescent="0.3">
      <c r="B65" s="2"/>
      <c r="C65" s="61" t="s">
        <v>177</v>
      </c>
      <c r="D65" s="62" t="s">
        <v>191</v>
      </c>
      <c r="E65" s="63" t="s">
        <v>192</v>
      </c>
      <c r="F65" s="64">
        <v>4181</v>
      </c>
      <c r="G65" s="65">
        <v>4658</v>
      </c>
      <c r="H65" s="65">
        <v>5357</v>
      </c>
      <c r="I65" s="65">
        <v>5816</v>
      </c>
      <c r="J65" s="65">
        <v>7544</v>
      </c>
      <c r="K65" s="65">
        <v>9631</v>
      </c>
      <c r="L65" s="65">
        <v>11243</v>
      </c>
      <c r="M65" s="66">
        <v>681</v>
      </c>
      <c r="N65" s="67">
        <v>559</v>
      </c>
      <c r="O65" s="60"/>
      <c r="P65" s="2"/>
      <c r="Q65" s="2"/>
      <c r="R65" s="2"/>
      <c r="S65" s="2"/>
      <c r="T65" s="2"/>
      <c r="U65" s="2"/>
      <c r="V65" s="2"/>
      <c r="W65" s="2"/>
      <c r="X65" s="2"/>
    </row>
    <row r="66" spans="2:24" ht="15.75" customHeight="1" x14ac:dyDescent="0.3">
      <c r="B66" s="2"/>
      <c r="C66" s="68" t="s">
        <v>177</v>
      </c>
      <c r="D66" s="69" t="s">
        <v>193</v>
      </c>
      <c r="E66" s="70" t="s">
        <v>194</v>
      </c>
      <c r="F66" s="71">
        <v>3886</v>
      </c>
      <c r="G66" s="72">
        <v>4333</v>
      </c>
      <c r="H66" s="72">
        <v>4989</v>
      </c>
      <c r="I66" s="72">
        <v>5419</v>
      </c>
      <c r="J66" s="72">
        <v>6926</v>
      </c>
      <c r="K66" s="72">
        <v>8856</v>
      </c>
      <c r="L66" s="72">
        <v>10350</v>
      </c>
      <c r="M66" s="73">
        <v>671</v>
      </c>
      <c r="N66" s="74">
        <v>549</v>
      </c>
      <c r="O66" s="60"/>
      <c r="P66" s="2"/>
      <c r="Q66" s="2"/>
      <c r="R66" s="2"/>
      <c r="S66" s="2"/>
      <c r="T66" s="2"/>
      <c r="U66" s="2"/>
      <c r="V66" s="2"/>
      <c r="W66" s="2"/>
      <c r="X66" s="2"/>
    </row>
    <row r="67" spans="2:24" ht="15.75" customHeight="1" x14ac:dyDescent="0.3">
      <c r="B67" s="2"/>
      <c r="C67" s="53" t="s">
        <v>195</v>
      </c>
      <c r="D67" s="54" t="s">
        <v>196</v>
      </c>
      <c r="E67" s="55" t="s">
        <v>197</v>
      </c>
      <c r="F67" s="56">
        <v>3886</v>
      </c>
      <c r="G67" s="57">
        <v>4333</v>
      </c>
      <c r="H67" s="57">
        <v>4989</v>
      </c>
      <c r="I67" s="57">
        <v>5419</v>
      </c>
      <c r="J67" s="57">
        <v>6926</v>
      </c>
      <c r="K67" s="57">
        <v>8856</v>
      </c>
      <c r="L67" s="57">
        <v>10350</v>
      </c>
      <c r="M67" s="58">
        <v>671</v>
      </c>
      <c r="N67" s="59">
        <v>549</v>
      </c>
      <c r="O67" s="60"/>
      <c r="P67" s="2"/>
      <c r="Q67" s="2"/>
      <c r="R67" s="2"/>
      <c r="S67" s="2"/>
      <c r="T67" s="2"/>
      <c r="U67" s="2"/>
      <c r="V67" s="2"/>
      <c r="W67" s="2"/>
      <c r="X67" s="2"/>
    </row>
    <row r="68" spans="2:24" ht="15.75" customHeight="1" x14ac:dyDescent="0.3">
      <c r="B68" s="2"/>
      <c r="C68" s="61" t="s">
        <v>195</v>
      </c>
      <c r="D68" s="62" t="s">
        <v>198</v>
      </c>
      <c r="E68" s="63" t="s">
        <v>199</v>
      </c>
      <c r="F68" s="64">
        <v>5829</v>
      </c>
      <c r="G68" s="65">
        <v>6499.5</v>
      </c>
      <c r="H68" s="65">
        <v>7483.5</v>
      </c>
      <c r="I68" s="65">
        <v>8128.5</v>
      </c>
      <c r="J68" s="65">
        <v>10389</v>
      </c>
      <c r="K68" s="65">
        <v>13284</v>
      </c>
      <c r="L68" s="65">
        <v>15525</v>
      </c>
      <c r="M68" s="66">
        <v>1006.5</v>
      </c>
      <c r="N68" s="67">
        <v>823.5</v>
      </c>
      <c r="O68" s="60"/>
      <c r="P68" s="2"/>
      <c r="Q68" s="2"/>
      <c r="R68" s="2"/>
      <c r="S68" s="2"/>
      <c r="T68" s="2"/>
      <c r="U68" s="2"/>
      <c r="V68" s="2"/>
      <c r="W68" s="2"/>
      <c r="X68" s="2"/>
    </row>
    <row r="69" spans="2:24" ht="15.75" customHeight="1" x14ac:dyDescent="0.3">
      <c r="B69" s="2"/>
      <c r="C69" s="61" t="s">
        <v>195</v>
      </c>
      <c r="D69" s="62" t="s">
        <v>200</v>
      </c>
      <c r="E69" s="63" t="s">
        <v>201</v>
      </c>
      <c r="F69" s="64">
        <v>4987.5</v>
      </c>
      <c r="G69" s="65">
        <v>5326.5</v>
      </c>
      <c r="H69" s="65">
        <v>6441</v>
      </c>
      <c r="I69" s="65">
        <v>7230</v>
      </c>
      <c r="J69" s="65">
        <v>9340.5</v>
      </c>
      <c r="K69" s="65">
        <v>12039</v>
      </c>
      <c r="L69" s="65">
        <v>13929</v>
      </c>
      <c r="M69" s="66">
        <v>844.5</v>
      </c>
      <c r="N69" s="67">
        <v>709.5</v>
      </c>
      <c r="O69" s="60"/>
      <c r="P69" s="2"/>
      <c r="Q69" s="2"/>
      <c r="R69" s="2"/>
      <c r="S69" s="2"/>
      <c r="T69" s="2"/>
      <c r="U69" s="2"/>
      <c r="V69" s="2"/>
      <c r="W69" s="2"/>
      <c r="X69" s="2"/>
    </row>
    <row r="70" spans="2:24" ht="15.75" customHeight="1" x14ac:dyDescent="0.3">
      <c r="B70" s="2"/>
      <c r="C70" s="61" t="s">
        <v>195</v>
      </c>
      <c r="D70" s="62" t="s">
        <v>202</v>
      </c>
      <c r="E70" s="63" t="s">
        <v>203</v>
      </c>
      <c r="F70" s="64">
        <v>5829</v>
      </c>
      <c r="G70" s="65">
        <v>6499.5</v>
      </c>
      <c r="H70" s="65">
        <v>7483.5</v>
      </c>
      <c r="I70" s="65">
        <v>8128.5</v>
      </c>
      <c r="J70" s="65">
        <v>10389</v>
      </c>
      <c r="K70" s="65">
        <v>13284</v>
      </c>
      <c r="L70" s="65">
        <v>15525</v>
      </c>
      <c r="M70" s="66">
        <v>1006.5</v>
      </c>
      <c r="N70" s="67">
        <v>823.5</v>
      </c>
      <c r="O70" s="60"/>
      <c r="P70" s="2"/>
      <c r="Q70" s="2"/>
      <c r="R70" s="2"/>
      <c r="S70" s="2"/>
      <c r="T70" s="2"/>
      <c r="U70" s="2"/>
      <c r="V70" s="2"/>
      <c r="W70" s="2"/>
      <c r="X70" s="2"/>
    </row>
    <row r="71" spans="2:24" ht="15.75" customHeight="1" x14ac:dyDescent="0.3">
      <c r="B71" s="2"/>
      <c r="C71" s="61" t="s">
        <v>195</v>
      </c>
      <c r="D71" s="62" t="s">
        <v>204</v>
      </c>
      <c r="E71" s="63" t="s">
        <v>205</v>
      </c>
      <c r="F71" s="64">
        <v>3325</v>
      </c>
      <c r="G71" s="65">
        <v>3551</v>
      </c>
      <c r="H71" s="65">
        <v>4294</v>
      </c>
      <c r="I71" s="65">
        <v>4820</v>
      </c>
      <c r="J71" s="65">
        <v>6227</v>
      </c>
      <c r="K71" s="65">
        <v>8026</v>
      </c>
      <c r="L71" s="65">
        <v>9286</v>
      </c>
      <c r="M71" s="66">
        <v>563</v>
      </c>
      <c r="N71" s="67">
        <v>473</v>
      </c>
      <c r="O71" s="60"/>
      <c r="P71" s="2"/>
      <c r="Q71" s="2"/>
      <c r="R71" s="2"/>
      <c r="S71" s="2"/>
      <c r="T71" s="2"/>
      <c r="U71" s="2"/>
      <c r="V71" s="2"/>
      <c r="W71" s="2"/>
      <c r="X71" s="2"/>
    </row>
    <row r="72" spans="2:24" ht="15.75" customHeight="1" x14ac:dyDescent="0.3">
      <c r="B72" s="2"/>
      <c r="C72" s="61" t="s">
        <v>195</v>
      </c>
      <c r="D72" s="62" t="s">
        <v>206</v>
      </c>
      <c r="E72" s="63" t="s">
        <v>22</v>
      </c>
      <c r="F72" s="64">
        <v>3886</v>
      </c>
      <c r="G72" s="65">
        <v>4333</v>
      </c>
      <c r="H72" s="65">
        <v>4989</v>
      </c>
      <c r="I72" s="65">
        <v>5419</v>
      </c>
      <c r="J72" s="65">
        <v>6926</v>
      </c>
      <c r="K72" s="65">
        <v>8856</v>
      </c>
      <c r="L72" s="65">
        <v>10350</v>
      </c>
      <c r="M72" s="66">
        <v>671</v>
      </c>
      <c r="N72" s="67">
        <v>549</v>
      </c>
      <c r="O72" s="60"/>
      <c r="P72" s="2"/>
      <c r="Q72" s="2"/>
      <c r="R72" s="2"/>
      <c r="S72" s="2"/>
      <c r="T72" s="2"/>
      <c r="U72" s="2"/>
      <c r="V72" s="2"/>
      <c r="W72" s="2"/>
      <c r="X72" s="2"/>
    </row>
    <row r="73" spans="2:24" ht="15.75" customHeight="1" x14ac:dyDescent="0.3">
      <c r="B73" s="2"/>
      <c r="C73" s="61" t="s">
        <v>195</v>
      </c>
      <c r="D73" s="62" t="s">
        <v>207</v>
      </c>
      <c r="E73" s="63" t="s">
        <v>208</v>
      </c>
      <c r="F73" s="64">
        <v>3886</v>
      </c>
      <c r="G73" s="65">
        <v>4333</v>
      </c>
      <c r="H73" s="65">
        <v>4989</v>
      </c>
      <c r="I73" s="65">
        <v>5419</v>
      </c>
      <c r="J73" s="65">
        <v>6926</v>
      </c>
      <c r="K73" s="65">
        <v>8856</v>
      </c>
      <c r="L73" s="65">
        <v>10350</v>
      </c>
      <c r="M73" s="66">
        <v>671</v>
      </c>
      <c r="N73" s="67">
        <v>549</v>
      </c>
      <c r="O73" s="60"/>
      <c r="P73" s="2"/>
      <c r="Q73" s="2"/>
      <c r="R73" s="2"/>
      <c r="S73" s="2"/>
      <c r="T73" s="2"/>
      <c r="U73" s="2"/>
      <c r="V73" s="2"/>
      <c r="W73" s="2"/>
      <c r="X73" s="2"/>
    </row>
    <row r="74" spans="2:24" ht="15.75" customHeight="1" x14ac:dyDescent="0.3">
      <c r="B74" s="2"/>
      <c r="C74" s="61" t="s">
        <v>195</v>
      </c>
      <c r="D74" s="62" t="s">
        <v>209</v>
      </c>
      <c r="E74" s="63" t="s">
        <v>210</v>
      </c>
      <c r="F74" s="64">
        <v>3325</v>
      </c>
      <c r="G74" s="65">
        <v>3551</v>
      </c>
      <c r="H74" s="65">
        <v>4294</v>
      </c>
      <c r="I74" s="65">
        <v>4820</v>
      </c>
      <c r="J74" s="65">
        <v>6227</v>
      </c>
      <c r="K74" s="65">
        <v>8026</v>
      </c>
      <c r="L74" s="65">
        <v>9286</v>
      </c>
      <c r="M74" s="66">
        <v>563</v>
      </c>
      <c r="N74" s="67">
        <v>473</v>
      </c>
      <c r="O74" s="60"/>
      <c r="P74" s="2"/>
      <c r="Q74" s="2"/>
      <c r="R74" s="2"/>
      <c r="S74" s="2"/>
      <c r="T74" s="2"/>
      <c r="U74" s="2"/>
      <c r="V74" s="2"/>
      <c r="W74" s="2"/>
      <c r="X74" s="2"/>
    </row>
    <row r="75" spans="2:24" ht="15.75" customHeight="1" x14ac:dyDescent="0.3">
      <c r="B75" s="2"/>
      <c r="C75" s="61" t="s">
        <v>195</v>
      </c>
      <c r="D75" s="62" t="s">
        <v>211</v>
      </c>
      <c r="E75" s="63" t="s">
        <v>212</v>
      </c>
      <c r="F75" s="64">
        <v>5829</v>
      </c>
      <c r="G75" s="65">
        <v>6499.5</v>
      </c>
      <c r="H75" s="65">
        <v>7483.5</v>
      </c>
      <c r="I75" s="65">
        <v>8128.5</v>
      </c>
      <c r="J75" s="65">
        <v>10389</v>
      </c>
      <c r="K75" s="65">
        <v>13284</v>
      </c>
      <c r="L75" s="65">
        <v>15525</v>
      </c>
      <c r="M75" s="66">
        <v>1006.5</v>
      </c>
      <c r="N75" s="67">
        <v>823.5</v>
      </c>
      <c r="O75" s="60"/>
      <c r="P75" s="2"/>
      <c r="Q75" s="2"/>
      <c r="R75" s="2"/>
      <c r="S75" s="2"/>
      <c r="T75" s="2"/>
      <c r="U75" s="2"/>
      <c r="V75" s="2"/>
      <c r="W75" s="2"/>
      <c r="X75" s="2"/>
    </row>
    <row r="76" spans="2:24" ht="15.75" customHeight="1" x14ac:dyDescent="0.3">
      <c r="B76" s="2"/>
      <c r="C76" s="61" t="s">
        <v>195</v>
      </c>
      <c r="D76" s="62" t="s">
        <v>213</v>
      </c>
      <c r="E76" s="63" t="s">
        <v>24</v>
      </c>
      <c r="F76" s="64">
        <v>3886</v>
      </c>
      <c r="G76" s="65">
        <v>4333</v>
      </c>
      <c r="H76" s="65">
        <v>4989</v>
      </c>
      <c r="I76" s="65">
        <v>5419</v>
      </c>
      <c r="J76" s="65">
        <v>6926</v>
      </c>
      <c r="K76" s="65">
        <v>8856</v>
      </c>
      <c r="L76" s="65">
        <v>10350</v>
      </c>
      <c r="M76" s="66">
        <v>671</v>
      </c>
      <c r="N76" s="67">
        <v>549</v>
      </c>
      <c r="O76" s="60"/>
      <c r="P76" s="2"/>
      <c r="Q76" s="2"/>
      <c r="R76" s="2"/>
      <c r="S76" s="2"/>
      <c r="T76" s="2"/>
      <c r="U76" s="2"/>
      <c r="V76" s="2"/>
      <c r="W76" s="2"/>
      <c r="X76" s="2"/>
    </row>
    <row r="77" spans="2:24" ht="15.75" customHeight="1" x14ac:dyDescent="0.3">
      <c r="B77" s="2"/>
      <c r="C77" s="61" t="s">
        <v>195</v>
      </c>
      <c r="D77" s="62" t="s">
        <v>214</v>
      </c>
      <c r="E77" s="63" t="s">
        <v>215</v>
      </c>
      <c r="F77" s="64">
        <v>5829</v>
      </c>
      <c r="G77" s="65">
        <v>6499.5</v>
      </c>
      <c r="H77" s="65">
        <v>7483.5</v>
      </c>
      <c r="I77" s="65">
        <v>8128.5</v>
      </c>
      <c r="J77" s="65">
        <v>10389</v>
      </c>
      <c r="K77" s="65">
        <v>13284</v>
      </c>
      <c r="L77" s="65">
        <v>15525</v>
      </c>
      <c r="M77" s="66">
        <v>1006.5</v>
      </c>
      <c r="N77" s="67">
        <v>823.5</v>
      </c>
      <c r="O77" s="60"/>
      <c r="P77" s="2"/>
      <c r="Q77" s="2"/>
      <c r="R77" s="2"/>
      <c r="S77" s="2"/>
      <c r="T77" s="2"/>
      <c r="U77" s="2"/>
      <c r="V77" s="2"/>
      <c r="W77" s="2"/>
      <c r="X77" s="2"/>
    </row>
    <row r="78" spans="2:24" ht="15.75" customHeight="1" x14ac:dyDescent="0.3">
      <c r="B78" s="2"/>
      <c r="C78" s="61" t="s">
        <v>195</v>
      </c>
      <c r="D78" s="62" t="s">
        <v>216</v>
      </c>
      <c r="E78" s="63" t="s">
        <v>217</v>
      </c>
      <c r="F78" s="64">
        <v>3886</v>
      </c>
      <c r="G78" s="65">
        <v>4333</v>
      </c>
      <c r="H78" s="65">
        <v>4989</v>
      </c>
      <c r="I78" s="65">
        <v>5419</v>
      </c>
      <c r="J78" s="65">
        <v>6926</v>
      </c>
      <c r="K78" s="65">
        <v>8856</v>
      </c>
      <c r="L78" s="65">
        <v>10350</v>
      </c>
      <c r="M78" s="66">
        <v>671</v>
      </c>
      <c r="N78" s="67">
        <v>549</v>
      </c>
      <c r="O78" s="60"/>
      <c r="P78" s="2"/>
      <c r="Q78" s="2"/>
      <c r="R78" s="2"/>
      <c r="S78" s="2"/>
      <c r="T78" s="2"/>
      <c r="U78" s="2"/>
      <c r="V78" s="2"/>
      <c r="W78" s="2"/>
      <c r="X78" s="2"/>
    </row>
    <row r="79" spans="2:24" ht="15.75" customHeight="1" x14ac:dyDescent="0.3">
      <c r="B79" s="2"/>
      <c r="C79" s="61" t="s">
        <v>195</v>
      </c>
      <c r="D79" s="62" t="s">
        <v>218</v>
      </c>
      <c r="E79" s="63" t="s">
        <v>219</v>
      </c>
      <c r="F79" s="64">
        <v>5829</v>
      </c>
      <c r="G79" s="65">
        <v>6499.5</v>
      </c>
      <c r="H79" s="65">
        <v>7483.5</v>
      </c>
      <c r="I79" s="65">
        <v>8128.5</v>
      </c>
      <c r="J79" s="65">
        <v>10389</v>
      </c>
      <c r="K79" s="65">
        <v>13284</v>
      </c>
      <c r="L79" s="65">
        <v>15525</v>
      </c>
      <c r="M79" s="66">
        <v>1006.5</v>
      </c>
      <c r="N79" s="67">
        <v>823.5</v>
      </c>
      <c r="O79" s="60"/>
      <c r="P79" s="2"/>
      <c r="Q79" s="2"/>
      <c r="R79" s="2"/>
      <c r="S79" s="2"/>
      <c r="T79" s="2"/>
      <c r="U79" s="2"/>
      <c r="V79" s="2"/>
      <c r="W79" s="2"/>
      <c r="X79" s="2"/>
    </row>
    <row r="80" spans="2:24" ht="15.75" customHeight="1" x14ac:dyDescent="0.3">
      <c r="B80" s="2"/>
      <c r="C80" s="61" t="s">
        <v>195</v>
      </c>
      <c r="D80" s="62" t="s">
        <v>220</v>
      </c>
      <c r="E80" s="63" t="s">
        <v>221</v>
      </c>
      <c r="F80" s="64">
        <v>4987.5</v>
      </c>
      <c r="G80" s="65">
        <v>5326.5</v>
      </c>
      <c r="H80" s="65">
        <v>6441</v>
      </c>
      <c r="I80" s="65">
        <v>7230</v>
      </c>
      <c r="J80" s="65">
        <v>9340.5</v>
      </c>
      <c r="K80" s="65">
        <v>12039</v>
      </c>
      <c r="L80" s="65">
        <v>13929</v>
      </c>
      <c r="M80" s="66">
        <v>844.5</v>
      </c>
      <c r="N80" s="67">
        <v>709.5</v>
      </c>
      <c r="O80" s="60"/>
      <c r="P80" s="2"/>
      <c r="Q80" s="2"/>
      <c r="R80" s="2"/>
      <c r="S80" s="2"/>
      <c r="T80" s="2"/>
      <c r="U80" s="2"/>
      <c r="V80" s="2"/>
      <c r="W80" s="2"/>
      <c r="X80" s="2"/>
    </row>
    <row r="81" spans="2:24" ht="15.75" customHeight="1" x14ac:dyDescent="0.3">
      <c r="B81" s="2"/>
      <c r="C81" s="68" t="s">
        <v>195</v>
      </c>
      <c r="D81" s="69" t="s">
        <v>222</v>
      </c>
      <c r="E81" s="70" t="s">
        <v>223</v>
      </c>
      <c r="F81" s="71">
        <v>3886</v>
      </c>
      <c r="G81" s="72">
        <v>4333</v>
      </c>
      <c r="H81" s="72">
        <v>4989</v>
      </c>
      <c r="I81" s="72">
        <v>5419</v>
      </c>
      <c r="J81" s="72">
        <v>6926</v>
      </c>
      <c r="K81" s="72">
        <v>8856</v>
      </c>
      <c r="L81" s="72">
        <v>10350</v>
      </c>
      <c r="M81" s="73">
        <v>671</v>
      </c>
      <c r="N81" s="74">
        <v>549</v>
      </c>
      <c r="O81" s="60"/>
      <c r="P81" s="2"/>
      <c r="Q81" s="2"/>
      <c r="R81" s="2"/>
      <c r="S81" s="2"/>
      <c r="T81" s="2"/>
      <c r="U81" s="2"/>
      <c r="V81" s="2"/>
      <c r="W81" s="2"/>
      <c r="X81" s="2"/>
    </row>
    <row r="82" spans="2:24" ht="15.75" customHeight="1" x14ac:dyDescent="0.3">
      <c r="B82" s="2"/>
      <c r="C82" s="53" t="s">
        <v>224</v>
      </c>
      <c r="D82" s="54" t="s">
        <v>225</v>
      </c>
      <c r="E82" s="55" t="s">
        <v>30</v>
      </c>
      <c r="F82" s="56">
        <v>2411</v>
      </c>
      <c r="G82" s="57">
        <v>2603</v>
      </c>
      <c r="H82" s="57">
        <v>3089</v>
      </c>
      <c r="I82" s="57">
        <v>3557</v>
      </c>
      <c r="J82" s="57">
        <v>4659</v>
      </c>
      <c r="K82" s="57">
        <v>5650</v>
      </c>
      <c r="L82" s="57">
        <v>6556</v>
      </c>
      <c r="M82" s="58">
        <v>405</v>
      </c>
      <c r="N82" s="59">
        <v>336</v>
      </c>
      <c r="O82" s="60"/>
      <c r="P82" s="2"/>
      <c r="Q82" s="2"/>
      <c r="R82" s="2"/>
      <c r="S82" s="2"/>
      <c r="T82" s="2"/>
      <c r="U82" s="2"/>
      <c r="V82" s="2"/>
      <c r="W82" s="2"/>
      <c r="X82" s="2"/>
    </row>
    <row r="83" spans="2:24" ht="15.75" customHeight="1" x14ac:dyDescent="0.3">
      <c r="B83" s="2"/>
      <c r="C83" s="61" t="s">
        <v>224</v>
      </c>
      <c r="D83" s="62" t="s">
        <v>226</v>
      </c>
      <c r="E83" s="63" t="s">
        <v>227</v>
      </c>
      <c r="F83" s="64">
        <v>3233</v>
      </c>
      <c r="G83" s="65">
        <v>3478</v>
      </c>
      <c r="H83" s="65">
        <v>4097</v>
      </c>
      <c r="I83" s="65">
        <v>4696</v>
      </c>
      <c r="J83" s="65">
        <v>6104</v>
      </c>
      <c r="K83" s="65">
        <v>7368</v>
      </c>
      <c r="L83" s="65">
        <v>8523</v>
      </c>
      <c r="M83" s="66">
        <v>516</v>
      </c>
      <c r="N83" s="67">
        <v>428</v>
      </c>
      <c r="O83" s="60"/>
      <c r="P83" s="2"/>
      <c r="Q83" s="2"/>
      <c r="R83" s="2"/>
      <c r="S83" s="2"/>
      <c r="T83" s="2"/>
      <c r="U83" s="2"/>
      <c r="V83" s="2"/>
      <c r="W83" s="2"/>
      <c r="X83" s="2"/>
    </row>
    <row r="84" spans="2:24" ht="15.75" customHeight="1" x14ac:dyDescent="0.3">
      <c r="B84" s="2"/>
      <c r="C84" s="61" t="s">
        <v>224</v>
      </c>
      <c r="D84" s="62" t="s">
        <v>228</v>
      </c>
      <c r="E84" s="63" t="s">
        <v>229</v>
      </c>
      <c r="F84" s="64">
        <v>3325</v>
      </c>
      <c r="G84" s="65">
        <v>3551</v>
      </c>
      <c r="H84" s="65">
        <v>4294</v>
      </c>
      <c r="I84" s="65">
        <v>4820</v>
      </c>
      <c r="J84" s="65">
        <v>6227</v>
      </c>
      <c r="K84" s="65">
        <v>8026</v>
      </c>
      <c r="L84" s="65">
        <v>9286</v>
      </c>
      <c r="M84" s="66">
        <v>563</v>
      </c>
      <c r="N84" s="67">
        <v>473</v>
      </c>
      <c r="O84" s="60"/>
      <c r="P84" s="2"/>
      <c r="Q84" s="2"/>
      <c r="R84" s="2"/>
      <c r="S84" s="2"/>
      <c r="T84" s="2"/>
      <c r="U84" s="2"/>
      <c r="V84" s="2"/>
      <c r="W84" s="2"/>
      <c r="X84" s="2"/>
    </row>
    <row r="85" spans="2:24" ht="15.75" customHeight="1" x14ac:dyDescent="0.3">
      <c r="B85" s="2"/>
      <c r="C85" s="61" t="s">
        <v>224</v>
      </c>
      <c r="D85" s="62" t="s">
        <v>230</v>
      </c>
      <c r="E85" s="63" t="s">
        <v>231</v>
      </c>
      <c r="F85" s="64">
        <v>3287</v>
      </c>
      <c r="G85" s="65">
        <v>3510</v>
      </c>
      <c r="H85" s="65">
        <v>4245</v>
      </c>
      <c r="I85" s="65">
        <v>4767</v>
      </c>
      <c r="J85" s="65">
        <v>6160</v>
      </c>
      <c r="K85" s="65">
        <v>7942</v>
      </c>
      <c r="L85" s="65">
        <v>9193</v>
      </c>
      <c r="M85" s="66">
        <v>561</v>
      </c>
      <c r="N85" s="67">
        <v>471</v>
      </c>
      <c r="O85" s="60"/>
      <c r="P85" s="2"/>
      <c r="Q85" s="2"/>
      <c r="R85" s="2"/>
      <c r="S85" s="2"/>
      <c r="T85" s="2"/>
      <c r="U85" s="2"/>
      <c r="V85" s="2"/>
      <c r="W85" s="2"/>
      <c r="X85" s="2"/>
    </row>
    <row r="86" spans="2:24" ht="15.75" customHeight="1" x14ac:dyDescent="0.3">
      <c r="B86" s="2"/>
      <c r="C86" s="61" t="s">
        <v>224</v>
      </c>
      <c r="D86" s="62" t="s">
        <v>232</v>
      </c>
      <c r="E86" s="63" t="s">
        <v>233</v>
      </c>
      <c r="F86" s="64">
        <v>3233</v>
      </c>
      <c r="G86" s="65">
        <v>3478</v>
      </c>
      <c r="H86" s="65">
        <v>4097</v>
      </c>
      <c r="I86" s="65">
        <v>4696</v>
      </c>
      <c r="J86" s="65">
        <v>6104</v>
      </c>
      <c r="K86" s="65">
        <v>7368</v>
      </c>
      <c r="L86" s="65">
        <v>8523</v>
      </c>
      <c r="M86" s="66">
        <v>516</v>
      </c>
      <c r="N86" s="67">
        <v>428</v>
      </c>
      <c r="O86" s="60"/>
      <c r="P86" s="2"/>
      <c r="Q86" s="2"/>
      <c r="R86" s="2"/>
      <c r="S86" s="2"/>
      <c r="T86" s="2"/>
      <c r="U86" s="2"/>
      <c r="V86" s="2"/>
      <c r="W86" s="2"/>
      <c r="X86" s="2"/>
    </row>
    <row r="87" spans="2:24" ht="15.75" customHeight="1" x14ac:dyDescent="0.3">
      <c r="B87" s="2"/>
      <c r="C87" s="61" t="s">
        <v>224</v>
      </c>
      <c r="D87" s="62" t="s">
        <v>234</v>
      </c>
      <c r="E87" s="63" t="s">
        <v>235</v>
      </c>
      <c r="F87" s="64">
        <v>3233</v>
      </c>
      <c r="G87" s="65">
        <v>3478</v>
      </c>
      <c r="H87" s="65">
        <v>4097</v>
      </c>
      <c r="I87" s="65">
        <v>4696</v>
      </c>
      <c r="J87" s="65">
        <v>6104</v>
      </c>
      <c r="K87" s="65">
        <v>7368</v>
      </c>
      <c r="L87" s="65">
        <v>8523</v>
      </c>
      <c r="M87" s="66">
        <v>516</v>
      </c>
      <c r="N87" s="67">
        <v>428</v>
      </c>
      <c r="O87" s="60"/>
      <c r="P87" s="2"/>
      <c r="Q87" s="2"/>
      <c r="R87" s="2"/>
      <c r="S87" s="2"/>
      <c r="T87" s="2"/>
      <c r="U87" s="2"/>
      <c r="V87" s="2"/>
      <c r="W87" s="2"/>
      <c r="X87" s="2"/>
    </row>
    <row r="88" spans="2:24" ht="15.75" customHeight="1" x14ac:dyDescent="0.3">
      <c r="B88" s="2"/>
      <c r="C88" s="61" t="s">
        <v>224</v>
      </c>
      <c r="D88" s="62" t="s">
        <v>236</v>
      </c>
      <c r="E88" s="63" t="s">
        <v>237</v>
      </c>
      <c r="F88" s="64">
        <v>3287</v>
      </c>
      <c r="G88" s="65">
        <v>3510</v>
      </c>
      <c r="H88" s="65">
        <v>4245</v>
      </c>
      <c r="I88" s="65">
        <v>4767</v>
      </c>
      <c r="J88" s="65">
        <v>6160</v>
      </c>
      <c r="K88" s="65">
        <v>7942</v>
      </c>
      <c r="L88" s="65">
        <v>9193</v>
      </c>
      <c r="M88" s="66">
        <v>561</v>
      </c>
      <c r="N88" s="67">
        <v>471</v>
      </c>
      <c r="O88" s="60"/>
      <c r="P88" s="2"/>
      <c r="Q88" s="2"/>
      <c r="R88" s="2"/>
      <c r="S88" s="2"/>
      <c r="T88" s="2"/>
      <c r="U88" s="2"/>
      <c r="V88" s="2"/>
      <c r="W88" s="2"/>
      <c r="X88" s="2"/>
    </row>
    <row r="89" spans="2:24" ht="15.75" customHeight="1" x14ac:dyDescent="0.3">
      <c r="B89" s="2"/>
      <c r="C89" s="61" t="s">
        <v>224</v>
      </c>
      <c r="D89" s="62" t="s">
        <v>238</v>
      </c>
      <c r="E89" s="63" t="s">
        <v>239</v>
      </c>
      <c r="F89" s="64">
        <v>2411</v>
      </c>
      <c r="G89" s="65">
        <v>2603</v>
      </c>
      <c r="H89" s="65">
        <v>3089</v>
      </c>
      <c r="I89" s="65">
        <v>3557</v>
      </c>
      <c r="J89" s="65">
        <v>4659</v>
      </c>
      <c r="K89" s="65">
        <v>5650</v>
      </c>
      <c r="L89" s="65">
        <v>6556</v>
      </c>
      <c r="M89" s="66">
        <v>405</v>
      </c>
      <c r="N89" s="67">
        <v>336</v>
      </c>
      <c r="O89" s="60"/>
      <c r="P89" s="2"/>
      <c r="Q89" s="2"/>
      <c r="R89" s="2"/>
      <c r="S89" s="2"/>
      <c r="T89" s="2"/>
      <c r="U89" s="2"/>
      <c r="V89" s="2"/>
      <c r="W89" s="2"/>
      <c r="X89" s="2"/>
    </row>
    <row r="90" spans="2:24" ht="15.75" customHeight="1" x14ac:dyDescent="0.3">
      <c r="B90" s="2"/>
      <c r="C90" s="61" t="s">
        <v>224</v>
      </c>
      <c r="D90" s="62" t="s">
        <v>240</v>
      </c>
      <c r="E90" s="63" t="s">
        <v>241</v>
      </c>
      <c r="F90" s="64">
        <v>3233</v>
      </c>
      <c r="G90" s="65">
        <v>3478</v>
      </c>
      <c r="H90" s="65">
        <v>4097</v>
      </c>
      <c r="I90" s="65">
        <v>4696</v>
      </c>
      <c r="J90" s="65">
        <v>6104</v>
      </c>
      <c r="K90" s="65">
        <v>7368</v>
      </c>
      <c r="L90" s="65">
        <v>8523</v>
      </c>
      <c r="M90" s="66">
        <v>516</v>
      </c>
      <c r="N90" s="67">
        <v>428</v>
      </c>
      <c r="O90" s="60"/>
      <c r="P90" s="2"/>
      <c r="Q90" s="2"/>
      <c r="R90" s="2"/>
      <c r="S90" s="2"/>
      <c r="T90" s="2"/>
      <c r="U90" s="2"/>
      <c r="V90" s="2"/>
      <c r="W90" s="2"/>
      <c r="X90" s="2"/>
    </row>
    <row r="91" spans="2:24" ht="15.75" customHeight="1" x14ac:dyDescent="0.3">
      <c r="B91" s="2"/>
      <c r="C91" s="61" t="s">
        <v>224</v>
      </c>
      <c r="D91" s="62" t="s">
        <v>242</v>
      </c>
      <c r="E91" s="63" t="s">
        <v>243</v>
      </c>
      <c r="F91" s="64">
        <v>3233</v>
      </c>
      <c r="G91" s="65">
        <v>3478</v>
      </c>
      <c r="H91" s="65">
        <v>4097</v>
      </c>
      <c r="I91" s="65">
        <v>4696</v>
      </c>
      <c r="J91" s="65">
        <v>6104</v>
      </c>
      <c r="K91" s="65">
        <v>7368</v>
      </c>
      <c r="L91" s="65">
        <v>8523</v>
      </c>
      <c r="M91" s="66">
        <v>516</v>
      </c>
      <c r="N91" s="67">
        <v>428</v>
      </c>
      <c r="O91" s="60"/>
      <c r="P91" s="2"/>
      <c r="Q91" s="2"/>
      <c r="R91" s="2"/>
      <c r="S91" s="2"/>
      <c r="T91" s="2"/>
      <c r="U91" s="2"/>
      <c r="V91" s="2"/>
      <c r="W91" s="2"/>
      <c r="X91" s="2"/>
    </row>
    <row r="92" spans="2:24" ht="15.75" customHeight="1" x14ac:dyDescent="0.3">
      <c r="B92" s="2"/>
      <c r="C92" s="61" t="s">
        <v>224</v>
      </c>
      <c r="D92" s="62" t="s">
        <v>244</v>
      </c>
      <c r="E92" s="63" t="s">
        <v>245</v>
      </c>
      <c r="F92" s="64">
        <v>3325</v>
      </c>
      <c r="G92" s="65">
        <v>3551</v>
      </c>
      <c r="H92" s="65">
        <v>4294</v>
      </c>
      <c r="I92" s="65">
        <v>4820</v>
      </c>
      <c r="J92" s="65">
        <v>6227</v>
      </c>
      <c r="K92" s="65">
        <v>8026</v>
      </c>
      <c r="L92" s="65">
        <v>9286</v>
      </c>
      <c r="M92" s="66">
        <v>563</v>
      </c>
      <c r="N92" s="67">
        <v>473</v>
      </c>
      <c r="O92" s="60"/>
      <c r="P92" s="2"/>
      <c r="Q92" s="2"/>
      <c r="R92" s="2"/>
      <c r="S92" s="2"/>
      <c r="T92" s="2"/>
      <c r="U92" s="2"/>
      <c r="V92" s="2"/>
      <c r="W92" s="2"/>
      <c r="X92" s="2"/>
    </row>
    <row r="93" spans="2:24" ht="15.75" customHeight="1" x14ac:dyDescent="0.3">
      <c r="B93" s="2"/>
      <c r="C93" s="61" t="s">
        <v>224</v>
      </c>
      <c r="D93" s="62" t="s">
        <v>246</v>
      </c>
      <c r="E93" s="63" t="s">
        <v>247</v>
      </c>
      <c r="F93" s="64">
        <v>18600</v>
      </c>
      <c r="G93" s="65">
        <v>18906</v>
      </c>
      <c r="H93" s="65">
        <v>19486.5</v>
      </c>
      <c r="I93" s="65">
        <v>20181</v>
      </c>
      <c r="J93" s="65">
        <v>21376.5</v>
      </c>
      <c r="K93" s="65">
        <v>22744.5</v>
      </c>
      <c r="L93" s="65">
        <v>24123</v>
      </c>
      <c r="M93" s="66">
        <v>571.5</v>
      </c>
      <c r="N93" s="67">
        <v>457.5</v>
      </c>
      <c r="O93" s="60"/>
      <c r="P93" s="2"/>
      <c r="Q93" s="2"/>
      <c r="R93" s="2"/>
      <c r="S93" s="2"/>
      <c r="T93" s="2"/>
      <c r="U93" s="2"/>
      <c r="V93" s="2"/>
      <c r="W93" s="2"/>
      <c r="X93" s="2"/>
    </row>
    <row r="94" spans="2:24" ht="15.75" customHeight="1" x14ac:dyDescent="0.3">
      <c r="B94" s="2"/>
      <c r="C94" s="61" t="s">
        <v>224</v>
      </c>
      <c r="D94" s="62" t="s">
        <v>248</v>
      </c>
      <c r="E94" s="63" t="s">
        <v>249</v>
      </c>
      <c r="F94" s="64">
        <v>18600</v>
      </c>
      <c r="G94" s="65">
        <v>18906</v>
      </c>
      <c r="H94" s="65">
        <v>19486.5</v>
      </c>
      <c r="I94" s="65">
        <v>20181</v>
      </c>
      <c r="J94" s="65">
        <v>21376.5</v>
      </c>
      <c r="K94" s="65">
        <v>22744.5</v>
      </c>
      <c r="L94" s="65">
        <v>24123</v>
      </c>
      <c r="M94" s="66">
        <v>571.5</v>
      </c>
      <c r="N94" s="67">
        <v>457.5</v>
      </c>
      <c r="O94" s="60"/>
      <c r="P94" s="2"/>
      <c r="Q94" s="2"/>
      <c r="R94" s="2"/>
      <c r="S94" s="2"/>
      <c r="T94" s="2"/>
      <c r="U94" s="2"/>
      <c r="V94" s="2"/>
      <c r="W94" s="2"/>
      <c r="X94" s="2"/>
    </row>
    <row r="95" spans="2:24" ht="15.75" customHeight="1" x14ac:dyDescent="0.3">
      <c r="B95" s="2"/>
      <c r="C95" s="61" t="s">
        <v>224</v>
      </c>
      <c r="D95" s="62" t="s">
        <v>250</v>
      </c>
      <c r="E95" s="63" t="s">
        <v>251</v>
      </c>
      <c r="F95" s="64">
        <v>3325</v>
      </c>
      <c r="G95" s="65">
        <v>3551</v>
      </c>
      <c r="H95" s="65">
        <v>4294</v>
      </c>
      <c r="I95" s="65">
        <v>4820</v>
      </c>
      <c r="J95" s="65">
        <v>6227</v>
      </c>
      <c r="K95" s="65">
        <v>8026</v>
      </c>
      <c r="L95" s="65">
        <v>9286</v>
      </c>
      <c r="M95" s="66">
        <v>563</v>
      </c>
      <c r="N95" s="67">
        <v>473</v>
      </c>
      <c r="O95" s="60"/>
      <c r="P95" s="2"/>
      <c r="Q95" s="2"/>
      <c r="R95" s="2"/>
      <c r="S95" s="2"/>
      <c r="T95" s="2"/>
      <c r="U95" s="2"/>
      <c r="V95" s="2"/>
      <c r="W95" s="2"/>
      <c r="X95" s="2"/>
    </row>
    <row r="96" spans="2:24" ht="15.75" customHeight="1" x14ac:dyDescent="0.3">
      <c r="B96" s="2"/>
      <c r="C96" s="61" t="s">
        <v>224</v>
      </c>
      <c r="D96" s="62" t="s">
        <v>252</v>
      </c>
      <c r="E96" s="63" t="s">
        <v>253</v>
      </c>
      <c r="F96" s="64">
        <v>3325</v>
      </c>
      <c r="G96" s="65">
        <v>3551</v>
      </c>
      <c r="H96" s="65">
        <v>4294</v>
      </c>
      <c r="I96" s="65">
        <v>4820</v>
      </c>
      <c r="J96" s="65">
        <v>6227</v>
      </c>
      <c r="K96" s="65">
        <v>8026</v>
      </c>
      <c r="L96" s="65">
        <v>9286</v>
      </c>
      <c r="M96" s="66">
        <v>563</v>
      </c>
      <c r="N96" s="67">
        <v>473</v>
      </c>
      <c r="O96" s="60"/>
      <c r="P96" s="2"/>
      <c r="Q96" s="2"/>
      <c r="R96" s="2"/>
      <c r="S96" s="2"/>
      <c r="T96" s="2"/>
      <c r="U96" s="2"/>
      <c r="V96" s="2"/>
      <c r="W96" s="2"/>
      <c r="X96" s="2"/>
    </row>
    <row r="97" spans="2:24" ht="15.75" customHeight="1" x14ac:dyDescent="0.3">
      <c r="B97" s="2"/>
      <c r="C97" s="61" t="s">
        <v>224</v>
      </c>
      <c r="D97" s="62" t="s">
        <v>254</v>
      </c>
      <c r="E97" s="63" t="s">
        <v>255</v>
      </c>
      <c r="F97" s="64">
        <v>3325</v>
      </c>
      <c r="G97" s="65">
        <v>3551</v>
      </c>
      <c r="H97" s="65">
        <v>4294</v>
      </c>
      <c r="I97" s="65">
        <v>4820</v>
      </c>
      <c r="J97" s="65">
        <v>6227</v>
      </c>
      <c r="K97" s="65">
        <v>8026</v>
      </c>
      <c r="L97" s="65">
        <v>9286</v>
      </c>
      <c r="M97" s="66">
        <v>563</v>
      </c>
      <c r="N97" s="67">
        <v>473</v>
      </c>
      <c r="O97" s="60"/>
      <c r="P97" s="2"/>
      <c r="Q97" s="2"/>
      <c r="R97" s="2"/>
      <c r="S97" s="2"/>
      <c r="T97" s="2"/>
      <c r="U97" s="2"/>
      <c r="V97" s="2"/>
      <c r="W97" s="2"/>
      <c r="X97" s="2"/>
    </row>
    <row r="98" spans="2:24" ht="15.75" customHeight="1" x14ac:dyDescent="0.3">
      <c r="B98" s="2"/>
      <c r="C98" s="61" t="s">
        <v>224</v>
      </c>
      <c r="D98" s="62" t="s">
        <v>256</v>
      </c>
      <c r="E98" s="63" t="s">
        <v>257</v>
      </c>
      <c r="F98" s="64">
        <v>3325</v>
      </c>
      <c r="G98" s="65">
        <v>3551</v>
      </c>
      <c r="H98" s="65">
        <v>4294</v>
      </c>
      <c r="I98" s="65">
        <v>4820</v>
      </c>
      <c r="J98" s="65">
        <v>6227</v>
      </c>
      <c r="K98" s="65">
        <v>8026</v>
      </c>
      <c r="L98" s="65">
        <v>9286</v>
      </c>
      <c r="M98" s="66">
        <v>563</v>
      </c>
      <c r="N98" s="67">
        <v>473</v>
      </c>
      <c r="O98" s="60"/>
      <c r="P98" s="2"/>
      <c r="Q98" s="2"/>
      <c r="R98" s="2"/>
      <c r="S98" s="2"/>
      <c r="T98" s="2"/>
      <c r="U98" s="2"/>
      <c r="V98" s="2"/>
      <c r="W98" s="2"/>
      <c r="X98" s="2"/>
    </row>
    <row r="99" spans="2:24" ht="15.75" customHeight="1" x14ac:dyDescent="0.3">
      <c r="B99" s="2"/>
      <c r="C99" s="61" t="s">
        <v>224</v>
      </c>
      <c r="D99" s="62" t="s">
        <v>258</v>
      </c>
      <c r="E99" s="63" t="s">
        <v>259</v>
      </c>
      <c r="F99" s="64">
        <v>3287</v>
      </c>
      <c r="G99" s="65">
        <v>3510</v>
      </c>
      <c r="H99" s="65">
        <v>4245</v>
      </c>
      <c r="I99" s="65">
        <v>4767</v>
      </c>
      <c r="J99" s="65">
        <v>6160</v>
      </c>
      <c r="K99" s="65">
        <v>7942</v>
      </c>
      <c r="L99" s="65">
        <v>9193</v>
      </c>
      <c r="M99" s="66">
        <v>561</v>
      </c>
      <c r="N99" s="67">
        <v>471</v>
      </c>
      <c r="O99" s="60"/>
      <c r="P99" s="2"/>
      <c r="Q99" s="2"/>
      <c r="R99" s="2"/>
      <c r="S99" s="2"/>
      <c r="T99" s="2"/>
      <c r="U99" s="2"/>
      <c r="V99" s="2"/>
      <c r="W99" s="2"/>
      <c r="X99" s="2"/>
    </row>
    <row r="100" spans="2:24" ht="15.75" customHeight="1" x14ac:dyDescent="0.3">
      <c r="B100" s="2"/>
      <c r="C100" s="61" t="s">
        <v>224</v>
      </c>
      <c r="D100" s="62" t="s">
        <v>260</v>
      </c>
      <c r="E100" s="63" t="s">
        <v>28</v>
      </c>
      <c r="F100" s="64">
        <v>3287</v>
      </c>
      <c r="G100" s="65">
        <v>3510</v>
      </c>
      <c r="H100" s="65">
        <v>4245</v>
      </c>
      <c r="I100" s="65">
        <v>4767</v>
      </c>
      <c r="J100" s="65">
        <v>6160</v>
      </c>
      <c r="K100" s="65">
        <v>7942</v>
      </c>
      <c r="L100" s="65">
        <v>9193</v>
      </c>
      <c r="M100" s="66">
        <v>561</v>
      </c>
      <c r="N100" s="67">
        <v>471</v>
      </c>
      <c r="O100" s="60"/>
      <c r="P100" s="2"/>
      <c r="Q100" s="2"/>
      <c r="R100" s="2"/>
      <c r="S100" s="2"/>
      <c r="T100" s="2"/>
      <c r="U100" s="2"/>
      <c r="V100" s="2"/>
      <c r="W100" s="2"/>
      <c r="X100" s="2"/>
    </row>
    <row r="101" spans="2:24" ht="15.75" customHeight="1" x14ac:dyDescent="0.3">
      <c r="B101" s="2"/>
      <c r="C101" s="61" t="s">
        <v>224</v>
      </c>
      <c r="D101" s="62" t="s">
        <v>261</v>
      </c>
      <c r="E101" s="63" t="s">
        <v>262</v>
      </c>
      <c r="F101" s="64">
        <v>3325</v>
      </c>
      <c r="G101" s="65">
        <v>3551</v>
      </c>
      <c r="H101" s="65">
        <v>4294</v>
      </c>
      <c r="I101" s="65">
        <v>4820</v>
      </c>
      <c r="J101" s="65">
        <v>6227</v>
      </c>
      <c r="K101" s="65">
        <v>8026</v>
      </c>
      <c r="L101" s="65">
        <v>9286</v>
      </c>
      <c r="M101" s="66">
        <v>563</v>
      </c>
      <c r="N101" s="67">
        <v>473</v>
      </c>
      <c r="O101" s="60"/>
      <c r="P101" s="2"/>
      <c r="Q101" s="2"/>
      <c r="R101" s="2"/>
      <c r="S101" s="2"/>
      <c r="T101" s="2"/>
      <c r="U101" s="2"/>
      <c r="V101" s="2"/>
      <c r="W101" s="2"/>
      <c r="X101" s="2"/>
    </row>
    <row r="102" spans="2:24" ht="15.75" customHeight="1" x14ac:dyDescent="0.3">
      <c r="B102" s="2"/>
      <c r="C102" s="61" t="s">
        <v>224</v>
      </c>
      <c r="D102" s="62" t="s">
        <v>263</v>
      </c>
      <c r="E102" s="63" t="s">
        <v>264</v>
      </c>
      <c r="F102" s="64">
        <v>3325</v>
      </c>
      <c r="G102" s="65">
        <v>3551</v>
      </c>
      <c r="H102" s="65">
        <v>4294</v>
      </c>
      <c r="I102" s="65">
        <v>4820</v>
      </c>
      <c r="J102" s="65">
        <v>6227</v>
      </c>
      <c r="K102" s="65">
        <v>8026</v>
      </c>
      <c r="L102" s="65">
        <v>9286</v>
      </c>
      <c r="M102" s="66">
        <v>563</v>
      </c>
      <c r="N102" s="67">
        <v>473</v>
      </c>
      <c r="O102" s="60"/>
      <c r="P102" s="2"/>
      <c r="Q102" s="2"/>
      <c r="R102" s="2"/>
      <c r="S102" s="2"/>
      <c r="T102" s="2"/>
      <c r="U102" s="2"/>
      <c r="V102" s="2"/>
      <c r="W102" s="2"/>
      <c r="X102" s="2"/>
    </row>
    <row r="103" spans="2:24" ht="15.75" customHeight="1" x14ac:dyDescent="0.3">
      <c r="B103" s="2"/>
      <c r="C103" s="61" t="s">
        <v>224</v>
      </c>
      <c r="D103" s="62" t="s">
        <v>265</v>
      </c>
      <c r="E103" s="63" t="s">
        <v>266</v>
      </c>
      <c r="F103" s="64">
        <v>3287</v>
      </c>
      <c r="G103" s="65">
        <v>3510</v>
      </c>
      <c r="H103" s="65">
        <v>4245</v>
      </c>
      <c r="I103" s="65">
        <v>4767</v>
      </c>
      <c r="J103" s="65">
        <v>6160</v>
      </c>
      <c r="K103" s="65">
        <v>7942</v>
      </c>
      <c r="L103" s="65">
        <v>9193</v>
      </c>
      <c r="M103" s="66">
        <v>561</v>
      </c>
      <c r="N103" s="67">
        <v>471</v>
      </c>
      <c r="O103" s="60"/>
      <c r="P103" s="2"/>
      <c r="Q103" s="2"/>
      <c r="R103" s="2"/>
      <c r="S103" s="2"/>
      <c r="T103" s="2"/>
      <c r="U103" s="2"/>
      <c r="V103" s="2"/>
      <c r="W103" s="2"/>
      <c r="X103" s="2"/>
    </row>
    <row r="104" spans="2:24" ht="15.75" customHeight="1" x14ac:dyDescent="0.3">
      <c r="B104" s="2"/>
      <c r="C104" s="61" t="s">
        <v>224</v>
      </c>
      <c r="D104" s="62" t="s">
        <v>267</v>
      </c>
      <c r="E104" s="63" t="s">
        <v>268</v>
      </c>
      <c r="F104" s="64">
        <v>3325</v>
      </c>
      <c r="G104" s="65">
        <v>3551</v>
      </c>
      <c r="H104" s="65">
        <v>4294</v>
      </c>
      <c r="I104" s="65">
        <v>4820</v>
      </c>
      <c r="J104" s="65">
        <v>6227</v>
      </c>
      <c r="K104" s="65">
        <v>8026</v>
      </c>
      <c r="L104" s="65">
        <v>9286</v>
      </c>
      <c r="M104" s="66">
        <v>563</v>
      </c>
      <c r="N104" s="67">
        <v>473</v>
      </c>
      <c r="O104" s="60"/>
      <c r="P104" s="2"/>
      <c r="Q104" s="2"/>
      <c r="R104" s="2"/>
      <c r="S104" s="2"/>
      <c r="T104" s="2"/>
      <c r="U104" s="2"/>
      <c r="V104" s="2"/>
      <c r="W104" s="2"/>
      <c r="X104" s="2"/>
    </row>
    <row r="105" spans="2:24" ht="15.75" customHeight="1" x14ac:dyDescent="0.3">
      <c r="B105" s="2"/>
      <c r="C105" s="61" t="s">
        <v>224</v>
      </c>
      <c r="D105" s="62" t="s">
        <v>269</v>
      </c>
      <c r="E105" s="63" t="s">
        <v>270</v>
      </c>
      <c r="F105" s="64">
        <v>4987.5</v>
      </c>
      <c r="G105" s="65">
        <v>5326.5</v>
      </c>
      <c r="H105" s="65">
        <v>6441</v>
      </c>
      <c r="I105" s="65">
        <v>7230</v>
      </c>
      <c r="J105" s="65">
        <v>9340.5</v>
      </c>
      <c r="K105" s="65">
        <v>12039</v>
      </c>
      <c r="L105" s="65">
        <v>13929</v>
      </c>
      <c r="M105" s="66">
        <v>844.5</v>
      </c>
      <c r="N105" s="67">
        <v>709.5</v>
      </c>
      <c r="O105" s="60"/>
      <c r="P105" s="2"/>
      <c r="Q105" s="2"/>
      <c r="R105" s="2"/>
      <c r="S105" s="2"/>
      <c r="T105" s="2"/>
      <c r="U105" s="2"/>
      <c r="V105" s="2"/>
      <c r="W105" s="2"/>
      <c r="X105" s="2"/>
    </row>
    <row r="106" spans="2:24" ht="15.75" customHeight="1" x14ac:dyDescent="0.3">
      <c r="B106" s="2"/>
      <c r="C106" s="61" t="s">
        <v>224</v>
      </c>
      <c r="D106" s="62" t="s">
        <v>271</v>
      </c>
      <c r="E106" s="63" t="s">
        <v>272</v>
      </c>
      <c r="F106" s="64">
        <v>3325</v>
      </c>
      <c r="G106" s="65">
        <v>3551</v>
      </c>
      <c r="H106" s="65">
        <v>4294</v>
      </c>
      <c r="I106" s="65">
        <v>4820</v>
      </c>
      <c r="J106" s="65">
        <v>6227</v>
      </c>
      <c r="K106" s="65">
        <v>8026</v>
      </c>
      <c r="L106" s="65">
        <v>9286</v>
      </c>
      <c r="M106" s="66">
        <v>563</v>
      </c>
      <c r="N106" s="67">
        <v>473</v>
      </c>
      <c r="O106" s="60"/>
      <c r="P106" s="2"/>
      <c r="Q106" s="2"/>
      <c r="R106" s="2"/>
      <c r="S106" s="2"/>
      <c r="T106" s="2"/>
      <c r="U106" s="2"/>
      <c r="V106" s="2"/>
      <c r="W106" s="2"/>
      <c r="X106" s="2"/>
    </row>
    <row r="107" spans="2:24" ht="15.75" customHeight="1" x14ac:dyDescent="0.3">
      <c r="B107" s="2"/>
      <c r="C107" s="61" t="s">
        <v>224</v>
      </c>
      <c r="D107" s="62" t="s">
        <v>273</v>
      </c>
      <c r="E107" s="63" t="s">
        <v>274</v>
      </c>
      <c r="F107" s="64">
        <v>3287</v>
      </c>
      <c r="G107" s="65">
        <v>3510</v>
      </c>
      <c r="H107" s="65">
        <v>4245</v>
      </c>
      <c r="I107" s="65">
        <v>4767</v>
      </c>
      <c r="J107" s="65">
        <v>6160</v>
      </c>
      <c r="K107" s="65">
        <v>7942</v>
      </c>
      <c r="L107" s="65">
        <v>9193</v>
      </c>
      <c r="M107" s="66">
        <v>561</v>
      </c>
      <c r="N107" s="67">
        <v>471</v>
      </c>
      <c r="O107" s="60"/>
      <c r="P107" s="2"/>
      <c r="Q107" s="2"/>
      <c r="R107" s="2"/>
      <c r="S107" s="2"/>
      <c r="T107" s="2"/>
      <c r="U107" s="2"/>
      <c r="V107" s="2"/>
      <c r="W107" s="2"/>
      <c r="X107" s="2"/>
    </row>
    <row r="108" spans="2:24" ht="15.75" customHeight="1" x14ac:dyDescent="0.3">
      <c r="B108" s="2"/>
      <c r="C108" s="61" t="s">
        <v>224</v>
      </c>
      <c r="D108" s="62" t="s">
        <v>275</v>
      </c>
      <c r="E108" s="63" t="s">
        <v>276</v>
      </c>
      <c r="F108" s="64">
        <v>3325</v>
      </c>
      <c r="G108" s="65">
        <v>3551</v>
      </c>
      <c r="H108" s="65">
        <v>4294</v>
      </c>
      <c r="I108" s="65">
        <v>4820</v>
      </c>
      <c r="J108" s="65">
        <v>6227</v>
      </c>
      <c r="K108" s="65">
        <v>8026</v>
      </c>
      <c r="L108" s="65">
        <v>9286</v>
      </c>
      <c r="M108" s="66">
        <v>563</v>
      </c>
      <c r="N108" s="67">
        <v>473</v>
      </c>
      <c r="O108" s="60"/>
      <c r="P108" s="2"/>
      <c r="Q108" s="2"/>
      <c r="R108" s="2"/>
      <c r="S108" s="2"/>
      <c r="T108" s="2"/>
      <c r="U108" s="2"/>
      <c r="V108" s="2"/>
      <c r="W108" s="2"/>
      <c r="X108" s="2"/>
    </row>
    <row r="109" spans="2:24" ht="15.75" customHeight="1" x14ac:dyDescent="0.3">
      <c r="B109" s="2"/>
      <c r="C109" s="61" t="s">
        <v>224</v>
      </c>
      <c r="D109" s="62" t="s">
        <v>277</v>
      </c>
      <c r="E109" s="63" t="s">
        <v>278</v>
      </c>
      <c r="F109" s="64">
        <v>2411</v>
      </c>
      <c r="G109" s="65">
        <v>2603</v>
      </c>
      <c r="H109" s="65">
        <v>3089</v>
      </c>
      <c r="I109" s="65">
        <v>3557</v>
      </c>
      <c r="J109" s="65">
        <v>4659</v>
      </c>
      <c r="K109" s="65">
        <v>5650</v>
      </c>
      <c r="L109" s="65">
        <v>6556</v>
      </c>
      <c r="M109" s="66">
        <v>405</v>
      </c>
      <c r="N109" s="67">
        <v>336</v>
      </c>
      <c r="O109" s="60"/>
      <c r="P109" s="2"/>
      <c r="Q109" s="2"/>
      <c r="R109" s="2"/>
      <c r="S109" s="2"/>
      <c r="T109" s="2"/>
      <c r="U109" s="2"/>
      <c r="V109" s="2"/>
      <c r="W109" s="2"/>
      <c r="X109" s="2"/>
    </row>
    <row r="110" spans="2:24" ht="15.75" customHeight="1" x14ac:dyDescent="0.3">
      <c r="B110" s="2"/>
      <c r="C110" s="61" t="s">
        <v>224</v>
      </c>
      <c r="D110" s="62" t="s">
        <v>279</v>
      </c>
      <c r="E110" s="63" t="s">
        <v>280</v>
      </c>
      <c r="F110" s="64">
        <v>2411</v>
      </c>
      <c r="G110" s="65">
        <v>2603</v>
      </c>
      <c r="H110" s="65">
        <v>3089</v>
      </c>
      <c r="I110" s="65">
        <v>3557</v>
      </c>
      <c r="J110" s="65">
        <v>4659</v>
      </c>
      <c r="K110" s="65">
        <v>5650</v>
      </c>
      <c r="L110" s="65">
        <v>6556</v>
      </c>
      <c r="M110" s="66">
        <v>405</v>
      </c>
      <c r="N110" s="67">
        <v>336</v>
      </c>
      <c r="O110" s="60"/>
      <c r="P110" s="2"/>
      <c r="Q110" s="2"/>
      <c r="R110" s="2"/>
      <c r="S110" s="2"/>
      <c r="T110" s="2"/>
      <c r="U110" s="2"/>
      <c r="V110" s="2"/>
      <c r="W110" s="2"/>
      <c r="X110" s="2"/>
    </row>
    <row r="111" spans="2:24" ht="15.75" customHeight="1" x14ac:dyDescent="0.3">
      <c r="B111" s="2"/>
      <c r="C111" s="61" t="s">
        <v>224</v>
      </c>
      <c r="D111" s="62" t="s">
        <v>281</v>
      </c>
      <c r="E111" s="63" t="s">
        <v>282</v>
      </c>
      <c r="F111" s="64">
        <v>3287</v>
      </c>
      <c r="G111" s="65">
        <v>3510</v>
      </c>
      <c r="H111" s="65">
        <v>4245</v>
      </c>
      <c r="I111" s="65">
        <v>4767</v>
      </c>
      <c r="J111" s="65">
        <v>6160</v>
      </c>
      <c r="K111" s="65">
        <v>7942</v>
      </c>
      <c r="L111" s="65">
        <v>9193</v>
      </c>
      <c r="M111" s="66">
        <v>561</v>
      </c>
      <c r="N111" s="67">
        <v>471</v>
      </c>
      <c r="O111" s="60"/>
      <c r="P111" s="2"/>
      <c r="Q111" s="2"/>
      <c r="R111" s="2"/>
      <c r="S111" s="2"/>
      <c r="T111" s="2"/>
      <c r="U111" s="2"/>
      <c r="V111" s="2"/>
      <c r="W111" s="2"/>
      <c r="X111" s="2"/>
    </row>
    <row r="112" spans="2:24" ht="15.75" customHeight="1" x14ac:dyDescent="0.3">
      <c r="B112" s="2"/>
      <c r="C112" s="61" t="s">
        <v>224</v>
      </c>
      <c r="D112" s="62" t="s">
        <v>283</v>
      </c>
      <c r="E112" s="63" t="s">
        <v>284</v>
      </c>
      <c r="F112" s="64">
        <v>3233</v>
      </c>
      <c r="G112" s="65">
        <v>3478</v>
      </c>
      <c r="H112" s="65">
        <v>4097</v>
      </c>
      <c r="I112" s="65">
        <v>4696</v>
      </c>
      <c r="J112" s="65">
        <v>6104</v>
      </c>
      <c r="K112" s="65">
        <v>7368</v>
      </c>
      <c r="L112" s="65">
        <v>8523</v>
      </c>
      <c r="M112" s="66">
        <v>516</v>
      </c>
      <c r="N112" s="67">
        <v>428</v>
      </c>
      <c r="O112" s="60"/>
      <c r="P112" s="2"/>
      <c r="Q112" s="2"/>
      <c r="R112" s="2"/>
      <c r="S112" s="2"/>
      <c r="T112" s="2"/>
      <c r="U112" s="2"/>
      <c r="V112" s="2"/>
      <c r="W112" s="2"/>
      <c r="X112" s="2"/>
    </row>
    <row r="113" spans="2:24" ht="15.75" customHeight="1" x14ac:dyDescent="0.3">
      <c r="B113" s="2"/>
      <c r="C113" s="61" t="s">
        <v>224</v>
      </c>
      <c r="D113" s="62" t="s">
        <v>285</v>
      </c>
      <c r="E113" s="63" t="s">
        <v>286</v>
      </c>
      <c r="F113" s="64">
        <v>3233</v>
      </c>
      <c r="G113" s="65">
        <v>3478</v>
      </c>
      <c r="H113" s="65">
        <v>4097</v>
      </c>
      <c r="I113" s="65">
        <v>4696</v>
      </c>
      <c r="J113" s="65">
        <v>6104</v>
      </c>
      <c r="K113" s="65">
        <v>7368</v>
      </c>
      <c r="L113" s="65">
        <v>8523</v>
      </c>
      <c r="M113" s="66">
        <v>516</v>
      </c>
      <c r="N113" s="67">
        <v>428</v>
      </c>
      <c r="O113" s="60"/>
      <c r="P113" s="2"/>
      <c r="Q113" s="2"/>
      <c r="R113" s="2"/>
      <c r="S113" s="2"/>
      <c r="T113" s="2"/>
      <c r="U113" s="2"/>
      <c r="V113" s="2"/>
      <c r="W113" s="2"/>
      <c r="X113" s="2"/>
    </row>
    <row r="114" spans="2:24" ht="15.75" customHeight="1" x14ac:dyDescent="0.3">
      <c r="B114" s="2"/>
      <c r="C114" s="61" t="s">
        <v>224</v>
      </c>
      <c r="D114" s="62" t="s">
        <v>287</v>
      </c>
      <c r="E114" s="63" t="s">
        <v>288</v>
      </c>
      <c r="F114" s="64">
        <v>3287</v>
      </c>
      <c r="G114" s="65">
        <v>3510</v>
      </c>
      <c r="H114" s="65">
        <v>4245</v>
      </c>
      <c r="I114" s="65">
        <v>4767</v>
      </c>
      <c r="J114" s="65">
        <v>6160</v>
      </c>
      <c r="K114" s="65">
        <v>7942</v>
      </c>
      <c r="L114" s="65">
        <v>9193</v>
      </c>
      <c r="M114" s="66">
        <v>561</v>
      </c>
      <c r="N114" s="67">
        <v>471</v>
      </c>
      <c r="O114" s="60"/>
      <c r="P114" s="2"/>
      <c r="Q114" s="2"/>
      <c r="R114" s="2"/>
      <c r="S114" s="2"/>
      <c r="T114" s="2"/>
      <c r="U114" s="2"/>
      <c r="V114" s="2"/>
      <c r="W114" s="2"/>
      <c r="X114" s="2"/>
    </row>
    <row r="115" spans="2:24" ht="15.75" customHeight="1" x14ac:dyDescent="0.3">
      <c r="B115" s="2"/>
      <c r="C115" s="61" t="s">
        <v>224</v>
      </c>
      <c r="D115" s="62" t="s">
        <v>289</v>
      </c>
      <c r="E115" s="63" t="s">
        <v>290</v>
      </c>
      <c r="F115" s="64">
        <v>3287</v>
      </c>
      <c r="G115" s="65">
        <v>3510</v>
      </c>
      <c r="H115" s="65">
        <v>4245</v>
      </c>
      <c r="I115" s="65">
        <v>4767</v>
      </c>
      <c r="J115" s="65">
        <v>6160</v>
      </c>
      <c r="K115" s="65">
        <v>7942</v>
      </c>
      <c r="L115" s="65">
        <v>9193</v>
      </c>
      <c r="M115" s="66">
        <v>561</v>
      </c>
      <c r="N115" s="67">
        <v>471</v>
      </c>
      <c r="O115" s="60"/>
      <c r="P115" s="2"/>
      <c r="Q115" s="2"/>
      <c r="R115" s="2"/>
      <c r="S115" s="2"/>
      <c r="T115" s="2"/>
      <c r="U115" s="2"/>
      <c r="V115" s="2"/>
      <c r="W115" s="2"/>
      <c r="X115" s="2"/>
    </row>
    <row r="116" spans="2:24" ht="15.75" customHeight="1" x14ac:dyDescent="0.3">
      <c r="B116" s="2"/>
      <c r="C116" s="61" t="s">
        <v>224</v>
      </c>
      <c r="D116" s="62" t="s">
        <v>291</v>
      </c>
      <c r="E116" s="63" t="s">
        <v>292</v>
      </c>
      <c r="F116" s="64">
        <v>3287</v>
      </c>
      <c r="G116" s="65">
        <v>3510</v>
      </c>
      <c r="H116" s="65">
        <v>4245</v>
      </c>
      <c r="I116" s="65">
        <v>4767</v>
      </c>
      <c r="J116" s="65">
        <v>6160</v>
      </c>
      <c r="K116" s="65">
        <v>7942</v>
      </c>
      <c r="L116" s="65">
        <v>9193</v>
      </c>
      <c r="M116" s="66">
        <v>561</v>
      </c>
      <c r="N116" s="67">
        <v>471</v>
      </c>
      <c r="O116" s="60"/>
      <c r="P116" s="2"/>
      <c r="Q116" s="2"/>
      <c r="R116" s="2"/>
      <c r="S116" s="2"/>
      <c r="T116" s="2"/>
      <c r="U116" s="2"/>
      <c r="V116" s="2"/>
      <c r="W116" s="2"/>
      <c r="X116" s="2"/>
    </row>
    <row r="117" spans="2:24" ht="15.75" customHeight="1" x14ac:dyDescent="0.3">
      <c r="B117" s="2"/>
      <c r="C117" s="61" t="s">
        <v>224</v>
      </c>
      <c r="D117" s="62" t="s">
        <v>293</v>
      </c>
      <c r="E117" s="63" t="s">
        <v>294</v>
      </c>
      <c r="F117" s="64">
        <v>2411</v>
      </c>
      <c r="G117" s="65">
        <v>2603</v>
      </c>
      <c r="H117" s="65">
        <v>3089</v>
      </c>
      <c r="I117" s="65">
        <v>3557</v>
      </c>
      <c r="J117" s="65">
        <v>4659</v>
      </c>
      <c r="K117" s="65">
        <v>5650</v>
      </c>
      <c r="L117" s="65">
        <v>6556</v>
      </c>
      <c r="M117" s="66">
        <v>405</v>
      </c>
      <c r="N117" s="67">
        <v>336</v>
      </c>
      <c r="O117" s="60"/>
      <c r="P117" s="2"/>
      <c r="Q117" s="2"/>
      <c r="R117" s="2"/>
      <c r="S117" s="2"/>
      <c r="T117" s="2"/>
      <c r="U117" s="2"/>
      <c r="V117" s="2"/>
      <c r="W117" s="2"/>
      <c r="X117" s="2"/>
    </row>
    <row r="118" spans="2:24" ht="15.75" customHeight="1" x14ac:dyDescent="0.3">
      <c r="B118" s="2"/>
      <c r="C118" s="61" t="s">
        <v>224</v>
      </c>
      <c r="D118" s="62" t="s">
        <v>295</v>
      </c>
      <c r="E118" s="63" t="s">
        <v>296</v>
      </c>
      <c r="F118" s="64">
        <v>2411</v>
      </c>
      <c r="G118" s="65">
        <v>2603</v>
      </c>
      <c r="H118" s="65">
        <v>3089</v>
      </c>
      <c r="I118" s="65">
        <v>3557</v>
      </c>
      <c r="J118" s="65">
        <v>4659</v>
      </c>
      <c r="K118" s="65">
        <v>5650</v>
      </c>
      <c r="L118" s="65">
        <v>6556</v>
      </c>
      <c r="M118" s="66">
        <v>405</v>
      </c>
      <c r="N118" s="67">
        <v>336</v>
      </c>
      <c r="O118" s="60"/>
      <c r="P118" s="2"/>
      <c r="Q118" s="2"/>
      <c r="R118" s="2"/>
      <c r="S118" s="2"/>
      <c r="T118" s="2"/>
      <c r="U118" s="2"/>
      <c r="V118" s="2"/>
      <c r="W118" s="2"/>
      <c r="X118" s="2"/>
    </row>
    <row r="119" spans="2:24" ht="15.75" customHeight="1" x14ac:dyDescent="0.3">
      <c r="B119" s="2"/>
      <c r="C119" s="68" t="s">
        <v>224</v>
      </c>
      <c r="D119" s="69" t="s">
        <v>297</v>
      </c>
      <c r="E119" s="70" t="s">
        <v>298</v>
      </c>
      <c r="F119" s="71">
        <v>3325</v>
      </c>
      <c r="G119" s="72">
        <v>3551</v>
      </c>
      <c r="H119" s="72">
        <v>4294</v>
      </c>
      <c r="I119" s="72">
        <v>4820</v>
      </c>
      <c r="J119" s="72">
        <v>6227</v>
      </c>
      <c r="K119" s="72">
        <v>8026</v>
      </c>
      <c r="L119" s="72">
        <v>9286</v>
      </c>
      <c r="M119" s="73">
        <v>563</v>
      </c>
      <c r="N119" s="74">
        <v>473</v>
      </c>
      <c r="O119" s="60"/>
      <c r="P119" s="2"/>
      <c r="Q119" s="2"/>
      <c r="R119" s="2"/>
      <c r="S119" s="2"/>
      <c r="T119" s="2"/>
      <c r="U119" s="2"/>
      <c r="V119" s="2"/>
      <c r="W119" s="2"/>
      <c r="X119" s="2"/>
    </row>
    <row r="120" spans="2:24" ht="15.75" customHeight="1" x14ac:dyDescent="0.3">
      <c r="B120" s="2"/>
      <c r="C120" s="53" t="s">
        <v>299</v>
      </c>
      <c r="D120" s="54" t="s">
        <v>300</v>
      </c>
      <c r="E120" s="55" t="s">
        <v>36</v>
      </c>
      <c r="F120" s="56">
        <v>3287</v>
      </c>
      <c r="G120" s="57">
        <v>3510</v>
      </c>
      <c r="H120" s="57">
        <v>4245</v>
      </c>
      <c r="I120" s="57">
        <v>4767</v>
      </c>
      <c r="J120" s="57">
        <v>6160</v>
      </c>
      <c r="K120" s="57">
        <v>7942</v>
      </c>
      <c r="L120" s="57">
        <v>9193</v>
      </c>
      <c r="M120" s="58">
        <v>561</v>
      </c>
      <c r="N120" s="59">
        <v>471</v>
      </c>
      <c r="O120" s="60"/>
      <c r="P120" s="2"/>
      <c r="Q120" s="2"/>
      <c r="R120" s="2"/>
      <c r="S120" s="2"/>
      <c r="T120" s="2"/>
      <c r="U120" s="2"/>
      <c r="V120" s="2"/>
      <c r="W120" s="2"/>
      <c r="X120" s="2"/>
    </row>
    <row r="121" spans="2:24" ht="15.75" customHeight="1" x14ac:dyDescent="0.3">
      <c r="B121" s="2"/>
      <c r="C121" s="61" t="s">
        <v>299</v>
      </c>
      <c r="D121" s="62" t="s">
        <v>301</v>
      </c>
      <c r="E121" s="63" t="s">
        <v>302</v>
      </c>
      <c r="F121" s="64">
        <v>3443</v>
      </c>
      <c r="G121" s="65">
        <v>3723</v>
      </c>
      <c r="H121" s="65">
        <v>4457</v>
      </c>
      <c r="I121" s="65">
        <v>4933</v>
      </c>
      <c r="J121" s="65">
        <v>6464</v>
      </c>
      <c r="K121" s="65">
        <v>8400</v>
      </c>
      <c r="L121" s="65">
        <v>9684</v>
      </c>
      <c r="M121" s="66">
        <v>571</v>
      </c>
      <c r="N121" s="67">
        <v>486</v>
      </c>
      <c r="O121" s="60"/>
      <c r="P121" s="2"/>
      <c r="Q121" s="2"/>
      <c r="R121" s="2"/>
      <c r="S121" s="2"/>
      <c r="T121" s="2"/>
      <c r="U121" s="2"/>
      <c r="V121" s="2"/>
      <c r="W121" s="2"/>
      <c r="X121" s="2"/>
    </row>
    <row r="122" spans="2:24" ht="15.75" customHeight="1" x14ac:dyDescent="0.3">
      <c r="B122" s="2"/>
      <c r="C122" s="61" t="s">
        <v>299</v>
      </c>
      <c r="D122" s="62" t="s">
        <v>303</v>
      </c>
      <c r="E122" s="63" t="s">
        <v>304</v>
      </c>
      <c r="F122" s="64">
        <v>4930.5</v>
      </c>
      <c r="G122" s="65">
        <v>5265</v>
      </c>
      <c r="H122" s="65">
        <v>6367.5</v>
      </c>
      <c r="I122" s="65">
        <v>7150.5</v>
      </c>
      <c r="J122" s="65">
        <v>9240</v>
      </c>
      <c r="K122" s="65">
        <v>11913</v>
      </c>
      <c r="L122" s="65">
        <v>13789.5</v>
      </c>
      <c r="M122" s="66">
        <v>841.5</v>
      </c>
      <c r="N122" s="67">
        <v>706.5</v>
      </c>
      <c r="O122" s="60"/>
      <c r="P122" s="2"/>
      <c r="Q122" s="2"/>
      <c r="R122" s="2"/>
      <c r="S122" s="2"/>
      <c r="T122" s="2"/>
      <c r="U122" s="2"/>
      <c r="V122" s="2"/>
      <c r="W122" s="2"/>
      <c r="X122" s="2"/>
    </row>
    <row r="123" spans="2:24" ht="15.75" customHeight="1" x14ac:dyDescent="0.3">
      <c r="B123" s="2"/>
      <c r="C123" s="61" t="s">
        <v>299</v>
      </c>
      <c r="D123" s="62" t="s">
        <v>305</v>
      </c>
      <c r="E123" s="63" t="s">
        <v>306</v>
      </c>
      <c r="F123" s="64">
        <v>3287</v>
      </c>
      <c r="G123" s="65">
        <v>3510</v>
      </c>
      <c r="H123" s="65">
        <v>4245</v>
      </c>
      <c r="I123" s="65">
        <v>4767</v>
      </c>
      <c r="J123" s="65">
        <v>6160</v>
      </c>
      <c r="K123" s="65">
        <v>7942</v>
      </c>
      <c r="L123" s="65">
        <v>9193</v>
      </c>
      <c r="M123" s="66">
        <v>561</v>
      </c>
      <c r="N123" s="67">
        <v>471</v>
      </c>
      <c r="O123" s="60"/>
      <c r="P123" s="2"/>
      <c r="Q123" s="2"/>
      <c r="R123" s="2"/>
      <c r="S123" s="2"/>
      <c r="T123" s="2"/>
      <c r="U123" s="2"/>
      <c r="V123" s="2"/>
      <c r="W123" s="2"/>
      <c r="X123" s="2"/>
    </row>
    <row r="124" spans="2:24" ht="15.75" customHeight="1" x14ac:dyDescent="0.3">
      <c r="B124" s="2"/>
      <c r="C124" s="61" t="s">
        <v>299</v>
      </c>
      <c r="D124" s="62" t="s">
        <v>307</v>
      </c>
      <c r="E124" s="63" t="s">
        <v>308</v>
      </c>
      <c r="F124" s="64">
        <v>3287</v>
      </c>
      <c r="G124" s="65">
        <v>3510</v>
      </c>
      <c r="H124" s="65">
        <v>4245</v>
      </c>
      <c r="I124" s="65">
        <v>4767</v>
      </c>
      <c r="J124" s="65">
        <v>6160</v>
      </c>
      <c r="K124" s="65">
        <v>7942</v>
      </c>
      <c r="L124" s="65">
        <v>9193</v>
      </c>
      <c r="M124" s="66">
        <v>561</v>
      </c>
      <c r="N124" s="67">
        <v>471</v>
      </c>
      <c r="O124" s="60"/>
      <c r="P124" s="2"/>
      <c r="Q124" s="2"/>
      <c r="R124" s="2"/>
      <c r="S124" s="2"/>
      <c r="T124" s="2"/>
      <c r="U124" s="2"/>
      <c r="V124" s="2"/>
      <c r="W124" s="2"/>
      <c r="X124" s="2"/>
    </row>
    <row r="125" spans="2:24" ht="15.75" customHeight="1" x14ac:dyDescent="0.3">
      <c r="B125" s="2"/>
      <c r="C125" s="61" t="s">
        <v>299</v>
      </c>
      <c r="D125" s="62" t="s">
        <v>309</v>
      </c>
      <c r="E125" s="63" t="s">
        <v>310</v>
      </c>
      <c r="F125" s="64">
        <v>3287</v>
      </c>
      <c r="G125" s="65">
        <v>3510</v>
      </c>
      <c r="H125" s="65">
        <v>4245</v>
      </c>
      <c r="I125" s="65">
        <v>4767</v>
      </c>
      <c r="J125" s="65">
        <v>6160</v>
      </c>
      <c r="K125" s="65">
        <v>7942</v>
      </c>
      <c r="L125" s="65">
        <v>9193</v>
      </c>
      <c r="M125" s="66">
        <v>561</v>
      </c>
      <c r="N125" s="67">
        <v>471</v>
      </c>
      <c r="O125" s="60"/>
      <c r="P125" s="2"/>
      <c r="Q125" s="2"/>
      <c r="R125" s="2"/>
      <c r="S125" s="2"/>
      <c r="T125" s="2"/>
      <c r="U125" s="2"/>
      <c r="V125" s="2"/>
      <c r="W125" s="2"/>
      <c r="X125" s="2"/>
    </row>
    <row r="126" spans="2:24" ht="15.75" customHeight="1" x14ac:dyDescent="0.3">
      <c r="B126" s="2"/>
      <c r="C126" s="61" t="s">
        <v>299</v>
      </c>
      <c r="D126" s="62" t="s">
        <v>311</v>
      </c>
      <c r="E126" s="63" t="s">
        <v>312</v>
      </c>
      <c r="F126" s="64">
        <v>3287</v>
      </c>
      <c r="G126" s="65">
        <v>3510</v>
      </c>
      <c r="H126" s="65">
        <v>4245</v>
      </c>
      <c r="I126" s="65">
        <v>4767</v>
      </c>
      <c r="J126" s="65">
        <v>6160</v>
      </c>
      <c r="K126" s="65">
        <v>7942</v>
      </c>
      <c r="L126" s="65">
        <v>9193</v>
      </c>
      <c r="M126" s="66">
        <v>561</v>
      </c>
      <c r="N126" s="67">
        <v>471</v>
      </c>
      <c r="O126" s="60"/>
      <c r="P126" s="2"/>
      <c r="Q126" s="2"/>
      <c r="R126" s="2"/>
      <c r="S126" s="2"/>
      <c r="T126" s="2"/>
      <c r="U126" s="2"/>
      <c r="V126" s="2"/>
      <c r="W126" s="2"/>
      <c r="X126" s="2"/>
    </row>
    <row r="127" spans="2:24" ht="15.75" customHeight="1" x14ac:dyDescent="0.3">
      <c r="B127" s="2"/>
      <c r="C127" s="61" t="s">
        <v>299</v>
      </c>
      <c r="D127" s="62" t="s">
        <v>313</v>
      </c>
      <c r="E127" s="63" t="s">
        <v>314</v>
      </c>
      <c r="F127" s="64">
        <v>3287</v>
      </c>
      <c r="G127" s="65">
        <v>3510</v>
      </c>
      <c r="H127" s="65">
        <v>4245</v>
      </c>
      <c r="I127" s="65">
        <v>4767</v>
      </c>
      <c r="J127" s="65">
        <v>6160</v>
      </c>
      <c r="K127" s="65">
        <v>7942</v>
      </c>
      <c r="L127" s="65">
        <v>9193</v>
      </c>
      <c r="M127" s="66">
        <v>561</v>
      </c>
      <c r="N127" s="67">
        <v>471</v>
      </c>
      <c r="O127" s="60"/>
      <c r="P127" s="2"/>
      <c r="Q127" s="2"/>
      <c r="R127" s="2"/>
      <c r="S127" s="2"/>
      <c r="T127" s="2"/>
      <c r="U127" s="2"/>
      <c r="V127" s="2"/>
      <c r="W127" s="2"/>
      <c r="X127" s="2"/>
    </row>
    <row r="128" spans="2:24" ht="15.75" customHeight="1" x14ac:dyDescent="0.3">
      <c r="B128" s="2"/>
      <c r="C128" s="61" t="s">
        <v>299</v>
      </c>
      <c r="D128" s="62" t="s">
        <v>315</v>
      </c>
      <c r="E128" s="63" t="s">
        <v>316</v>
      </c>
      <c r="F128" s="64">
        <v>4849.5</v>
      </c>
      <c r="G128" s="65">
        <v>5217</v>
      </c>
      <c r="H128" s="65">
        <v>6145.5</v>
      </c>
      <c r="I128" s="65">
        <v>7044</v>
      </c>
      <c r="J128" s="65">
        <v>9156</v>
      </c>
      <c r="K128" s="65">
        <v>11052</v>
      </c>
      <c r="L128" s="65">
        <v>12784.5</v>
      </c>
      <c r="M128" s="66">
        <v>774</v>
      </c>
      <c r="N128" s="67">
        <v>642</v>
      </c>
      <c r="O128" s="60"/>
      <c r="P128" s="2"/>
      <c r="Q128" s="2"/>
      <c r="R128" s="2"/>
      <c r="S128" s="2"/>
      <c r="T128" s="2"/>
      <c r="U128" s="2"/>
      <c r="V128" s="2"/>
      <c r="W128" s="2"/>
      <c r="X128" s="2"/>
    </row>
    <row r="129" spans="2:24" ht="15.75" customHeight="1" x14ac:dyDescent="0.3">
      <c r="B129" s="2"/>
      <c r="C129" s="61" t="s">
        <v>299</v>
      </c>
      <c r="D129" s="62" t="s">
        <v>317</v>
      </c>
      <c r="E129" s="63" t="s">
        <v>318</v>
      </c>
      <c r="F129" s="64">
        <v>3287</v>
      </c>
      <c r="G129" s="65">
        <v>3510</v>
      </c>
      <c r="H129" s="65">
        <v>4245</v>
      </c>
      <c r="I129" s="65">
        <v>4767</v>
      </c>
      <c r="J129" s="65">
        <v>6160</v>
      </c>
      <c r="K129" s="65">
        <v>7942</v>
      </c>
      <c r="L129" s="65">
        <v>9193</v>
      </c>
      <c r="M129" s="66">
        <v>561</v>
      </c>
      <c r="N129" s="67">
        <v>471</v>
      </c>
      <c r="O129" s="60"/>
      <c r="P129" s="2"/>
      <c r="Q129" s="2"/>
      <c r="R129" s="2"/>
      <c r="S129" s="2"/>
      <c r="T129" s="2"/>
      <c r="U129" s="2"/>
      <c r="V129" s="2"/>
      <c r="W129" s="2"/>
      <c r="X129" s="2"/>
    </row>
    <row r="130" spans="2:24" ht="15.75" customHeight="1" x14ac:dyDescent="0.3">
      <c r="B130" s="2"/>
      <c r="C130" s="61" t="s">
        <v>299</v>
      </c>
      <c r="D130" s="62" t="s">
        <v>319</v>
      </c>
      <c r="E130" s="63" t="s">
        <v>320</v>
      </c>
      <c r="F130" s="64">
        <v>4849.5</v>
      </c>
      <c r="G130" s="65">
        <v>5217</v>
      </c>
      <c r="H130" s="65">
        <v>6145.5</v>
      </c>
      <c r="I130" s="65">
        <v>7044</v>
      </c>
      <c r="J130" s="65">
        <v>9156</v>
      </c>
      <c r="K130" s="65">
        <v>11052</v>
      </c>
      <c r="L130" s="65">
        <v>12784.5</v>
      </c>
      <c r="M130" s="66">
        <v>774</v>
      </c>
      <c r="N130" s="67">
        <v>642</v>
      </c>
      <c r="O130" s="60"/>
      <c r="P130" s="2"/>
      <c r="Q130" s="2"/>
      <c r="R130" s="2"/>
      <c r="S130" s="2"/>
      <c r="T130" s="2"/>
      <c r="U130" s="2"/>
      <c r="V130" s="2"/>
      <c r="W130" s="2"/>
      <c r="X130" s="2"/>
    </row>
    <row r="131" spans="2:24" ht="15.75" customHeight="1" x14ac:dyDescent="0.3">
      <c r="B131" s="2"/>
      <c r="C131" s="61" t="s">
        <v>299</v>
      </c>
      <c r="D131" s="62" t="s">
        <v>321</v>
      </c>
      <c r="E131" s="63" t="s">
        <v>322</v>
      </c>
      <c r="F131" s="64">
        <v>4930.5</v>
      </c>
      <c r="G131" s="65">
        <v>5265</v>
      </c>
      <c r="H131" s="65">
        <v>6367.5</v>
      </c>
      <c r="I131" s="65">
        <v>7150.5</v>
      </c>
      <c r="J131" s="65">
        <v>9240</v>
      </c>
      <c r="K131" s="65">
        <v>11913</v>
      </c>
      <c r="L131" s="65">
        <v>13789.5</v>
      </c>
      <c r="M131" s="66">
        <v>841.5</v>
      </c>
      <c r="N131" s="67">
        <v>706.5</v>
      </c>
      <c r="O131" s="60"/>
      <c r="P131" s="2"/>
      <c r="Q131" s="2"/>
      <c r="R131" s="2"/>
      <c r="S131" s="2"/>
      <c r="T131" s="2"/>
      <c r="U131" s="2"/>
      <c r="V131" s="2"/>
      <c r="W131" s="2"/>
      <c r="X131" s="2"/>
    </row>
    <row r="132" spans="2:24" ht="15.75" customHeight="1" x14ac:dyDescent="0.3">
      <c r="B132" s="2"/>
      <c r="C132" s="61" t="s">
        <v>299</v>
      </c>
      <c r="D132" s="62" t="s">
        <v>323</v>
      </c>
      <c r="E132" s="63" t="s">
        <v>324</v>
      </c>
      <c r="F132" s="64">
        <v>3287</v>
      </c>
      <c r="G132" s="65">
        <v>3510</v>
      </c>
      <c r="H132" s="65">
        <v>4245</v>
      </c>
      <c r="I132" s="65">
        <v>4767</v>
      </c>
      <c r="J132" s="65">
        <v>6160</v>
      </c>
      <c r="K132" s="65">
        <v>7942</v>
      </c>
      <c r="L132" s="65">
        <v>9193</v>
      </c>
      <c r="M132" s="66">
        <v>561</v>
      </c>
      <c r="N132" s="67">
        <v>471</v>
      </c>
      <c r="O132" s="60"/>
      <c r="P132" s="2"/>
      <c r="Q132" s="2"/>
      <c r="R132" s="2"/>
      <c r="S132" s="2"/>
      <c r="T132" s="2"/>
      <c r="U132" s="2"/>
      <c r="V132" s="2"/>
      <c r="W132" s="2"/>
      <c r="X132" s="2"/>
    </row>
    <row r="133" spans="2:24" ht="15.75" customHeight="1" x14ac:dyDescent="0.3">
      <c r="B133" s="2"/>
      <c r="C133" s="61" t="s">
        <v>299</v>
      </c>
      <c r="D133" s="62" t="s">
        <v>325</v>
      </c>
      <c r="E133" s="63" t="s">
        <v>326</v>
      </c>
      <c r="F133" s="64">
        <v>3287</v>
      </c>
      <c r="G133" s="65">
        <v>3510</v>
      </c>
      <c r="H133" s="65">
        <v>4245</v>
      </c>
      <c r="I133" s="65">
        <v>4767</v>
      </c>
      <c r="J133" s="65">
        <v>6160</v>
      </c>
      <c r="K133" s="65">
        <v>7942</v>
      </c>
      <c r="L133" s="65">
        <v>9193</v>
      </c>
      <c r="M133" s="66">
        <v>561</v>
      </c>
      <c r="N133" s="67">
        <v>471</v>
      </c>
      <c r="O133" s="60"/>
      <c r="P133" s="2"/>
      <c r="Q133" s="2"/>
      <c r="R133" s="2"/>
      <c r="S133" s="2"/>
      <c r="T133" s="2"/>
      <c r="U133" s="2"/>
      <c r="V133" s="2"/>
      <c r="W133" s="2"/>
      <c r="X133" s="2"/>
    </row>
    <row r="134" spans="2:24" ht="15.75" customHeight="1" x14ac:dyDescent="0.3">
      <c r="B134" s="2"/>
      <c r="C134" s="61" t="s">
        <v>299</v>
      </c>
      <c r="D134" s="62" t="s">
        <v>327</v>
      </c>
      <c r="E134" s="63" t="s">
        <v>328</v>
      </c>
      <c r="F134" s="64">
        <v>3287</v>
      </c>
      <c r="G134" s="65">
        <v>3510</v>
      </c>
      <c r="H134" s="65">
        <v>4245</v>
      </c>
      <c r="I134" s="65">
        <v>4767</v>
      </c>
      <c r="J134" s="65">
        <v>6160</v>
      </c>
      <c r="K134" s="65">
        <v>7942</v>
      </c>
      <c r="L134" s="65">
        <v>9193</v>
      </c>
      <c r="M134" s="66">
        <v>561</v>
      </c>
      <c r="N134" s="67">
        <v>471</v>
      </c>
      <c r="O134" s="60"/>
      <c r="P134" s="2"/>
      <c r="Q134" s="2"/>
      <c r="R134" s="2"/>
      <c r="S134" s="2"/>
      <c r="T134" s="2"/>
      <c r="U134" s="2"/>
      <c r="V134" s="2"/>
      <c r="W134" s="2"/>
      <c r="X134" s="2"/>
    </row>
    <row r="135" spans="2:24" ht="15.75" customHeight="1" x14ac:dyDescent="0.3">
      <c r="B135" s="2"/>
      <c r="C135" s="61" t="s">
        <v>299</v>
      </c>
      <c r="D135" s="62" t="s">
        <v>329</v>
      </c>
      <c r="E135" s="63" t="s">
        <v>330</v>
      </c>
      <c r="F135" s="64">
        <v>3287</v>
      </c>
      <c r="G135" s="65">
        <v>3510</v>
      </c>
      <c r="H135" s="65">
        <v>4245</v>
      </c>
      <c r="I135" s="65">
        <v>4767</v>
      </c>
      <c r="J135" s="65">
        <v>6160</v>
      </c>
      <c r="K135" s="65">
        <v>7942</v>
      </c>
      <c r="L135" s="65">
        <v>9193</v>
      </c>
      <c r="M135" s="66">
        <v>561</v>
      </c>
      <c r="N135" s="67">
        <v>471</v>
      </c>
      <c r="O135" s="60"/>
      <c r="P135" s="2"/>
      <c r="Q135" s="2"/>
      <c r="R135" s="2"/>
      <c r="S135" s="2"/>
      <c r="T135" s="2"/>
      <c r="U135" s="2"/>
      <c r="V135" s="2"/>
      <c r="W135" s="2"/>
      <c r="X135" s="2"/>
    </row>
    <row r="136" spans="2:24" ht="15.75" customHeight="1" x14ac:dyDescent="0.3">
      <c r="B136" s="2"/>
      <c r="C136" s="61" t="s">
        <v>299</v>
      </c>
      <c r="D136" s="62" t="s">
        <v>331</v>
      </c>
      <c r="E136" s="63" t="s">
        <v>332</v>
      </c>
      <c r="F136" s="64">
        <v>4849.5</v>
      </c>
      <c r="G136" s="65">
        <v>5217</v>
      </c>
      <c r="H136" s="65">
        <v>6145.5</v>
      </c>
      <c r="I136" s="65">
        <v>7044</v>
      </c>
      <c r="J136" s="65">
        <v>9156</v>
      </c>
      <c r="K136" s="65">
        <v>11052</v>
      </c>
      <c r="L136" s="65">
        <v>12784.5</v>
      </c>
      <c r="M136" s="66">
        <v>774</v>
      </c>
      <c r="N136" s="67">
        <v>642</v>
      </c>
      <c r="O136" s="60"/>
      <c r="P136" s="2"/>
      <c r="Q136" s="2"/>
      <c r="R136" s="2"/>
      <c r="S136" s="2"/>
      <c r="T136" s="2"/>
      <c r="U136" s="2"/>
      <c r="V136" s="2"/>
      <c r="W136" s="2"/>
      <c r="X136" s="2"/>
    </row>
    <row r="137" spans="2:24" ht="15.75" customHeight="1" x14ac:dyDescent="0.3">
      <c r="B137" s="2"/>
      <c r="C137" s="61" t="s">
        <v>299</v>
      </c>
      <c r="D137" s="62" t="s">
        <v>333</v>
      </c>
      <c r="E137" s="63" t="s">
        <v>334</v>
      </c>
      <c r="F137" s="64">
        <v>3287</v>
      </c>
      <c r="G137" s="65">
        <v>3510</v>
      </c>
      <c r="H137" s="65">
        <v>4245</v>
      </c>
      <c r="I137" s="65">
        <v>4767</v>
      </c>
      <c r="J137" s="65">
        <v>6160</v>
      </c>
      <c r="K137" s="65">
        <v>7942</v>
      </c>
      <c r="L137" s="65">
        <v>9193</v>
      </c>
      <c r="M137" s="66">
        <v>561</v>
      </c>
      <c r="N137" s="67">
        <v>471</v>
      </c>
      <c r="O137" s="60"/>
      <c r="P137" s="2"/>
      <c r="Q137" s="2"/>
      <c r="R137" s="2"/>
      <c r="S137" s="2"/>
      <c r="T137" s="2"/>
      <c r="U137" s="2"/>
      <c r="V137" s="2"/>
      <c r="W137" s="2"/>
      <c r="X137" s="2"/>
    </row>
    <row r="138" spans="2:24" ht="15.75" customHeight="1" x14ac:dyDescent="0.3">
      <c r="B138" s="2"/>
      <c r="C138" s="61" t="s">
        <v>299</v>
      </c>
      <c r="D138" s="62" t="s">
        <v>335</v>
      </c>
      <c r="E138" s="63" t="s">
        <v>336</v>
      </c>
      <c r="F138" s="64">
        <v>3287</v>
      </c>
      <c r="G138" s="65">
        <v>3510</v>
      </c>
      <c r="H138" s="65">
        <v>4245</v>
      </c>
      <c r="I138" s="65">
        <v>4767</v>
      </c>
      <c r="J138" s="65">
        <v>6160</v>
      </c>
      <c r="K138" s="65">
        <v>7942</v>
      </c>
      <c r="L138" s="65">
        <v>9193</v>
      </c>
      <c r="M138" s="66">
        <v>561</v>
      </c>
      <c r="N138" s="67">
        <v>471</v>
      </c>
      <c r="O138" s="60"/>
      <c r="P138" s="2"/>
      <c r="Q138" s="2"/>
      <c r="R138" s="2"/>
      <c r="S138" s="2"/>
      <c r="T138" s="2"/>
      <c r="U138" s="2"/>
      <c r="V138" s="2"/>
      <c r="W138" s="2"/>
      <c r="X138" s="2"/>
    </row>
    <row r="139" spans="2:24" ht="15.75" customHeight="1" x14ac:dyDescent="0.3">
      <c r="B139" s="2"/>
      <c r="C139" s="61" t="s">
        <v>299</v>
      </c>
      <c r="D139" s="62" t="s">
        <v>337</v>
      </c>
      <c r="E139" s="63" t="s">
        <v>338</v>
      </c>
      <c r="F139" s="64">
        <v>4930.5</v>
      </c>
      <c r="G139" s="65">
        <v>5265</v>
      </c>
      <c r="H139" s="65">
        <v>6367.5</v>
      </c>
      <c r="I139" s="65">
        <v>7150.5</v>
      </c>
      <c r="J139" s="65">
        <v>9240</v>
      </c>
      <c r="K139" s="65">
        <v>11913</v>
      </c>
      <c r="L139" s="65">
        <v>13789.5</v>
      </c>
      <c r="M139" s="66">
        <v>841.5</v>
      </c>
      <c r="N139" s="67">
        <v>706.5</v>
      </c>
      <c r="O139" s="60"/>
      <c r="P139" s="2"/>
      <c r="Q139" s="2"/>
      <c r="R139" s="2"/>
      <c r="S139" s="2"/>
      <c r="T139" s="2"/>
      <c r="U139" s="2"/>
      <c r="V139" s="2"/>
      <c r="W139" s="2"/>
      <c r="X139" s="2"/>
    </row>
    <row r="140" spans="2:24" ht="15.75" customHeight="1" x14ac:dyDescent="0.3">
      <c r="B140" s="2"/>
      <c r="C140" s="61" t="s">
        <v>299</v>
      </c>
      <c r="D140" s="62" t="s">
        <v>339</v>
      </c>
      <c r="E140" s="63" t="s">
        <v>340</v>
      </c>
      <c r="F140" s="64">
        <v>3287</v>
      </c>
      <c r="G140" s="65">
        <v>3510</v>
      </c>
      <c r="H140" s="65">
        <v>4245</v>
      </c>
      <c r="I140" s="65">
        <v>4767</v>
      </c>
      <c r="J140" s="65">
        <v>6160</v>
      </c>
      <c r="K140" s="65">
        <v>7942</v>
      </c>
      <c r="L140" s="65">
        <v>9193</v>
      </c>
      <c r="M140" s="66">
        <v>561</v>
      </c>
      <c r="N140" s="67">
        <v>471</v>
      </c>
      <c r="O140" s="60"/>
      <c r="P140" s="2"/>
      <c r="Q140" s="2"/>
      <c r="R140" s="2"/>
      <c r="S140" s="2"/>
      <c r="T140" s="2"/>
      <c r="U140" s="2"/>
      <c r="V140" s="2"/>
      <c r="W140" s="2"/>
      <c r="X140" s="2"/>
    </row>
    <row r="141" spans="2:24" ht="15.75" customHeight="1" x14ac:dyDescent="0.3">
      <c r="B141" s="2"/>
      <c r="C141" s="61" t="s">
        <v>299</v>
      </c>
      <c r="D141" s="62" t="s">
        <v>341</v>
      </c>
      <c r="E141" s="63" t="s">
        <v>342</v>
      </c>
      <c r="F141" s="64">
        <v>3287</v>
      </c>
      <c r="G141" s="65">
        <v>3510</v>
      </c>
      <c r="H141" s="65">
        <v>4245</v>
      </c>
      <c r="I141" s="65">
        <v>4767</v>
      </c>
      <c r="J141" s="65">
        <v>6160</v>
      </c>
      <c r="K141" s="65">
        <v>7942</v>
      </c>
      <c r="L141" s="65">
        <v>9193</v>
      </c>
      <c r="M141" s="66">
        <v>561</v>
      </c>
      <c r="N141" s="67">
        <v>471</v>
      </c>
      <c r="O141" s="60"/>
      <c r="P141" s="2"/>
      <c r="Q141" s="2"/>
      <c r="R141" s="2"/>
      <c r="S141" s="2"/>
      <c r="T141" s="2"/>
      <c r="U141" s="2"/>
      <c r="V141" s="2"/>
      <c r="W141" s="2"/>
      <c r="X141" s="2"/>
    </row>
    <row r="142" spans="2:24" ht="15.75" customHeight="1" x14ac:dyDescent="0.3">
      <c r="B142" s="2"/>
      <c r="C142" s="61" t="s">
        <v>299</v>
      </c>
      <c r="D142" s="62" t="s">
        <v>343</v>
      </c>
      <c r="E142" s="63" t="s">
        <v>344</v>
      </c>
      <c r="F142" s="64">
        <v>4930.5</v>
      </c>
      <c r="G142" s="65">
        <v>5265</v>
      </c>
      <c r="H142" s="65">
        <v>6367.5</v>
      </c>
      <c r="I142" s="65">
        <v>7150.5</v>
      </c>
      <c r="J142" s="65">
        <v>9240</v>
      </c>
      <c r="K142" s="65">
        <v>11913</v>
      </c>
      <c r="L142" s="65">
        <v>13789.5</v>
      </c>
      <c r="M142" s="66">
        <v>841.5</v>
      </c>
      <c r="N142" s="67">
        <v>706.5</v>
      </c>
      <c r="O142" s="60"/>
      <c r="P142" s="2"/>
      <c r="Q142" s="2"/>
      <c r="R142" s="2"/>
      <c r="S142" s="2"/>
      <c r="T142" s="2"/>
      <c r="U142" s="2"/>
      <c r="V142" s="2"/>
      <c r="W142" s="2"/>
      <c r="X142" s="2"/>
    </row>
    <row r="143" spans="2:24" ht="15.75" customHeight="1" x14ac:dyDescent="0.3">
      <c r="B143" s="2"/>
      <c r="C143" s="61" t="s">
        <v>299</v>
      </c>
      <c r="D143" s="62" t="s">
        <v>345</v>
      </c>
      <c r="E143" s="63" t="s">
        <v>346</v>
      </c>
      <c r="F143" s="64">
        <v>3287</v>
      </c>
      <c r="G143" s="65">
        <v>3510</v>
      </c>
      <c r="H143" s="65">
        <v>4245</v>
      </c>
      <c r="I143" s="65">
        <v>4767</v>
      </c>
      <c r="J143" s="65">
        <v>6160</v>
      </c>
      <c r="K143" s="65">
        <v>7942</v>
      </c>
      <c r="L143" s="65">
        <v>9193</v>
      </c>
      <c r="M143" s="66">
        <v>561</v>
      </c>
      <c r="N143" s="67">
        <v>471</v>
      </c>
      <c r="O143" s="60"/>
      <c r="P143" s="2"/>
      <c r="Q143" s="2"/>
      <c r="R143" s="2"/>
      <c r="S143" s="2"/>
      <c r="T143" s="2"/>
      <c r="U143" s="2"/>
      <c r="V143" s="2"/>
      <c r="W143" s="2"/>
      <c r="X143" s="2"/>
    </row>
    <row r="144" spans="2:24" ht="15.75" customHeight="1" x14ac:dyDescent="0.3">
      <c r="B144" s="2"/>
      <c r="C144" s="61" t="s">
        <v>299</v>
      </c>
      <c r="D144" s="62" t="s">
        <v>347</v>
      </c>
      <c r="E144" s="63" t="s">
        <v>348</v>
      </c>
      <c r="F144" s="64">
        <v>3287</v>
      </c>
      <c r="G144" s="65">
        <v>3510</v>
      </c>
      <c r="H144" s="65">
        <v>4245</v>
      </c>
      <c r="I144" s="65">
        <v>4767</v>
      </c>
      <c r="J144" s="65">
        <v>6160</v>
      </c>
      <c r="K144" s="65">
        <v>7942</v>
      </c>
      <c r="L144" s="65">
        <v>9193</v>
      </c>
      <c r="M144" s="66">
        <v>561</v>
      </c>
      <c r="N144" s="67">
        <v>471</v>
      </c>
      <c r="O144" s="60"/>
      <c r="P144" s="2"/>
      <c r="Q144" s="2"/>
      <c r="R144" s="2"/>
      <c r="S144" s="2"/>
      <c r="T144" s="2"/>
      <c r="U144" s="2"/>
      <c r="V144" s="2"/>
      <c r="W144" s="2"/>
      <c r="X144" s="2"/>
    </row>
    <row r="145" spans="2:24" ht="15.75" customHeight="1" x14ac:dyDescent="0.3">
      <c r="B145" s="2"/>
      <c r="C145" s="61" t="s">
        <v>299</v>
      </c>
      <c r="D145" s="62" t="s">
        <v>349</v>
      </c>
      <c r="E145" s="63" t="s">
        <v>350</v>
      </c>
      <c r="F145" s="64">
        <v>4930.5</v>
      </c>
      <c r="G145" s="65">
        <v>5265</v>
      </c>
      <c r="H145" s="65">
        <v>6367.5</v>
      </c>
      <c r="I145" s="65">
        <v>7150.5</v>
      </c>
      <c r="J145" s="65">
        <v>9240</v>
      </c>
      <c r="K145" s="65">
        <v>11913</v>
      </c>
      <c r="L145" s="65">
        <v>13789.5</v>
      </c>
      <c r="M145" s="66">
        <v>841.5</v>
      </c>
      <c r="N145" s="67">
        <v>706.5</v>
      </c>
      <c r="O145" s="60"/>
      <c r="P145" s="2"/>
      <c r="Q145" s="2"/>
      <c r="R145" s="2"/>
      <c r="S145" s="2"/>
      <c r="T145" s="2"/>
      <c r="U145" s="2"/>
      <c r="V145" s="2"/>
      <c r="W145" s="2"/>
      <c r="X145" s="2"/>
    </row>
    <row r="146" spans="2:24" ht="15.75" customHeight="1" x14ac:dyDescent="0.3">
      <c r="B146" s="2"/>
      <c r="C146" s="61" t="s">
        <v>299</v>
      </c>
      <c r="D146" s="62" t="s">
        <v>351</v>
      </c>
      <c r="E146" s="63" t="s">
        <v>352</v>
      </c>
      <c r="F146" s="64">
        <v>3287</v>
      </c>
      <c r="G146" s="65">
        <v>3510</v>
      </c>
      <c r="H146" s="65">
        <v>4245</v>
      </c>
      <c r="I146" s="65">
        <v>4767</v>
      </c>
      <c r="J146" s="65">
        <v>6160</v>
      </c>
      <c r="K146" s="65">
        <v>7942</v>
      </c>
      <c r="L146" s="65">
        <v>9193</v>
      </c>
      <c r="M146" s="66">
        <v>561</v>
      </c>
      <c r="N146" s="67">
        <v>471</v>
      </c>
      <c r="O146" s="60"/>
      <c r="P146" s="2"/>
      <c r="Q146" s="2"/>
      <c r="R146" s="2"/>
      <c r="S146" s="2"/>
      <c r="T146" s="2"/>
      <c r="U146" s="2"/>
      <c r="V146" s="2"/>
      <c r="W146" s="2"/>
      <c r="X146" s="2"/>
    </row>
    <row r="147" spans="2:24" ht="15.75" customHeight="1" x14ac:dyDescent="0.3">
      <c r="B147" s="2"/>
      <c r="C147" s="61" t="s">
        <v>299</v>
      </c>
      <c r="D147" s="62" t="s">
        <v>353</v>
      </c>
      <c r="E147" s="63" t="s">
        <v>354</v>
      </c>
      <c r="F147" s="64">
        <v>3287</v>
      </c>
      <c r="G147" s="65">
        <v>3510</v>
      </c>
      <c r="H147" s="65">
        <v>4245</v>
      </c>
      <c r="I147" s="65">
        <v>4767</v>
      </c>
      <c r="J147" s="65">
        <v>6160</v>
      </c>
      <c r="K147" s="65">
        <v>7942</v>
      </c>
      <c r="L147" s="65">
        <v>9193</v>
      </c>
      <c r="M147" s="66">
        <v>561</v>
      </c>
      <c r="N147" s="67">
        <v>471</v>
      </c>
      <c r="O147" s="60"/>
      <c r="P147" s="2"/>
      <c r="Q147" s="2"/>
      <c r="R147" s="2"/>
      <c r="S147" s="2"/>
      <c r="T147" s="2"/>
      <c r="U147" s="2"/>
      <c r="V147" s="2"/>
      <c r="W147" s="2"/>
      <c r="X147" s="2"/>
    </row>
    <row r="148" spans="2:24" ht="15.75" customHeight="1" x14ac:dyDescent="0.3">
      <c r="B148" s="2"/>
      <c r="C148" s="61" t="s">
        <v>299</v>
      </c>
      <c r="D148" s="62" t="s">
        <v>355</v>
      </c>
      <c r="E148" s="63" t="s">
        <v>356</v>
      </c>
      <c r="F148" s="64">
        <v>3287</v>
      </c>
      <c r="G148" s="65">
        <v>3510</v>
      </c>
      <c r="H148" s="65">
        <v>4245</v>
      </c>
      <c r="I148" s="65">
        <v>4767</v>
      </c>
      <c r="J148" s="65">
        <v>6160</v>
      </c>
      <c r="K148" s="65">
        <v>7942</v>
      </c>
      <c r="L148" s="65">
        <v>9193</v>
      </c>
      <c r="M148" s="66">
        <v>561</v>
      </c>
      <c r="N148" s="67">
        <v>471</v>
      </c>
      <c r="O148" s="60"/>
      <c r="P148" s="2"/>
      <c r="Q148" s="2"/>
      <c r="R148" s="2"/>
      <c r="S148" s="2"/>
      <c r="T148" s="2"/>
      <c r="U148" s="2"/>
      <c r="V148" s="2"/>
      <c r="W148" s="2"/>
      <c r="X148" s="2"/>
    </row>
    <row r="149" spans="2:24" ht="15.75" customHeight="1" x14ac:dyDescent="0.3">
      <c r="B149" s="2"/>
      <c r="C149" s="61" t="s">
        <v>299</v>
      </c>
      <c r="D149" s="62" t="s">
        <v>357</v>
      </c>
      <c r="E149" s="63" t="s">
        <v>358</v>
      </c>
      <c r="F149" s="64">
        <v>3287</v>
      </c>
      <c r="G149" s="65">
        <v>3510</v>
      </c>
      <c r="H149" s="65">
        <v>4245</v>
      </c>
      <c r="I149" s="65">
        <v>4767</v>
      </c>
      <c r="J149" s="65">
        <v>6160</v>
      </c>
      <c r="K149" s="65">
        <v>7942</v>
      </c>
      <c r="L149" s="65">
        <v>9193</v>
      </c>
      <c r="M149" s="66">
        <v>561</v>
      </c>
      <c r="N149" s="67">
        <v>471</v>
      </c>
      <c r="O149" s="60"/>
      <c r="P149" s="2"/>
      <c r="Q149" s="2"/>
      <c r="R149" s="2"/>
      <c r="S149" s="2"/>
      <c r="T149" s="2"/>
      <c r="U149" s="2"/>
      <c r="V149" s="2"/>
      <c r="W149" s="2"/>
      <c r="X149" s="2"/>
    </row>
    <row r="150" spans="2:24" ht="15.75" customHeight="1" x14ac:dyDescent="0.3">
      <c r="B150" s="2"/>
      <c r="C150" s="61" t="s">
        <v>299</v>
      </c>
      <c r="D150" s="62" t="s">
        <v>359</v>
      </c>
      <c r="E150" s="63" t="s">
        <v>360</v>
      </c>
      <c r="F150" s="64">
        <v>3287</v>
      </c>
      <c r="G150" s="65">
        <v>3510</v>
      </c>
      <c r="H150" s="65">
        <v>4245</v>
      </c>
      <c r="I150" s="65">
        <v>4767</v>
      </c>
      <c r="J150" s="65">
        <v>6160</v>
      </c>
      <c r="K150" s="65">
        <v>7942</v>
      </c>
      <c r="L150" s="65">
        <v>9193</v>
      </c>
      <c r="M150" s="66">
        <v>561</v>
      </c>
      <c r="N150" s="67">
        <v>471</v>
      </c>
      <c r="O150" s="60"/>
      <c r="P150" s="2"/>
      <c r="Q150" s="2"/>
      <c r="R150" s="2"/>
      <c r="S150" s="2"/>
      <c r="T150" s="2"/>
      <c r="U150" s="2"/>
      <c r="V150" s="2"/>
      <c r="W150" s="2"/>
      <c r="X150" s="2"/>
    </row>
    <row r="151" spans="2:24" ht="15.75" customHeight="1" x14ac:dyDescent="0.3">
      <c r="B151" s="2"/>
      <c r="C151" s="61" t="s">
        <v>299</v>
      </c>
      <c r="D151" s="62" t="s">
        <v>361</v>
      </c>
      <c r="E151" s="63" t="s">
        <v>362</v>
      </c>
      <c r="F151" s="64">
        <v>4930.5</v>
      </c>
      <c r="G151" s="65">
        <v>5265</v>
      </c>
      <c r="H151" s="65">
        <v>6367.5</v>
      </c>
      <c r="I151" s="65">
        <v>7150.5</v>
      </c>
      <c r="J151" s="65">
        <v>9240</v>
      </c>
      <c r="K151" s="65">
        <v>11913</v>
      </c>
      <c r="L151" s="65">
        <v>13789.5</v>
      </c>
      <c r="M151" s="66">
        <v>841.5</v>
      </c>
      <c r="N151" s="67">
        <v>706.5</v>
      </c>
      <c r="O151" s="60"/>
      <c r="P151" s="2"/>
      <c r="Q151" s="2"/>
      <c r="R151" s="2"/>
      <c r="S151" s="2"/>
      <c r="T151" s="2"/>
      <c r="U151" s="2"/>
      <c r="V151" s="2"/>
      <c r="W151" s="2"/>
      <c r="X151" s="2"/>
    </row>
    <row r="152" spans="2:24" ht="15.75" customHeight="1" x14ac:dyDescent="0.3">
      <c r="B152" s="2"/>
      <c r="C152" s="68" t="s">
        <v>299</v>
      </c>
      <c r="D152" s="69" t="s">
        <v>363</v>
      </c>
      <c r="E152" s="70" t="s">
        <v>364</v>
      </c>
      <c r="F152" s="71">
        <v>3287</v>
      </c>
      <c r="G152" s="72">
        <v>3510</v>
      </c>
      <c r="H152" s="72">
        <v>4245</v>
      </c>
      <c r="I152" s="72">
        <v>4767</v>
      </c>
      <c r="J152" s="72">
        <v>6160</v>
      </c>
      <c r="K152" s="72">
        <v>7942</v>
      </c>
      <c r="L152" s="72">
        <v>9193</v>
      </c>
      <c r="M152" s="73">
        <v>561</v>
      </c>
      <c r="N152" s="74">
        <v>471</v>
      </c>
      <c r="O152" s="60"/>
      <c r="P152" s="2"/>
      <c r="Q152" s="2"/>
      <c r="R152" s="2"/>
      <c r="S152" s="2"/>
      <c r="T152" s="2"/>
      <c r="U152" s="2"/>
      <c r="V152" s="2"/>
      <c r="W152" s="2"/>
      <c r="X152" s="2"/>
    </row>
    <row r="153" spans="2:24" ht="15.75" customHeight="1" x14ac:dyDescent="0.3">
      <c r="B153" s="2"/>
      <c r="C153" s="53" t="s">
        <v>365</v>
      </c>
      <c r="D153" s="54" t="s">
        <v>366</v>
      </c>
      <c r="E153" s="55" t="s">
        <v>38</v>
      </c>
      <c r="F153" s="56">
        <v>3443</v>
      </c>
      <c r="G153" s="57">
        <v>3723</v>
      </c>
      <c r="H153" s="57">
        <v>4457</v>
      </c>
      <c r="I153" s="57">
        <v>4933</v>
      </c>
      <c r="J153" s="57">
        <v>6464</v>
      </c>
      <c r="K153" s="57">
        <v>8400</v>
      </c>
      <c r="L153" s="57">
        <v>9684</v>
      </c>
      <c r="M153" s="58">
        <v>571</v>
      </c>
      <c r="N153" s="59">
        <v>486</v>
      </c>
      <c r="O153" s="60"/>
      <c r="P153" s="2"/>
      <c r="Q153" s="2"/>
      <c r="R153" s="2"/>
      <c r="S153" s="2"/>
      <c r="T153" s="2"/>
      <c r="U153" s="2"/>
      <c r="V153" s="2"/>
      <c r="W153" s="2"/>
      <c r="X153" s="2"/>
    </row>
    <row r="154" spans="2:24" ht="15.75" customHeight="1" x14ac:dyDescent="0.3">
      <c r="B154" s="2"/>
      <c r="C154" s="61" t="s">
        <v>365</v>
      </c>
      <c r="D154" s="62" t="s">
        <v>367</v>
      </c>
      <c r="E154" s="63" t="s">
        <v>40</v>
      </c>
      <c r="F154" s="64">
        <v>3443</v>
      </c>
      <c r="G154" s="65">
        <v>3723</v>
      </c>
      <c r="H154" s="65">
        <v>4457</v>
      </c>
      <c r="I154" s="65">
        <v>4933</v>
      </c>
      <c r="J154" s="65">
        <v>6464</v>
      </c>
      <c r="K154" s="65">
        <v>8400</v>
      </c>
      <c r="L154" s="65">
        <v>9684</v>
      </c>
      <c r="M154" s="66">
        <v>571</v>
      </c>
      <c r="N154" s="67">
        <v>486</v>
      </c>
      <c r="O154" s="60"/>
      <c r="P154" s="2"/>
      <c r="Q154" s="2"/>
      <c r="R154" s="2"/>
      <c r="S154" s="2"/>
      <c r="T154" s="2"/>
      <c r="U154" s="2"/>
      <c r="V154" s="2"/>
      <c r="W154" s="2"/>
      <c r="X154" s="2"/>
    </row>
    <row r="155" spans="2:24" ht="15.75" customHeight="1" x14ac:dyDescent="0.3">
      <c r="B155" s="2"/>
      <c r="C155" s="61" t="s">
        <v>365</v>
      </c>
      <c r="D155" s="62" t="s">
        <v>368</v>
      </c>
      <c r="E155" s="63" t="s">
        <v>369</v>
      </c>
      <c r="F155" s="64">
        <v>5164.5</v>
      </c>
      <c r="G155" s="65">
        <v>5584.5</v>
      </c>
      <c r="H155" s="65">
        <v>6685.5</v>
      </c>
      <c r="I155" s="65">
        <v>7399.5</v>
      </c>
      <c r="J155" s="65">
        <v>9696</v>
      </c>
      <c r="K155" s="65">
        <v>12600</v>
      </c>
      <c r="L155" s="65">
        <v>14526</v>
      </c>
      <c r="M155" s="66">
        <v>856.5</v>
      </c>
      <c r="N155" s="67">
        <v>729</v>
      </c>
      <c r="O155" s="60"/>
      <c r="P155" s="2"/>
      <c r="Q155" s="2"/>
      <c r="R155" s="2"/>
      <c r="S155" s="2"/>
      <c r="T155" s="2"/>
      <c r="U155" s="2"/>
      <c r="V155" s="2"/>
      <c r="W155" s="2"/>
      <c r="X155" s="2"/>
    </row>
    <row r="156" spans="2:24" ht="15.75" customHeight="1" x14ac:dyDescent="0.3">
      <c r="B156" s="2"/>
      <c r="C156" s="61" t="s">
        <v>365</v>
      </c>
      <c r="D156" s="62" t="s">
        <v>370</v>
      </c>
      <c r="E156" s="63" t="s">
        <v>371</v>
      </c>
      <c r="F156" s="64">
        <v>5164.5</v>
      </c>
      <c r="G156" s="65">
        <v>5584.5</v>
      </c>
      <c r="H156" s="65">
        <v>6685.5</v>
      </c>
      <c r="I156" s="65">
        <v>7399.5</v>
      </c>
      <c r="J156" s="65">
        <v>9696</v>
      </c>
      <c r="K156" s="65">
        <v>12600</v>
      </c>
      <c r="L156" s="65">
        <v>14526</v>
      </c>
      <c r="M156" s="66">
        <v>856.5</v>
      </c>
      <c r="N156" s="67">
        <v>729</v>
      </c>
      <c r="O156" s="60"/>
      <c r="P156" s="2"/>
      <c r="Q156" s="2"/>
      <c r="R156" s="2"/>
      <c r="S156" s="2"/>
      <c r="T156" s="2"/>
      <c r="U156" s="2"/>
      <c r="V156" s="2"/>
      <c r="W156" s="2"/>
      <c r="X156" s="2"/>
    </row>
    <row r="157" spans="2:24" ht="15.75" customHeight="1" x14ac:dyDescent="0.3">
      <c r="B157" s="2"/>
      <c r="C157" s="61" t="s">
        <v>365</v>
      </c>
      <c r="D157" s="62" t="s">
        <v>372</v>
      </c>
      <c r="E157" s="63" t="s">
        <v>373</v>
      </c>
      <c r="F157" s="64">
        <v>3443</v>
      </c>
      <c r="G157" s="65">
        <v>3723</v>
      </c>
      <c r="H157" s="65">
        <v>4457</v>
      </c>
      <c r="I157" s="65">
        <v>4933</v>
      </c>
      <c r="J157" s="65">
        <v>6464</v>
      </c>
      <c r="K157" s="65">
        <v>8400</v>
      </c>
      <c r="L157" s="65">
        <v>9684</v>
      </c>
      <c r="M157" s="66">
        <v>571</v>
      </c>
      <c r="N157" s="67">
        <v>486</v>
      </c>
      <c r="O157" s="60"/>
      <c r="P157" s="2"/>
      <c r="Q157" s="2"/>
      <c r="R157" s="2"/>
      <c r="S157" s="2"/>
      <c r="T157" s="2"/>
      <c r="U157" s="2"/>
      <c r="V157" s="2"/>
      <c r="W157" s="2"/>
      <c r="X157" s="2"/>
    </row>
    <row r="158" spans="2:24" ht="15.75" customHeight="1" x14ac:dyDescent="0.3">
      <c r="B158" s="2"/>
      <c r="C158" s="61" t="s">
        <v>365</v>
      </c>
      <c r="D158" s="62" t="s">
        <v>374</v>
      </c>
      <c r="E158" s="63" t="s">
        <v>375</v>
      </c>
      <c r="F158" s="64">
        <v>3443</v>
      </c>
      <c r="G158" s="65">
        <v>3723</v>
      </c>
      <c r="H158" s="65">
        <v>4457</v>
      </c>
      <c r="I158" s="65">
        <v>4933</v>
      </c>
      <c r="J158" s="65">
        <v>6464</v>
      </c>
      <c r="K158" s="65">
        <v>8400</v>
      </c>
      <c r="L158" s="65">
        <v>9684</v>
      </c>
      <c r="M158" s="66">
        <v>571</v>
      </c>
      <c r="N158" s="67">
        <v>486</v>
      </c>
      <c r="O158" s="60"/>
      <c r="P158" s="2"/>
      <c r="Q158" s="2"/>
      <c r="R158" s="2"/>
      <c r="S158" s="2"/>
      <c r="T158" s="2"/>
      <c r="U158" s="2"/>
      <c r="V158" s="2"/>
      <c r="W158" s="2"/>
      <c r="X158" s="2"/>
    </row>
    <row r="159" spans="2:24" ht="15.75" customHeight="1" x14ac:dyDescent="0.3">
      <c r="B159" s="2"/>
      <c r="C159" s="61" t="s">
        <v>365</v>
      </c>
      <c r="D159" s="62" t="s">
        <v>376</v>
      </c>
      <c r="E159" s="63" t="s">
        <v>377</v>
      </c>
      <c r="F159" s="64">
        <v>5164.5</v>
      </c>
      <c r="G159" s="65">
        <v>5584.5</v>
      </c>
      <c r="H159" s="65">
        <v>6685.5</v>
      </c>
      <c r="I159" s="65">
        <v>7399.5</v>
      </c>
      <c r="J159" s="65">
        <v>9696</v>
      </c>
      <c r="K159" s="65">
        <v>12600</v>
      </c>
      <c r="L159" s="65">
        <v>14526</v>
      </c>
      <c r="M159" s="66">
        <v>856.5</v>
      </c>
      <c r="N159" s="67">
        <v>729</v>
      </c>
      <c r="O159" s="60"/>
      <c r="P159" s="2"/>
      <c r="Q159" s="2"/>
      <c r="R159" s="2"/>
      <c r="S159" s="2"/>
      <c r="T159" s="2"/>
      <c r="U159" s="2"/>
      <c r="V159" s="2"/>
      <c r="W159" s="2"/>
      <c r="X159" s="2"/>
    </row>
    <row r="160" spans="2:24" ht="15.75" customHeight="1" x14ac:dyDescent="0.3">
      <c r="B160" s="2"/>
      <c r="C160" s="61" t="s">
        <v>365</v>
      </c>
      <c r="D160" s="62" t="s">
        <v>378</v>
      </c>
      <c r="E160" s="63" t="s">
        <v>379</v>
      </c>
      <c r="F160" s="64">
        <v>5164.5</v>
      </c>
      <c r="G160" s="65">
        <v>5584.5</v>
      </c>
      <c r="H160" s="65">
        <v>6685.5</v>
      </c>
      <c r="I160" s="65">
        <v>7399.5</v>
      </c>
      <c r="J160" s="65">
        <v>9696</v>
      </c>
      <c r="K160" s="65">
        <v>12600</v>
      </c>
      <c r="L160" s="65">
        <v>14526</v>
      </c>
      <c r="M160" s="66">
        <v>856.5</v>
      </c>
      <c r="N160" s="67">
        <v>729</v>
      </c>
      <c r="O160" s="60"/>
      <c r="P160" s="2"/>
      <c r="Q160" s="2"/>
      <c r="R160" s="2"/>
      <c r="S160" s="2"/>
      <c r="T160" s="2"/>
      <c r="U160" s="2"/>
      <c r="V160" s="2"/>
      <c r="W160" s="2"/>
      <c r="X160" s="2"/>
    </row>
    <row r="161" spans="2:24" ht="15.75" customHeight="1" x14ac:dyDescent="0.3">
      <c r="B161" s="2"/>
      <c r="C161" s="61" t="s">
        <v>365</v>
      </c>
      <c r="D161" s="62" t="s">
        <v>380</v>
      </c>
      <c r="E161" s="63" t="s">
        <v>381</v>
      </c>
      <c r="F161" s="64">
        <v>5164.5</v>
      </c>
      <c r="G161" s="65">
        <v>5584.5</v>
      </c>
      <c r="H161" s="65">
        <v>6685.5</v>
      </c>
      <c r="I161" s="65">
        <v>7399.5</v>
      </c>
      <c r="J161" s="65">
        <v>9696</v>
      </c>
      <c r="K161" s="65">
        <v>12600</v>
      </c>
      <c r="L161" s="65">
        <v>14526</v>
      </c>
      <c r="M161" s="66">
        <v>856.5</v>
      </c>
      <c r="N161" s="67">
        <v>729</v>
      </c>
      <c r="O161" s="60"/>
      <c r="P161" s="2"/>
      <c r="Q161" s="2"/>
      <c r="R161" s="2"/>
      <c r="S161" s="2"/>
      <c r="T161" s="2"/>
      <c r="U161" s="2"/>
      <c r="V161" s="2"/>
      <c r="W161" s="2"/>
      <c r="X161" s="2"/>
    </row>
    <row r="162" spans="2:24" ht="15.75" customHeight="1" x14ac:dyDescent="0.3">
      <c r="B162" s="2"/>
      <c r="C162" s="61" t="s">
        <v>365</v>
      </c>
      <c r="D162" s="62" t="s">
        <v>382</v>
      </c>
      <c r="E162" s="63" t="s">
        <v>383</v>
      </c>
      <c r="F162" s="64">
        <v>5164.5</v>
      </c>
      <c r="G162" s="65">
        <v>5584.5</v>
      </c>
      <c r="H162" s="65">
        <v>6685.5</v>
      </c>
      <c r="I162" s="65">
        <v>7399.5</v>
      </c>
      <c r="J162" s="65">
        <v>9696</v>
      </c>
      <c r="K162" s="65">
        <v>12600</v>
      </c>
      <c r="L162" s="65">
        <v>14526</v>
      </c>
      <c r="M162" s="66">
        <v>856.5</v>
      </c>
      <c r="N162" s="67">
        <v>729</v>
      </c>
      <c r="O162" s="60"/>
      <c r="P162" s="2"/>
      <c r="Q162" s="2"/>
      <c r="R162" s="2"/>
      <c r="S162" s="2"/>
      <c r="T162" s="2"/>
      <c r="U162" s="2"/>
      <c r="V162" s="2"/>
      <c r="W162" s="2"/>
      <c r="X162" s="2"/>
    </row>
    <row r="163" spans="2:24" ht="15.75" customHeight="1" x14ac:dyDescent="0.3">
      <c r="B163" s="2"/>
      <c r="C163" s="61" t="s">
        <v>365</v>
      </c>
      <c r="D163" s="62" t="s">
        <v>384</v>
      </c>
      <c r="E163" s="63" t="s">
        <v>385</v>
      </c>
      <c r="F163" s="64">
        <v>3443</v>
      </c>
      <c r="G163" s="65">
        <v>3723</v>
      </c>
      <c r="H163" s="65">
        <v>4457</v>
      </c>
      <c r="I163" s="65">
        <v>4933</v>
      </c>
      <c r="J163" s="65">
        <v>6464</v>
      </c>
      <c r="K163" s="65">
        <v>8400</v>
      </c>
      <c r="L163" s="65">
        <v>9684</v>
      </c>
      <c r="M163" s="66">
        <v>571</v>
      </c>
      <c r="N163" s="67">
        <v>486</v>
      </c>
      <c r="O163" s="60"/>
      <c r="P163" s="2"/>
      <c r="Q163" s="2"/>
      <c r="R163" s="2"/>
      <c r="S163" s="2"/>
      <c r="T163" s="2"/>
      <c r="U163" s="2"/>
      <c r="V163" s="2"/>
      <c r="W163" s="2"/>
      <c r="X163" s="2"/>
    </row>
    <row r="164" spans="2:24" ht="15.75" customHeight="1" x14ac:dyDescent="0.3">
      <c r="B164" s="2"/>
      <c r="C164" s="61" t="s">
        <v>365</v>
      </c>
      <c r="D164" s="62" t="s">
        <v>386</v>
      </c>
      <c r="E164" s="63" t="s">
        <v>387</v>
      </c>
      <c r="F164" s="64">
        <v>3443</v>
      </c>
      <c r="G164" s="65">
        <v>3723</v>
      </c>
      <c r="H164" s="65">
        <v>4457</v>
      </c>
      <c r="I164" s="65">
        <v>4933</v>
      </c>
      <c r="J164" s="65">
        <v>6464</v>
      </c>
      <c r="K164" s="65">
        <v>8400</v>
      </c>
      <c r="L164" s="65">
        <v>9684</v>
      </c>
      <c r="M164" s="66">
        <v>571</v>
      </c>
      <c r="N164" s="67">
        <v>486</v>
      </c>
      <c r="O164" s="60"/>
      <c r="P164" s="2"/>
      <c r="Q164" s="2"/>
      <c r="R164" s="2"/>
      <c r="S164" s="2"/>
      <c r="T164" s="2"/>
      <c r="U164" s="2"/>
      <c r="V164" s="2"/>
      <c r="W164" s="2"/>
      <c r="X164" s="2"/>
    </row>
    <row r="165" spans="2:24" ht="15.75" customHeight="1" x14ac:dyDescent="0.3">
      <c r="B165" s="2"/>
      <c r="C165" s="61" t="s">
        <v>365</v>
      </c>
      <c r="D165" s="62" t="s">
        <v>388</v>
      </c>
      <c r="E165" s="63" t="s">
        <v>389</v>
      </c>
      <c r="F165" s="64">
        <v>3443</v>
      </c>
      <c r="G165" s="65">
        <v>3723</v>
      </c>
      <c r="H165" s="65">
        <v>4457</v>
      </c>
      <c r="I165" s="65">
        <v>4933</v>
      </c>
      <c r="J165" s="65">
        <v>6464</v>
      </c>
      <c r="K165" s="65">
        <v>8400</v>
      </c>
      <c r="L165" s="65">
        <v>9684</v>
      </c>
      <c r="M165" s="66">
        <v>571</v>
      </c>
      <c r="N165" s="67">
        <v>486</v>
      </c>
      <c r="O165" s="60"/>
      <c r="P165" s="2"/>
      <c r="Q165" s="2"/>
      <c r="R165" s="2"/>
      <c r="S165" s="2"/>
      <c r="T165" s="2"/>
      <c r="U165" s="2"/>
      <c r="V165" s="2"/>
      <c r="W165" s="2"/>
      <c r="X165" s="2"/>
    </row>
    <row r="166" spans="2:24" ht="15.75" customHeight="1" x14ac:dyDescent="0.3">
      <c r="B166" s="2"/>
      <c r="C166" s="61" t="s">
        <v>365</v>
      </c>
      <c r="D166" s="62" t="s">
        <v>390</v>
      </c>
      <c r="E166" s="63" t="s">
        <v>391</v>
      </c>
      <c r="F166" s="64">
        <v>3443</v>
      </c>
      <c r="G166" s="65">
        <v>3723</v>
      </c>
      <c r="H166" s="65">
        <v>4457</v>
      </c>
      <c r="I166" s="65">
        <v>4933</v>
      </c>
      <c r="J166" s="65">
        <v>6464</v>
      </c>
      <c r="K166" s="65">
        <v>8400</v>
      </c>
      <c r="L166" s="65">
        <v>9684</v>
      </c>
      <c r="M166" s="66">
        <v>571</v>
      </c>
      <c r="N166" s="67">
        <v>486</v>
      </c>
      <c r="O166" s="60"/>
      <c r="P166" s="2"/>
      <c r="Q166" s="2"/>
      <c r="R166" s="2"/>
      <c r="S166" s="2"/>
      <c r="T166" s="2"/>
      <c r="U166" s="2"/>
      <c r="V166" s="2"/>
      <c r="W166" s="2"/>
      <c r="X166" s="2"/>
    </row>
    <row r="167" spans="2:24" ht="15.75" customHeight="1" x14ac:dyDescent="0.3">
      <c r="B167" s="2"/>
      <c r="C167" s="61" t="s">
        <v>365</v>
      </c>
      <c r="D167" s="62" t="s">
        <v>392</v>
      </c>
      <c r="E167" s="63" t="s">
        <v>393</v>
      </c>
      <c r="F167" s="64">
        <v>5164.5</v>
      </c>
      <c r="G167" s="65">
        <v>5584.5</v>
      </c>
      <c r="H167" s="65">
        <v>6685.5</v>
      </c>
      <c r="I167" s="65">
        <v>7399.5</v>
      </c>
      <c r="J167" s="65">
        <v>9696</v>
      </c>
      <c r="K167" s="65">
        <v>12600</v>
      </c>
      <c r="L167" s="65">
        <v>14526</v>
      </c>
      <c r="M167" s="66">
        <v>856.5</v>
      </c>
      <c r="N167" s="67">
        <v>729</v>
      </c>
      <c r="O167" s="60"/>
      <c r="P167" s="2"/>
      <c r="Q167" s="2"/>
      <c r="R167" s="2"/>
      <c r="S167" s="2"/>
      <c r="T167" s="2"/>
      <c r="U167" s="2"/>
      <c r="V167" s="2"/>
      <c r="W167" s="2"/>
      <c r="X167" s="2"/>
    </row>
    <row r="168" spans="2:24" ht="15.75" customHeight="1" x14ac:dyDescent="0.3">
      <c r="B168" s="2"/>
      <c r="C168" s="61" t="s">
        <v>365</v>
      </c>
      <c r="D168" s="62" t="s">
        <v>394</v>
      </c>
      <c r="E168" s="63" t="s">
        <v>395</v>
      </c>
      <c r="F168" s="64">
        <v>3443</v>
      </c>
      <c r="G168" s="65">
        <v>3723</v>
      </c>
      <c r="H168" s="65">
        <v>4457</v>
      </c>
      <c r="I168" s="65">
        <v>4933</v>
      </c>
      <c r="J168" s="65">
        <v>6464</v>
      </c>
      <c r="K168" s="65">
        <v>8400</v>
      </c>
      <c r="L168" s="65">
        <v>9684</v>
      </c>
      <c r="M168" s="66">
        <v>571</v>
      </c>
      <c r="N168" s="67">
        <v>486</v>
      </c>
      <c r="O168" s="60"/>
      <c r="P168" s="2"/>
      <c r="Q168" s="2"/>
      <c r="R168" s="2"/>
      <c r="S168" s="2"/>
      <c r="T168" s="2"/>
      <c r="U168" s="2"/>
      <c r="V168" s="2"/>
      <c r="W168" s="2"/>
      <c r="X168" s="2"/>
    </row>
    <row r="169" spans="2:24" ht="15.75" customHeight="1" x14ac:dyDescent="0.3">
      <c r="B169" s="2"/>
      <c r="C169" s="61" t="s">
        <v>365</v>
      </c>
      <c r="D169" s="62" t="s">
        <v>396</v>
      </c>
      <c r="E169" s="63" t="s">
        <v>397</v>
      </c>
      <c r="F169" s="64">
        <v>5164.5</v>
      </c>
      <c r="G169" s="65">
        <v>5584.5</v>
      </c>
      <c r="H169" s="65">
        <v>6685.5</v>
      </c>
      <c r="I169" s="65">
        <v>7399.5</v>
      </c>
      <c r="J169" s="65">
        <v>9696</v>
      </c>
      <c r="K169" s="65">
        <v>12600</v>
      </c>
      <c r="L169" s="65">
        <v>14526</v>
      </c>
      <c r="M169" s="66">
        <v>856.5</v>
      </c>
      <c r="N169" s="67">
        <v>729</v>
      </c>
      <c r="O169" s="60"/>
      <c r="P169" s="2"/>
      <c r="Q169" s="2"/>
      <c r="R169" s="2"/>
      <c r="S169" s="2"/>
      <c r="T169" s="2"/>
      <c r="U169" s="2"/>
      <c r="V169" s="2"/>
      <c r="W169" s="2"/>
      <c r="X169" s="2"/>
    </row>
    <row r="170" spans="2:24" ht="15.75" customHeight="1" x14ac:dyDescent="0.3">
      <c r="B170" s="2"/>
      <c r="C170" s="61" t="s">
        <v>365</v>
      </c>
      <c r="D170" s="62" t="s">
        <v>398</v>
      </c>
      <c r="E170" s="63" t="s">
        <v>399</v>
      </c>
      <c r="F170" s="64">
        <v>3443</v>
      </c>
      <c r="G170" s="65">
        <v>3723</v>
      </c>
      <c r="H170" s="65">
        <v>4457</v>
      </c>
      <c r="I170" s="65">
        <v>4933</v>
      </c>
      <c r="J170" s="65">
        <v>6464</v>
      </c>
      <c r="K170" s="65">
        <v>8400</v>
      </c>
      <c r="L170" s="65">
        <v>9684</v>
      </c>
      <c r="M170" s="66">
        <v>571</v>
      </c>
      <c r="N170" s="67">
        <v>486</v>
      </c>
      <c r="O170" s="60"/>
      <c r="P170" s="2"/>
      <c r="Q170" s="2"/>
      <c r="R170" s="2"/>
      <c r="S170" s="2"/>
      <c r="T170" s="2"/>
      <c r="U170" s="2"/>
      <c r="V170" s="2"/>
      <c r="W170" s="2"/>
      <c r="X170" s="2"/>
    </row>
    <row r="171" spans="2:24" ht="15.75" customHeight="1" x14ac:dyDescent="0.3">
      <c r="B171" s="2"/>
      <c r="C171" s="61" t="s">
        <v>365</v>
      </c>
      <c r="D171" s="62" t="s">
        <v>400</v>
      </c>
      <c r="E171" s="63" t="s">
        <v>401</v>
      </c>
      <c r="F171" s="64">
        <v>3443</v>
      </c>
      <c r="G171" s="65">
        <v>3723</v>
      </c>
      <c r="H171" s="65">
        <v>4457</v>
      </c>
      <c r="I171" s="65">
        <v>4933</v>
      </c>
      <c r="J171" s="65">
        <v>6464</v>
      </c>
      <c r="K171" s="65">
        <v>8400</v>
      </c>
      <c r="L171" s="65">
        <v>9684</v>
      </c>
      <c r="M171" s="66">
        <v>571</v>
      </c>
      <c r="N171" s="67">
        <v>486</v>
      </c>
      <c r="O171" s="60"/>
      <c r="P171" s="2"/>
      <c r="Q171" s="2"/>
      <c r="R171" s="2"/>
      <c r="S171" s="2"/>
      <c r="T171" s="2"/>
      <c r="U171" s="2"/>
      <c r="V171" s="2"/>
      <c r="W171" s="2"/>
      <c r="X171" s="2"/>
    </row>
    <row r="172" spans="2:24" ht="15.75" customHeight="1" x14ac:dyDescent="0.3">
      <c r="B172" s="2"/>
      <c r="C172" s="61" t="s">
        <v>365</v>
      </c>
      <c r="D172" s="62" t="s">
        <v>402</v>
      </c>
      <c r="E172" s="63" t="s">
        <v>403</v>
      </c>
      <c r="F172" s="64">
        <v>3443</v>
      </c>
      <c r="G172" s="65">
        <v>3723</v>
      </c>
      <c r="H172" s="65">
        <v>4457</v>
      </c>
      <c r="I172" s="65">
        <v>4933</v>
      </c>
      <c r="J172" s="65">
        <v>6464</v>
      </c>
      <c r="K172" s="65">
        <v>8400</v>
      </c>
      <c r="L172" s="65">
        <v>9684</v>
      </c>
      <c r="M172" s="66">
        <v>571</v>
      </c>
      <c r="N172" s="67">
        <v>486</v>
      </c>
      <c r="O172" s="60"/>
      <c r="P172" s="2"/>
      <c r="Q172" s="2"/>
      <c r="R172" s="2"/>
      <c r="S172" s="2"/>
      <c r="T172" s="2"/>
      <c r="U172" s="2"/>
      <c r="V172" s="2"/>
      <c r="W172" s="2"/>
      <c r="X172" s="2"/>
    </row>
    <row r="173" spans="2:24" ht="15.75" customHeight="1" x14ac:dyDescent="0.3">
      <c r="B173" s="2"/>
      <c r="C173" s="61" t="s">
        <v>365</v>
      </c>
      <c r="D173" s="62" t="s">
        <v>404</v>
      </c>
      <c r="E173" s="63" t="s">
        <v>405</v>
      </c>
      <c r="F173" s="64">
        <v>5164.5</v>
      </c>
      <c r="G173" s="65">
        <v>5584.5</v>
      </c>
      <c r="H173" s="65">
        <v>6685.5</v>
      </c>
      <c r="I173" s="65">
        <v>7399.5</v>
      </c>
      <c r="J173" s="65">
        <v>9696</v>
      </c>
      <c r="K173" s="65">
        <v>12600</v>
      </c>
      <c r="L173" s="65">
        <v>14526</v>
      </c>
      <c r="M173" s="66">
        <v>856.5</v>
      </c>
      <c r="N173" s="67">
        <v>729</v>
      </c>
      <c r="O173" s="60"/>
      <c r="P173" s="2"/>
      <c r="Q173" s="2"/>
      <c r="R173" s="2"/>
      <c r="S173" s="2"/>
      <c r="T173" s="2"/>
      <c r="U173" s="2"/>
      <c r="V173" s="2"/>
      <c r="W173" s="2"/>
      <c r="X173" s="2"/>
    </row>
    <row r="174" spans="2:24" ht="15.75" customHeight="1" x14ac:dyDescent="0.3">
      <c r="B174" s="2"/>
      <c r="C174" s="61" t="s">
        <v>365</v>
      </c>
      <c r="D174" s="62" t="s">
        <v>406</v>
      </c>
      <c r="E174" s="63" t="s">
        <v>407</v>
      </c>
      <c r="F174" s="64">
        <v>3443</v>
      </c>
      <c r="G174" s="65">
        <v>3723</v>
      </c>
      <c r="H174" s="65">
        <v>4457</v>
      </c>
      <c r="I174" s="65">
        <v>4933</v>
      </c>
      <c r="J174" s="65">
        <v>6464</v>
      </c>
      <c r="K174" s="65">
        <v>8400</v>
      </c>
      <c r="L174" s="65">
        <v>9684</v>
      </c>
      <c r="M174" s="66">
        <v>571</v>
      </c>
      <c r="N174" s="67">
        <v>486</v>
      </c>
      <c r="O174" s="60"/>
      <c r="P174" s="2"/>
      <c r="Q174" s="2"/>
      <c r="R174" s="2"/>
      <c r="S174" s="2"/>
      <c r="T174" s="2"/>
      <c r="U174" s="2"/>
      <c r="V174" s="2"/>
      <c r="W174" s="2"/>
      <c r="X174" s="2"/>
    </row>
    <row r="175" spans="2:24" ht="15.75" customHeight="1" x14ac:dyDescent="0.3">
      <c r="B175" s="2"/>
      <c r="C175" s="61" t="s">
        <v>365</v>
      </c>
      <c r="D175" s="62" t="s">
        <v>408</v>
      </c>
      <c r="E175" s="63" t="s">
        <v>409</v>
      </c>
      <c r="F175" s="64">
        <v>3443</v>
      </c>
      <c r="G175" s="65">
        <v>3723</v>
      </c>
      <c r="H175" s="65">
        <v>4457</v>
      </c>
      <c r="I175" s="65">
        <v>4933</v>
      </c>
      <c r="J175" s="65">
        <v>6464</v>
      </c>
      <c r="K175" s="65">
        <v>8400</v>
      </c>
      <c r="L175" s="65">
        <v>9684</v>
      </c>
      <c r="M175" s="66">
        <v>571</v>
      </c>
      <c r="N175" s="67">
        <v>486</v>
      </c>
      <c r="O175" s="60"/>
      <c r="P175" s="2"/>
      <c r="Q175" s="2"/>
      <c r="R175" s="2"/>
      <c r="S175" s="2"/>
      <c r="T175" s="2"/>
      <c r="U175" s="2"/>
      <c r="V175" s="2"/>
      <c r="W175" s="2"/>
      <c r="X175" s="2"/>
    </row>
    <row r="176" spans="2:24" ht="15.75" customHeight="1" x14ac:dyDescent="0.3">
      <c r="B176" s="2"/>
      <c r="C176" s="61" t="s">
        <v>365</v>
      </c>
      <c r="D176" s="62" t="s">
        <v>410</v>
      </c>
      <c r="E176" s="63" t="s">
        <v>411</v>
      </c>
      <c r="F176" s="64">
        <v>3443</v>
      </c>
      <c r="G176" s="65">
        <v>3723</v>
      </c>
      <c r="H176" s="65">
        <v>4457</v>
      </c>
      <c r="I176" s="65">
        <v>4933</v>
      </c>
      <c r="J176" s="65">
        <v>6464</v>
      </c>
      <c r="K176" s="65">
        <v>8400</v>
      </c>
      <c r="L176" s="65">
        <v>9684</v>
      </c>
      <c r="M176" s="66">
        <v>571</v>
      </c>
      <c r="N176" s="67">
        <v>486</v>
      </c>
      <c r="O176" s="60"/>
      <c r="P176" s="2"/>
      <c r="Q176" s="2"/>
      <c r="R176" s="2"/>
      <c r="S176" s="2"/>
      <c r="T176" s="2"/>
      <c r="U176" s="2"/>
      <c r="V176" s="2"/>
      <c r="W176" s="2"/>
      <c r="X176" s="2"/>
    </row>
    <row r="177" spans="2:24" ht="15.75" customHeight="1" x14ac:dyDescent="0.3">
      <c r="B177" s="2"/>
      <c r="C177" s="61" t="s">
        <v>365</v>
      </c>
      <c r="D177" s="62" t="s">
        <v>412</v>
      </c>
      <c r="E177" s="63" t="s">
        <v>413</v>
      </c>
      <c r="F177" s="64">
        <v>3443</v>
      </c>
      <c r="G177" s="65">
        <v>3723</v>
      </c>
      <c r="H177" s="65">
        <v>4457</v>
      </c>
      <c r="I177" s="65">
        <v>4933</v>
      </c>
      <c r="J177" s="65">
        <v>6464</v>
      </c>
      <c r="K177" s="65">
        <v>8400</v>
      </c>
      <c r="L177" s="65">
        <v>9684</v>
      </c>
      <c r="M177" s="66">
        <v>571</v>
      </c>
      <c r="N177" s="67">
        <v>486</v>
      </c>
      <c r="O177" s="60"/>
      <c r="P177" s="2"/>
      <c r="Q177" s="2"/>
      <c r="R177" s="2"/>
      <c r="S177" s="2"/>
      <c r="T177" s="2"/>
      <c r="U177" s="2"/>
      <c r="V177" s="2"/>
      <c r="W177" s="2"/>
      <c r="X177" s="2"/>
    </row>
    <row r="178" spans="2:24" ht="15.75" customHeight="1" x14ac:dyDescent="0.3">
      <c r="B178" s="2"/>
      <c r="C178" s="61" t="s">
        <v>365</v>
      </c>
      <c r="D178" s="62" t="s">
        <v>414</v>
      </c>
      <c r="E178" s="63" t="s">
        <v>415</v>
      </c>
      <c r="F178" s="64">
        <v>3443</v>
      </c>
      <c r="G178" s="65">
        <v>3723</v>
      </c>
      <c r="H178" s="65">
        <v>4457</v>
      </c>
      <c r="I178" s="65">
        <v>4933</v>
      </c>
      <c r="J178" s="65">
        <v>6464</v>
      </c>
      <c r="K178" s="65">
        <v>8400</v>
      </c>
      <c r="L178" s="65">
        <v>9684</v>
      </c>
      <c r="M178" s="66">
        <v>571</v>
      </c>
      <c r="N178" s="67">
        <v>486</v>
      </c>
      <c r="O178" s="60"/>
      <c r="P178" s="2"/>
      <c r="Q178" s="2"/>
      <c r="R178" s="2"/>
      <c r="S178" s="2"/>
      <c r="T178" s="2"/>
      <c r="U178" s="2"/>
      <c r="V178" s="2"/>
      <c r="W178" s="2"/>
      <c r="X178" s="2"/>
    </row>
    <row r="179" spans="2:24" ht="15.75" customHeight="1" x14ac:dyDescent="0.3">
      <c r="B179" s="2"/>
      <c r="C179" s="61" t="s">
        <v>365</v>
      </c>
      <c r="D179" s="62" t="s">
        <v>416</v>
      </c>
      <c r="E179" s="63" t="s">
        <v>417</v>
      </c>
      <c r="F179" s="64">
        <v>3443</v>
      </c>
      <c r="G179" s="65">
        <v>3723</v>
      </c>
      <c r="H179" s="65">
        <v>4457</v>
      </c>
      <c r="I179" s="65">
        <v>4933</v>
      </c>
      <c r="J179" s="65">
        <v>6464</v>
      </c>
      <c r="K179" s="65">
        <v>8400</v>
      </c>
      <c r="L179" s="65">
        <v>9684</v>
      </c>
      <c r="M179" s="66">
        <v>571</v>
      </c>
      <c r="N179" s="67">
        <v>486</v>
      </c>
      <c r="O179" s="60"/>
      <c r="P179" s="2"/>
      <c r="Q179" s="2"/>
      <c r="R179" s="2"/>
      <c r="S179" s="2"/>
      <c r="T179" s="2"/>
      <c r="U179" s="2"/>
      <c r="V179" s="2"/>
      <c r="W179" s="2"/>
      <c r="X179" s="2"/>
    </row>
    <row r="180" spans="2:24" ht="15.75" customHeight="1" x14ac:dyDescent="0.3">
      <c r="B180" s="2"/>
      <c r="C180" s="61" t="s">
        <v>365</v>
      </c>
      <c r="D180" s="62" t="s">
        <v>418</v>
      </c>
      <c r="E180" s="63" t="s">
        <v>419</v>
      </c>
      <c r="F180" s="64">
        <v>5164.5</v>
      </c>
      <c r="G180" s="65">
        <v>5584.5</v>
      </c>
      <c r="H180" s="65">
        <v>6685.5</v>
      </c>
      <c r="I180" s="65">
        <v>7399.5</v>
      </c>
      <c r="J180" s="65">
        <v>9696</v>
      </c>
      <c r="K180" s="65">
        <v>12600</v>
      </c>
      <c r="L180" s="65">
        <v>14526</v>
      </c>
      <c r="M180" s="66">
        <v>856.5</v>
      </c>
      <c r="N180" s="67">
        <v>729</v>
      </c>
      <c r="O180" s="60"/>
      <c r="P180" s="2"/>
      <c r="Q180" s="2"/>
      <c r="R180" s="2"/>
      <c r="S180" s="2"/>
      <c r="T180" s="2"/>
      <c r="U180" s="2"/>
      <c r="V180" s="2"/>
      <c r="W180" s="2"/>
      <c r="X180" s="2"/>
    </row>
    <row r="181" spans="2:24" ht="15.75" customHeight="1" x14ac:dyDescent="0.3">
      <c r="B181" s="2"/>
      <c r="C181" s="61" t="s">
        <v>365</v>
      </c>
      <c r="D181" s="62" t="s">
        <v>420</v>
      </c>
      <c r="E181" s="63" t="s">
        <v>421</v>
      </c>
      <c r="F181" s="64">
        <v>3443</v>
      </c>
      <c r="G181" s="65">
        <v>3723</v>
      </c>
      <c r="H181" s="65">
        <v>4457</v>
      </c>
      <c r="I181" s="65">
        <v>4933</v>
      </c>
      <c r="J181" s="65">
        <v>6464</v>
      </c>
      <c r="K181" s="65">
        <v>8400</v>
      </c>
      <c r="L181" s="65">
        <v>9684</v>
      </c>
      <c r="M181" s="66">
        <v>571</v>
      </c>
      <c r="N181" s="67">
        <v>486</v>
      </c>
      <c r="O181" s="60"/>
      <c r="P181" s="2"/>
      <c r="Q181" s="2"/>
      <c r="R181" s="2"/>
      <c r="S181" s="2"/>
      <c r="T181" s="2"/>
      <c r="U181" s="2"/>
      <c r="V181" s="2"/>
      <c r="W181" s="2"/>
      <c r="X181" s="2"/>
    </row>
    <row r="182" spans="2:24" ht="15.75" customHeight="1" x14ac:dyDescent="0.3">
      <c r="B182" s="2"/>
      <c r="C182" s="68" t="s">
        <v>365</v>
      </c>
      <c r="D182" s="69" t="s">
        <v>422</v>
      </c>
      <c r="E182" s="70" t="s">
        <v>423</v>
      </c>
      <c r="F182" s="71">
        <v>3443</v>
      </c>
      <c r="G182" s="72">
        <v>3723</v>
      </c>
      <c r="H182" s="72">
        <v>4457</v>
      </c>
      <c r="I182" s="72">
        <v>4933</v>
      </c>
      <c r="J182" s="72">
        <v>6464</v>
      </c>
      <c r="K182" s="72">
        <v>8400</v>
      </c>
      <c r="L182" s="72">
        <v>9684</v>
      </c>
      <c r="M182" s="73">
        <v>571</v>
      </c>
      <c r="N182" s="74">
        <v>486</v>
      </c>
      <c r="O182" s="60"/>
      <c r="P182" s="2"/>
      <c r="Q182" s="2"/>
      <c r="R182" s="2"/>
      <c r="S182" s="2"/>
      <c r="T182" s="2"/>
      <c r="U182" s="2"/>
      <c r="V182" s="2"/>
      <c r="W182" s="2"/>
      <c r="X182" s="2"/>
    </row>
    <row r="183" spans="2:24" ht="15.75" customHeight="1" x14ac:dyDescent="0.3">
      <c r="B183" s="2"/>
      <c r="C183" s="75" t="s">
        <v>424</v>
      </c>
      <c r="D183" s="76" t="s">
        <v>425</v>
      </c>
      <c r="E183" s="77" t="s">
        <v>41</v>
      </c>
      <c r="F183" s="64">
        <v>3931</v>
      </c>
      <c r="G183" s="65">
        <v>4236</v>
      </c>
      <c r="H183" s="65">
        <v>4882</v>
      </c>
      <c r="I183" s="65">
        <v>5356</v>
      </c>
      <c r="J183" s="65">
        <v>6801</v>
      </c>
      <c r="K183" s="65">
        <v>8617</v>
      </c>
      <c r="L183" s="65">
        <v>10142</v>
      </c>
      <c r="M183" s="66">
        <v>690</v>
      </c>
      <c r="N183" s="67">
        <v>556</v>
      </c>
      <c r="O183" s="60"/>
      <c r="P183" s="2"/>
      <c r="Q183" s="2"/>
      <c r="R183" s="2"/>
      <c r="S183" s="2"/>
      <c r="T183" s="2"/>
      <c r="U183" s="2"/>
      <c r="V183" s="2"/>
      <c r="W183" s="2"/>
      <c r="X183" s="2"/>
    </row>
    <row r="184" spans="2:24" ht="15.75" customHeight="1" x14ac:dyDescent="0.3">
      <c r="B184" s="2"/>
      <c r="C184" s="61" t="s">
        <v>424</v>
      </c>
      <c r="D184" s="62" t="s">
        <v>426</v>
      </c>
      <c r="E184" s="63" t="s">
        <v>427</v>
      </c>
      <c r="F184" s="64">
        <v>3931</v>
      </c>
      <c r="G184" s="65">
        <v>4236</v>
      </c>
      <c r="H184" s="65">
        <v>4882</v>
      </c>
      <c r="I184" s="65">
        <v>5356</v>
      </c>
      <c r="J184" s="65">
        <v>6801</v>
      </c>
      <c r="K184" s="65">
        <v>8617</v>
      </c>
      <c r="L184" s="65">
        <v>10142</v>
      </c>
      <c r="M184" s="66">
        <v>690</v>
      </c>
      <c r="N184" s="67">
        <v>556</v>
      </c>
      <c r="O184" s="60"/>
      <c r="P184" s="2"/>
      <c r="Q184" s="2"/>
      <c r="R184" s="2"/>
      <c r="S184" s="2"/>
      <c r="T184" s="2"/>
      <c r="U184" s="2"/>
      <c r="V184" s="2"/>
      <c r="W184" s="2"/>
      <c r="X184" s="2"/>
    </row>
    <row r="185" spans="2:24" ht="15.75" customHeight="1" x14ac:dyDescent="0.3">
      <c r="B185" s="2"/>
      <c r="C185" s="61" t="s">
        <v>424</v>
      </c>
      <c r="D185" s="62" t="s">
        <v>428</v>
      </c>
      <c r="E185" s="63" t="s">
        <v>429</v>
      </c>
      <c r="F185" s="64">
        <v>3931</v>
      </c>
      <c r="G185" s="65">
        <v>4236</v>
      </c>
      <c r="H185" s="65">
        <v>4882</v>
      </c>
      <c r="I185" s="65">
        <v>5356</v>
      </c>
      <c r="J185" s="65">
        <v>6801</v>
      </c>
      <c r="K185" s="65">
        <v>8617</v>
      </c>
      <c r="L185" s="65">
        <v>10142</v>
      </c>
      <c r="M185" s="66">
        <v>690</v>
      </c>
      <c r="N185" s="67">
        <v>556</v>
      </c>
      <c r="O185" s="60"/>
      <c r="P185" s="2"/>
      <c r="Q185" s="2"/>
      <c r="R185" s="2"/>
      <c r="S185" s="2"/>
      <c r="T185" s="2"/>
      <c r="U185" s="2"/>
      <c r="V185" s="2"/>
      <c r="W185" s="2"/>
      <c r="X185" s="2"/>
    </row>
    <row r="186" spans="2:24" ht="15.75" customHeight="1" x14ac:dyDescent="0.3">
      <c r="B186" s="2"/>
      <c r="C186" s="61" t="s">
        <v>424</v>
      </c>
      <c r="D186" s="62" t="s">
        <v>430</v>
      </c>
      <c r="E186" s="63" t="s">
        <v>431</v>
      </c>
      <c r="F186" s="64">
        <v>5896.5</v>
      </c>
      <c r="G186" s="65">
        <v>6354</v>
      </c>
      <c r="H186" s="65">
        <v>7323</v>
      </c>
      <c r="I186" s="65">
        <v>8034</v>
      </c>
      <c r="J186" s="65">
        <v>10201.5</v>
      </c>
      <c r="K186" s="65">
        <v>12925.5</v>
      </c>
      <c r="L186" s="65">
        <v>15213</v>
      </c>
      <c r="M186" s="66">
        <v>1035</v>
      </c>
      <c r="N186" s="67">
        <v>834</v>
      </c>
      <c r="O186" s="60"/>
      <c r="P186" s="2"/>
      <c r="Q186" s="2"/>
      <c r="R186" s="2"/>
      <c r="S186" s="2"/>
      <c r="T186" s="2"/>
      <c r="U186" s="2"/>
      <c r="V186" s="2"/>
      <c r="W186" s="2"/>
      <c r="X186" s="2"/>
    </row>
    <row r="187" spans="2:24" ht="15.75" customHeight="1" x14ac:dyDescent="0.3">
      <c r="B187" s="2"/>
      <c r="C187" s="61" t="s">
        <v>424</v>
      </c>
      <c r="D187" s="62" t="s">
        <v>432</v>
      </c>
      <c r="E187" s="63" t="s">
        <v>433</v>
      </c>
      <c r="F187" s="64">
        <v>5896.5</v>
      </c>
      <c r="G187" s="65">
        <v>6354</v>
      </c>
      <c r="H187" s="65">
        <v>7323</v>
      </c>
      <c r="I187" s="65">
        <v>8034</v>
      </c>
      <c r="J187" s="65">
        <v>10201.5</v>
      </c>
      <c r="K187" s="65">
        <v>12925.5</v>
      </c>
      <c r="L187" s="65">
        <v>15213</v>
      </c>
      <c r="M187" s="66">
        <v>1035</v>
      </c>
      <c r="N187" s="67">
        <v>834</v>
      </c>
      <c r="O187" s="60"/>
      <c r="P187" s="2"/>
      <c r="Q187" s="2"/>
      <c r="R187" s="2"/>
      <c r="S187" s="2"/>
      <c r="T187" s="2"/>
      <c r="U187" s="2"/>
      <c r="V187" s="2"/>
      <c r="W187" s="2"/>
      <c r="X187" s="2"/>
    </row>
    <row r="188" spans="2:24" ht="15.75" customHeight="1" x14ac:dyDescent="0.3">
      <c r="B188" s="2"/>
      <c r="C188" s="61" t="s">
        <v>424</v>
      </c>
      <c r="D188" s="62" t="s">
        <v>434</v>
      </c>
      <c r="E188" s="63" t="s">
        <v>435</v>
      </c>
      <c r="F188" s="64">
        <v>3931</v>
      </c>
      <c r="G188" s="65">
        <v>4236</v>
      </c>
      <c r="H188" s="65">
        <v>4882</v>
      </c>
      <c r="I188" s="65">
        <v>5356</v>
      </c>
      <c r="J188" s="65">
        <v>6801</v>
      </c>
      <c r="K188" s="65">
        <v>8617</v>
      </c>
      <c r="L188" s="65">
        <v>10142</v>
      </c>
      <c r="M188" s="66">
        <v>690</v>
      </c>
      <c r="N188" s="67">
        <v>556</v>
      </c>
      <c r="O188" s="60"/>
      <c r="P188" s="2"/>
      <c r="Q188" s="2"/>
      <c r="R188" s="2"/>
      <c r="S188" s="2"/>
      <c r="T188" s="2"/>
      <c r="U188" s="2"/>
      <c r="V188" s="2"/>
      <c r="W188" s="2"/>
      <c r="X188" s="2"/>
    </row>
    <row r="189" spans="2:24" ht="15.75" customHeight="1" x14ac:dyDescent="0.3">
      <c r="B189" s="2"/>
      <c r="C189" s="61" t="s">
        <v>424</v>
      </c>
      <c r="D189" s="62" t="s">
        <v>436</v>
      </c>
      <c r="E189" s="63" t="s">
        <v>437</v>
      </c>
      <c r="F189" s="64">
        <v>3931</v>
      </c>
      <c r="G189" s="65">
        <v>4236</v>
      </c>
      <c r="H189" s="65">
        <v>4882</v>
      </c>
      <c r="I189" s="65">
        <v>5356</v>
      </c>
      <c r="J189" s="65">
        <v>6801</v>
      </c>
      <c r="K189" s="65">
        <v>8617</v>
      </c>
      <c r="L189" s="65">
        <v>10142</v>
      </c>
      <c r="M189" s="66">
        <v>690</v>
      </c>
      <c r="N189" s="67">
        <v>556</v>
      </c>
      <c r="O189" s="60"/>
      <c r="P189" s="2"/>
      <c r="Q189" s="2"/>
      <c r="R189" s="2"/>
      <c r="S189" s="2"/>
      <c r="T189" s="2"/>
      <c r="U189" s="2"/>
      <c r="V189" s="2"/>
      <c r="W189" s="2"/>
      <c r="X189" s="2"/>
    </row>
    <row r="190" spans="2:24" ht="15.75" customHeight="1" x14ac:dyDescent="0.3">
      <c r="B190" s="2"/>
      <c r="C190" s="61" t="s">
        <v>424</v>
      </c>
      <c r="D190" s="62" t="s">
        <v>438</v>
      </c>
      <c r="E190" s="63" t="s">
        <v>439</v>
      </c>
      <c r="F190" s="64">
        <v>3931</v>
      </c>
      <c r="G190" s="65">
        <v>4236</v>
      </c>
      <c r="H190" s="65">
        <v>4882</v>
      </c>
      <c r="I190" s="65">
        <v>5356</v>
      </c>
      <c r="J190" s="65">
        <v>6801</v>
      </c>
      <c r="K190" s="65">
        <v>8617</v>
      </c>
      <c r="L190" s="65">
        <v>10142</v>
      </c>
      <c r="M190" s="66">
        <v>690</v>
      </c>
      <c r="N190" s="67">
        <v>556</v>
      </c>
      <c r="O190" s="60"/>
      <c r="P190" s="2"/>
      <c r="Q190" s="2"/>
      <c r="R190" s="2"/>
      <c r="S190" s="2"/>
      <c r="T190" s="2"/>
      <c r="U190" s="2"/>
      <c r="V190" s="2"/>
      <c r="W190" s="2"/>
      <c r="X190" s="2"/>
    </row>
    <row r="191" spans="2:24" ht="15.75" customHeight="1" x14ac:dyDescent="0.3">
      <c r="B191" s="2"/>
      <c r="C191" s="61" t="s">
        <v>424</v>
      </c>
      <c r="D191" s="62" t="s">
        <v>440</v>
      </c>
      <c r="E191" s="63" t="s">
        <v>441</v>
      </c>
      <c r="F191" s="64">
        <v>3931</v>
      </c>
      <c r="G191" s="65">
        <v>4236</v>
      </c>
      <c r="H191" s="65">
        <v>4882</v>
      </c>
      <c r="I191" s="65">
        <v>5356</v>
      </c>
      <c r="J191" s="65">
        <v>6801</v>
      </c>
      <c r="K191" s="65">
        <v>8617</v>
      </c>
      <c r="L191" s="65">
        <v>10142</v>
      </c>
      <c r="M191" s="66">
        <v>690</v>
      </c>
      <c r="N191" s="67">
        <v>556</v>
      </c>
      <c r="O191" s="60"/>
      <c r="P191" s="2"/>
      <c r="Q191" s="2"/>
      <c r="R191" s="2"/>
      <c r="S191" s="2"/>
      <c r="T191" s="2"/>
      <c r="U191" s="2"/>
      <c r="V191" s="2"/>
      <c r="W191" s="2"/>
      <c r="X191" s="2"/>
    </row>
    <row r="192" spans="2:24" ht="15.75" customHeight="1" x14ac:dyDescent="0.3">
      <c r="B192" s="2"/>
      <c r="C192" s="61" t="s">
        <v>424</v>
      </c>
      <c r="D192" s="62" t="s">
        <v>442</v>
      </c>
      <c r="E192" s="63" t="s">
        <v>443</v>
      </c>
      <c r="F192" s="64">
        <v>3931</v>
      </c>
      <c r="G192" s="65">
        <v>4236</v>
      </c>
      <c r="H192" s="65">
        <v>4882</v>
      </c>
      <c r="I192" s="65">
        <v>5356</v>
      </c>
      <c r="J192" s="65">
        <v>6801</v>
      </c>
      <c r="K192" s="65">
        <v>8617</v>
      </c>
      <c r="L192" s="65">
        <v>10142</v>
      </c>
      <c r="M192" s="66">
        <v>690</v>
      </c>
      <c r="N192" s="67">
        <v>556</v>
      </c>
      <c r="O192" s="60"/>
      <c r="P192" s="2"/>
      <c r="Q192" s="2"/>
      <c r="R192" s="2"/>
      <c r="S192" s="2"/>
      <c r="T192" s="2"/>
      <c r="U192" s="2"/>
      <c r="V192" s="2"/>
      <c r="W192" s="2"/>
      <c r="X192" s="2"/>
    </row>
    <row r="193" spans="2:24" ht="15.75" customHeight="1" x14ac:dyDescent="0.3">
      <c r="B193" s="2"/>
      <c r="C193" s="61" t="s">
        <v>424</v>
      </c>
      <c r="D193" s="62" t="s">
        <v>444</v>
      </c>
      <c r="E193" s="63" t="s">
        <v>445</v>
      </c>
      <c r="F193" s="64">
        <v>3931</v>
      </c>
      <c r="G193" s="65">
        <v>4236</v>
      </c>
      <c r="H193" s="65">
        <v>4882</v>
      </c>
      <c r="I193" s="65">
        <v>5356</v>
      </c>
      <c r="J193" s="65">
        <v>6801</v>
      </c>
      <c r="K193" s="65">
        <v>8617</v>
      </c>
      <c r="L193" s="65">
        <v>10142</v>
      </c>
      <c r="M193" s="66">
        <v>690</v>
      </c>
      <c r="N193" s="67">
        <v>556</v>
      </c>
      <c r="O193" s="60"/>
      <c r="P193" s="2"/>
      <c r="Q193" s="2"/>
      <c r="R193" s="2"/>
      <c r="S193" s="2"/>
      <c r="T193" s="2"/>
      <c r="U193" s="2"/>
      <c r="V193" s="2"/>
      <c r="W193" s="2"/>
      <c r="X193" s="2"/>
    </row>
    <row r="194" spans="2:24" ht="15.75" customHeight="1" x14ac:dyDescent="0.3">
      <c r="B194" s="2"/>
      <c r="C194" s="61" t="s">
        <v>424</v>
      </c>
      <c r="D194" s="62" t="s">
        <v>446</v>
      </c>
      <c r="E194" s="63" t="s">
        <v>447</v>
      </c>
      <c r="F194" s="64">
        <v>5896.5</v>
      </c>
      <c r="G194" s="65">
        <v>6354</v>
      </c>
      <c r="H194" s="65">
        <v>7323</v>
      </c>
      <c r="I194" s="65">
        <v>8034</v>
      </c>
      <c r="J194" s="65">
        <v>10201.5</v>
      </c>
      <c r="K194" s="65">
        <v>12925.5</v>
      </c>
      <c r="L194" s="65">
        <v>15213</v>
      </c>
      <c r="M194" s="66">
        <v>1035</v>
      </c>
      <c r="N194" s="67">
        <v>834</v>
      </c>
      <c r="O194" s="60"/>
      <c r="P194" s="2"/>
      <c r="Q194" s="2"/>
      <c r="R194" s="2"/>
      <c r="S194" s="2"/>
      <c r="T194" s="2"/>
      <c r="U194" s="2"/>
      <c r="V194" s="2"/>
      <c r="W194" s="2"/>
      <c r="X194" s="2"/>
    </row>
    <row r="195" spans="2:24" ht="15.75" customHeight="1" x14ac:dyDescent="0.3">
      <c r="B195" s="2"/>
      <c r="C195" s="61" t="s">
        <v>424</v>
      </c>
      <c r="D195" s="62" t="s">
        <v>448</v>
      </c>
      <c r="E195" s="63" t="s">
        <v>449</v>
      </c>
      <c r="F195" s="64">
        <v>3931</v>
      </c>
      <c r="G195" s="65">
        <v>4236</v>
      </c>
      <c r="H195" s="65">
        <v>4882</v>
      </c>
      <c r="I195" s="65">
        <v>5356</v>
      </c>
      <c r="J195" s="65">
        <v>6801</v>
      </c>
      <c r="K195" s="65">
        <v>8617</v>
      </c>
      <c r="L195" s="65">
        <v>10142</v>
      </c>
      <c r="M195" s="66">
        <v>690</v>
      </c>
      <c r="N195" s="67">
        <v>556</v>
      </c>
      <c r="O195" s="60"/>
      <c r="P195" s="2"/>
      <c r="Q195" s="2"/>
      <c r="R195" s="2"/>
      <c r="S195" s="2"/>
      <c r="T195" s="2"/>
      <c r="U195" s="2"/>
      <c r="V195" s="2"/>
      <c r="W195" s="2"/>
      <c r="X195" s="2"/>
    </row>
    <row r="196" spans="2:24" ht="15.75" customHeight="1" x14ac:dyDescent="0.3">
      <c r="B196" s="2"/>
      <c r="C196" s="61" t="s">
        <v>424</v>
      </c>
      <c r="D196" s="62" t="s">
        <v>450</v>
      </c>
      <c r="E196" s="63" t="s">
        <v>451</v>
      </c>
      <c r="F196" s="64">
        <v>3931</v>
      </c>
      <c r="G196" s="65">
        <v>4236</v>
      </c>
      <c r="H196" s="65">
        <v>4882</v>
      </c>
      <c r="I196" s="65">
        <v>5356</v>
      </c>
      <c r="J196" s="65">
        <v>6801</v>
      </c>
      <c r="K196" s="65">
        <v>8617</v>
      </c>
      <c r="L196" s="65">
        <v>10142</v>
      </c>
      <c r="M196" s="66">
        <v>690</v>
      </c>
      <c r="N196" s="67">
        <v>556</v>
      </c>
      <c r="O196" s="60"/>
      <c r="P196" s="2"/>
      <c r="Q196" s="2"/>
      <c r="R196" s="2"/>
      <c r="S196" s="2"/>
      <c r="T196" s="2"/>
      <c r="U196" s="2"/>
      <c r="V196" s="2"/>
      <c r="W196" s="2"/>
      <c r="X196" s="2"/>
    </row>
    <row r="197" spans="2:24" ht="15.75" customHeight="1" x14ac:dyDescent="0.3">
      <c r="B197" s="2"/>
      <c r="C197" s="61" t="s">
        <v>424</v>
      </c>
      <c r="D197" s="62" t="s">
        <v>452</v>
      </c>
      <c r="E197" s="63" t="s">
        <v>453</v>
      </c>
      <c r="F197" s="64">
        <v>5896.5</v>
      </c>
      <c r="G197" s="65">
        <v>6354</v>
      </c>
      <c r="H197" s="65">
        <v>7323</v>
      </c>
      <c r="I197" s="65">
        <v>8034</v>
      </c>
      <c r="J197" s="65">
        <v>10201.5</v>
      </c>
      <c r="K197" s="65">
        <v>12925.5</v>
      </c>
      <c r="L197" s="65">
        <v>15213</v>
      </c>
      <c r="M197" s="66">
        <v>1035</v>
      </c>
      <c r="N197" s="67">
        <v>834</v>
      </c>
      <c r="O197" s="60"/>
      <c r="P197" s="2"/>
      <c r="Q197" s="2"/>
      <c r="R197" s="2"/>
      <c r="S197" s="2"/>
      <c r="T197" s="2"/>
      <c r="U197" s="2"/>
      <c r="V197" s="2"/>
      <c r="W197" s="2"/>
      <c r="X197" s="2"/>
    </row>
    <row r="198" spans="2:24" ht="15.75" customHeight="1" x14ac:dyDescent="0.3">
      <c r="B198" s="2"/>
      <c r="C198" s="61" t="s">
        <v>424</v>
      </c>
      <c r="D198" s="62" t="s">
        <v>454</v>
      </c>
      <c r="E198" s="63" t="s">
        <v>455</v>
      </c>
      <c r="F198" s="64">
        <v>3931</v>
      </c>
      <c r="G198" s="65">
        <v>4236</v>
      </c>
      <c r="H198" s="65">
        <v>4882</v>
      </c>
      <c r="I198" s="65">
        <v>5356</v>
      </c>
      <c r="J198" s="65">
        <v>6801</v>
      </c>
      <c r="K198" s="65">
        <v>8617</v>
      </c>
      <c r="L198" s="65">
        <v>10142</v>
      </c>
      <c r="M198" s="66">
        <v>690</v>
      </c>
      <c r="N198" s="67">
        <v>556</v>
      </c>
      <c r="O198" s="60"/>
      <c r="P198" s="2"/>
      <c r="Q198" s="2"/>
      <c r="R198" s="2"/>
      <c r="S198" s="2"/>
      <c r="T198" s="2"/>
      <c r="U198" s="2"/>
      <c r="V198" s="2"/>
      <c r="W198" s="2"/>
      <c r="X198" s="2"/>
    </row>
    <row r="199" spans="2:24" ht="15.75" customHeight="1" x14ac:dyDescent="0.3">
      <c r="B199" s="2"/>
      <c r="C199" s="61" t="s">
        <v>424</v>
      </c>
      <c r="D199" s="62" t="s">
        <v>456</v>
      </c>
      <c r="E199" s="63" t="s">
        <v>457</v>
      </c>
      <c r="F199" s="64">
        <v>5896.5</v>
      </c>
      <c r="G199" s="65">
        <v>6354</v>
      </c>
      <c r="H199" s="65">
        <v>7323</v>
      </c>
      <c r="I199" s="65">
        <v>8034</v>
      </c>
      <c r="J199" s="65">
        <v>10201.5</v>
      </c>
      <c r="K199" s="65">
        <v>12925.5</v>
      </c>
      <c r="L199" s="65">
        <v>15213</v>
      </c>
      <c r="M199" s="66">
        <v>1035</v>
      </c>
      <c r="N199" s="67">
        <v>834</v>
      </c>
      <c r="O199" s="60"/>
      <c r="P199" s="2"/>
      <c r="Q199" s="2"/>
      <c r="R199" s="2"/>
      <c r="S199" s="2"/>
      <c r="T199" s="2"/>
      <c r="U199" s="2"/>
      <c r="V199" s="2"/>
      <c r="W199" s="2"/>
      <c r="X199" s="2"/>
    </row>
    <row r="200" spans="2:24" ht="15.75" customHeight="1" x14ac:dyDescent="0.3">
      <c r="B200" s="2"/>
      <c r="C200" s="61" t="s">
        <v>424</v>
      </c>
      <c r="D200" s="62" t="s">
        <v>458</v>
      </c>
      <c r="E200" s="63" t="s">
        <v>459</v>
      </c>
      <c r="F200" s="64">
        <v>3931</v>
      </c>
      <c r="G200" s="65">
        <v>4236</v>
      </c>
      <c r="H200" s="65">
        <v>4882</v>
      </c>
      <c r="I200" s="65">
        <v>5356</v>
      </c>
      <c r="J200" s="65">
        <v>6801</v>
      </c>
      <c r="K200" s="65">
        <v>8617</v>
      </c>
      <c r="L200" s="65">
        <v>10142</v>
      </c>
      <c r="M200" s="66">
        <v>690</v>
      </c>
      <c r="N200" s="67">
        <v>556</v>
      </c>
      <c r="O200" s="60"/>
      <c r="P200" s="2"/>
      <c r="Q200" s="2"/>
      <c r="R200" s="2"/>
      <c r="S200" s="2"/>
      <c r="T200" s="2"/>
      <c r="U200" s="2"/>
      <c r="V200" s="2"/>
      <c r="W200" s="2"/>
      <c r="X200" s="2"/>
    </row>
    <row r="201" spans="2:24" ht="15.75" customHeight="1" x14ac:dyDescent="0.3">
      <c r="B201" s="2"/>
      <c r="C201" s="61" t="s">
        <v>424</v>
      </c>
      <c r="D201" s="62" t="s">
        <v>460</v>
      </c>
      <c r="E201" s="63" t="s">
        <v>461</v>
      </c>
      <c r="F201" s="64">
        <v>3931</v>
      </c>
      <c r="G201" s="65">
        <v>4236</v>
      </c>
      <c r="H201" s="65">
        <v>4882</v>
      </c>
      <c r="I201" s="65">
        <v>5356</v>
      </c>
      <c r="J201" s="65">
        <v>6801</v>
      </c>
      <c r="K201" s="65">
        <v>8617</v>
      </c>
      <c r="L201" s="65">
        <v>10142</v>
      </c>
      <c r="M201" s="66">
        <v>690</v>
      </c>
      <c r="N201" s="67">
        <v>556</v>
      </c>
      <c r="O201" s="60"/>
      <c r="P201" s="2"/>
      <c r="Q201" s="2"/>
      <c r="R201" s="2"/>
      <c r="S201" s="2"/>
      <c r="T201" s="2"/>
      <c r="U201" s="2"/>
      <c r="V201" s="2"/>
      <c r="W201" s="2"/>
      <c r="X201" s="2"/>
    </row>
    <row r="202" spans="2:24" ht="15.75" customHeight="1" x14ac:dyDescent="0.3">
      <c r="B202" s="2"/>
      <c r="C202" s="61" t="s">
        <v>424</v>
      </c>
      <c r="D202" s="62" t="s">
        <v>462</v>
      </c>
      <c r="E202" s="63" t="s">
        <v>463</v>
      </c>
      <c r="F202" s="64">
        <v>5896.5</v>
      </c>
      <c r="G202" s="65">
        <v>6354</v>
      </c>
      <c r="H202" s="65">
        <v>7323</v>
      </c>
      <c r="I202" s="65">
        <v>8034</v>
      </c>
      <c r="J202" s="65">
        <v>10201.5</v>
      </c>
      <c r="K202" s="65">
        <v>12925.5</v>
      </c>
      <c r="L202" s="65">
        <v>15213</v>
      </c>
      <c r="M202" s="66">
        <v>1035</v>
      </c>
      <c r="N202" s="67">
        <v>834</v>
      </c>
      <c r="O202" s="60"/>
      <c r="P202" s="2"/>
      <c r="Q202" s="2"/>
      <c r="R202" s="2"/>
      <c r="S202" s="2"/>
      <c r="T202" s="2"/>
      <c r="U202" s="2"/>
      <c r="V202" s="2"/>
      <c r="W202" s="2"/>
      <c r="X202" s="2"/>
    </row>
    <row r="203" spans="2:24" ht="15.75" customHeight="1" x14ac:dyDescent="0.3">
      <c r="B203" s="2"/>
      <c r="C203" s="68" t="s">
        <v>424</v>
      </c>
      <c r="D203" s="69" t="s">
        <v>464</v>
      </c>
      <c r="E203" s="70" t="s">
        <v>465</v>
      </c>
      <c r="F203" s="71">
        <v>5896.5</v>
      </c>
      <c r="G203" s="72">
        <v>6354</v>
      </c>
      <c r="H203" s="72">
        <v>7323</v>
      </c>
      <c r="I203" s="72">
        <v>8034</v>
      </c>
      <c r="J203" s="72">
        <v>10201.5</v>
      </c>
      <c r="K203" s="72">
        <v>12925.5</v>
      </c>
      <c r="L203" s="72">
        <v>15213</v>
      </c>
      <c r="M203" s="73">
        <v>1035</v>
      </c>
      <c r="N203" s="74">
        <v>834</v>
      </c>
      <c r="O203" s="60"/>
      <c r="P203" s="2"/>
      <c r="Q203" s="2"/>
      <c r="R203" s="2"/>
      <c r="S203" s="2"/>
      <c r="T203" s="2"/>
      <c r="U203" s="2"/>
      <c r="V203" s="2"/>
      <c r="W203" s="2"/>
      <c r="X203" s="2"/>
    </row>
    <row r="204" spans="2:24" ht="15.75" customHeight="1" x14ac:dyDescent="0.3">
      <c r="B204" s="2"/>
      <c r="C204" s="53" t="s">
        <v>466</v>
      </c>
      <c r="D204" s="54" t="s">
        <v>467</v>
      </c>
      <c r="E204" s="55" t="s">
        <v>43</v>
      </c>
      <c r="F204" s="56">
        <v>3931</v>
      </c>
      <c r="G204" s="57">
        <v>4236</v>
      </c>
      <c r="H204" s="57">
        <v>4882</v>
      </c>
      <c r="I204" s="57">
        <v>5356</v>
      </c>
      <c r="J204" s="57">
        <v>6801</v>
      </c>
      <c r="K204" s="57">
        <v>8617</v>
      </c>
      <c r="L204" s="57">
        <v>10142</v>
      </c>
      <c r="M204" s="58">
        <v>690</v>
      </c>
      <c r="N204" s="59">
        <v>556</v>
      </c>
      <c r="O204" s="60"/>
      <c r="P204" s="2"/>
      <c r="Q204" s="2"/>
      <c r="R204" s="2"/>
      <c r="S204" s="2"/>
      <c r="T204" s="2"/>
      <c r="U204" s="2"/>
      <c r="V204" s="2"/>
      <c r="W204" s="2"/>
      <c r="X204" s="2"/>
    </row>
    <row r="205" spans="2:24" ht="15.75" customHeight="1" x14ac:dyDescent="0.3">
      <c r="B205" s="2"/>
      <c r="C205" s="75" t="s">
        <v>466</v>
      </c>
      <c r="D205" s="76" t="s">
        <v>468</v>
      </c>
      <c r="E205" s="77" t="s">
        <v>469</v>
      </c>
      <c r="F205" s="64">
        <v>6135</v>
      </c>
      <c r="G205" s="65">
        <v>6610.5</v>
      </c>
      <c r="H205" s="65">
        <v>7615.5</v>
      </c>
      <c r="I205" s="65">
        <v>8347.5</v>
      </c>
      <c r="J205" s="65">
        <v>10570.5</v>
      </c>
      <c r="K205" s="65">
        <v>13351.5</v>
      </c>
      <c r="L205" s="65">
        <v>15661.5</v>
      </c>
      <c r="M205" s="66">
        <v>1039.5</v>
      </c>
      <c r="N205" s="67">
        <v>846</v>
      </c>
      <c r="O205" s="60"/>
      <c r="P205" s="2"/>
      <c r="Q205" s="2"/>
      <c r="R205" s="2"/>
      <c r="S205" s="2"/>
      <c r="T205" s="2"/>
      <c r="U205" s="2"/>
      <c r="V205" s="2"/>
      <c r="W205" s="2"/>
      <c r="X205" s="2"/>
    </row>
    <row r="206" spans="2:24" ht="15.75" customHeight="1" x14ac:dyDescent="0.3">
      <c r="B206" s="2"/>
      <c r="C206" s="61" t="s">
        <v>466</v>
      </c>
      <c r="D206" s="62" t="s">
        <v>470</v>
      </c>
      <c r="E206" s="63" t="s">
        <v>471</v>
      </c>
      <c r="F206" s="64">
        <v>4090</v>
      </c>
      <c r="G206" s="65">
        <v>4407</v>
      </c>
      <c r="H206" s="65">
        <v>5077</v>
      </c>
      <c r="I206" s="65">
        <v>5565</v>
      </c>
      <c r="J206" s="65">
        <v>7047</v>
      </c>
      <c r="K206" s="65">
        <v>8901</v>
      </c>
      <c r="L206" s="65">
        <v>10441</v>
      </c>
      <c r="M206" s="66">
        <v>693</v>
      </c>
      <c r="N206" s="67">
        <v>564</v>
      </c>
      <c r="O206" s="60"/>
      <c r="P206" s="2"/>
      <c r="Q206" s="2"/>
      <c r="R206" s="2"/>
      <c r="S206" s="2"/>
      <c r="T206" s="2"/>
      <c r="U206" s="2"/>
      <c r="V206" s="2"/>
      <c r="W206" s="2"/>
      <c r="X206" s="2"/>
    </row>
    <row r="207" spans="2:24" ht="15.75" customHeight="1" x14ac:dyDescent="0.3">
      <c r="B207" s="2"/>
      <c r="C207" s="61" t="s">
        <v>466</v>
      </c>
      <c r="D207" s="62" t="s">
        <v>472</v>
      </c>
      <c r="E207" s="63" t="s">
        <v>473</v>
      </c>
      <c r="F207" s="64">
        <v>3931</v>
      </c>
      <c r="G207" s="65">
        <v>4236</v>
      </c>
      <c r="H207" s="65">
        <v>4882</v>
      </c>
      <c r="I207" s="65">
        <v>5356</v>
      </c>
      <c r="J207" s="65">
        <v>6801</v>
      </c>
      <c r="K207" s="65">
        <v>8617</v>
      </c>
      <c r="L207" s="65">
        <v>10142</v>
      </c>
      <c r="M207" s="66">
        <v>690</v>
      </c>
      <c r="N207" s="67">
        <v>556</v>
      </c>
      <c r="O207" s="60"/>
      <c r="P207" s="2"/>
      <c r="Q207" s="2"/>
      <c r="R207" s="2"/>
      <c r="S207" s="2"/>
      <c r="T207" s="2"/>
      <c r="U207" s="2"/>
      <c r="V207" s="2"/>
      <c r="W207" s="2"/>
      <c r="X207" s="2"/>
    </row>
    <row r="208" spans="2:24" ht="15.75" customHeight="1" x14ac:dyDescent="0.3">
      <c r="B208" s="2"/>
      <c r="C208" s="61" t="s">
        <v>466</v>
      </c>
      <c r="D208" s="62" t="s">
        <v>474</v>
      </c>
      <c r="E208" s="63" t="s">
        <v>475</v>
      </c>
      <c r="F208" s="64">
        <v>4090</v>
      </c>
      <c r="G208" s="65">
        <v>4407</v>
      </c>
      <c r="H208" s="65">
        <v>5077</v>
      </c>
      <c r="I208" s="65">
        <v>5565</v>
      </c>
      <c r="J208" s="65">
        <v>7047</v>
      </c>
      <c r="K208" s="65">
        <v>8901</v>
      </c>
      <c r="L208" s="65">
        <v>10441</v>
      </c>
      <c r="M208" s="66">
        <v>693</v>
      </c>
      <c r="N208" s="67">
        <v>564</v>
      </c>
      <c r="O208" s="60"/>
      <c r="P208" s="2"/>
      <c r="Q208" s="2"/>
      <c r="R208" s="2"/>
      <c r="S208" s="2"/>
      <c r="T208" s="2"/>
      <c r="U208" s="2"/>
      <c r="V208" s="2"/>
      <c r="W208" s="2"/>
      <c r="X208" s="2"/>
    </row>
    <row r="209" spans="2:24" ht="15.75" customHeight="1" x14ac:dyDescent="0.3">
      <c r="B209" s="2"/>
      <c r="C209" s="61" t="s">
        <v>466</v>
      </c>
      <c r="D209" s="62" t="s">
        <v>476</v>
      </c>
      <c r="E209" s="63" t="s">
        <v>477</v>
      </c>
      <c r="F209" s="64">
        <v>5896.5</v>
      </c>
      <c r="G209" s="65">
        <v>6354</v>
      </c>
      <c r="H209" s="65">
        <v>7323</v>
      </c>
      <c r="I209" s="65">
        <v>8034</v>
      </c>
      <c r="J209" s="65">
        <v>10201.5</v>
      </c>
      <c r="K209" s="65">
        <v>12925.5</v>
      </c>
      <c r="L209" s="65">
        <v>15213</v>
      </c>
      <c r="M209" s="66">
        <v>1035</v>
      </c>
      <c r="N209" s="67">
        <v>834</v>
      </c>
      <c r="O209" s="60"/>
      <c r="P209" s="2"/>
      <c r="Q209" s="2"/>
      <c r="R209" s="2"/>
      <c r="S209" s="2"/>
      <c r="T209" s="2"/>
      <c r="U209" s="2"/>
      <c r="V209" s="2"/>
      <c r="W209" s="2"/>
      <c r="X209" s="2"/>
    </row>
    <row r="210" spans="2:24" ht="15.75" customHeight="1" x14ac:dyDescent="0.3">
      <c r="B210" s="2"/>
      <c r="C210" s="61" t="s">
        <v>466</v>
      </c>
      <c r="D210" s="62" t="s">
        <v>478</v>
      </c>
      <c r="E210" s="63" t="s">
        <v>479</v>
      </c>
      <c r="F210" s="64">
        <v>3931</v>
      </c>
      <c r="G210" s="65">
        <v>4236</v>
      </c>
      <c r="H210" s="65">
        <v>4882</v>
      </c>
      <c r="I210" s="65">
        <v>5356</v>
      </c>
      <c r="J210" s="65">
        <v>6801</v>
      </c>
      <c r="K210" s="65">
        <v>8617</v>
      </c>
      <c r="L210" s="65">
        <v>10142</v>
      </c>
      <c r="M210" s="66">
        <v>690</v>
      </c>
      <c r="N210" s="67">
        <v>556</v>
      </c>
      <c r="O210" s="60"/>
      <c r="P210" s="2"/>
      <c r="Q210" s="2"/>
      <c r="R210" s="2"/>
      <c r="S210" s="2"/>
      <c r="T210" s="2"/>
      <c r="U210" s="2"/>
      <c r="V210" s="2"/>
      <c r="W210" s="2"/>
      <c r="X210" s="2"/>
    </row>
    <row r="211" spans="2:24" ht="15.75" customHeight="1" x14ac:dyDescent="0.3">
      <c r="B211" s="2"/>
      <c r="C211" s="61" t="s">
        <v>466</v>
      </c>
      <c r="D211" s="62" t="s">
        <v>480</v>
      </c>
      <c r="E211" s="63" t="s">
        <v>481</v>
      </c>
      <c r="F211" s="64">
        <v>5896.5</v>
      </c>
      <c r="G211" s="65">
        <v>6354</v>
      </c>
      <c r="H211" s="65">
        <v>7323</v>
      </c>
      <c r="I211" s="65">
        <v>8034</v>
      </c>
      <c r="J211" s="65">
        <v>10201.5</v>
      </c>
      <c r="K211" s="65">
        <v>12925.5</v>
      </c>
      <c r="L211" s="65">
        <v>15213</v>
      </c>
      <c r="M211" s="66">
        <v>1035</v>
      </c>
      <c r="N211" s="67">
        <v>834</v>
      </c>
      <c r="O211" s="60"/>
      <c r="P211" s="2"/>
      <c r="Q211" s="2"/>
      <c r="R211" s="2"/>
      <c r="S211" s="2"/>
      <c r="T211" s="2"/>
      <c r="U211" s="2"/>
      <c r="V211" s="2"/>
      <c r="W211" s="2"/>
      <c r="X211" s="2"/>
    </row>
    <row r="212" spans="2:24" ht="15.75" customHeight="1" x14ac:dyDescent="0.3">
      <c r="B212" s="2"/>
      <c r="C212" s="61" t="s">
        <v>466</v>
      </c>
      <c r="D212" s="62" t="s">
        <v>482</v>
      </c>
      <c r="E212" s="63" t="s">
        <v>483</v>
      </c>
      <c r="F212" s="64">
        <v>3931</v>
      </c>
      <c r="G212" s="65">
        <v>4236</v>
      </c>
      <c r="H212" s="65">
        <v>4882</v>
      </c>
      <c r="I212" s="65">
        <v>5356</v>
      </c>
      <c r="J212" s="65">
        <v>6801</v>
      </c>
      <c r="K212" s="65">
        <v>8617</v>
      </c>
      <c r="L212" s="65">
        <v>10142</v>
      </c>
      <c r="M212" s="66">
        <v>690</v>
      </c>
      <c r="N212" s="67">
        <v>556</v>
      </c>
      <c r="O212" s="60"/>
      <c r="P212" s="2"/>
      <c r="Q212" s="2"/>
      <c r="R212" s="2"/>
      <c r="S212" s="2"/>
      <c r="T212" s="2"/>
      <c r="U212" s="2"/>
      <c r="V212" s="2"/>
      <c r="W212" s="2"/>
      <c r="X212" s="2"/>
    </row>
    <row r="213" spans="2:24" ht="15.75" customHeight="1" x14ac:dyDescent="0.3">
      <c r="B213" s="2"/>
      <c r="C213" s="61" t="s">
        <v>466</v>
      </c>
      <c r="D213" s="62" t="s">
        <v>484</v>
      </c>
      <c r="E213" s="63" t="s">
        <v>485</v>
      </c>
      <c r="F213" s="64">
        <v>5896.5</v>
      </c>
      <c r="G213" s="65">
        <v>6354</v>
      </c>
      <c r="H213" s="65">
        <v>7323</v>
      </c>
      <c r="I213" s="65">
        <v>8034</v>
      </c>
      <c r="J213" s="65">
        <v>10201.5</v>
      </c>
      <c r="K213" s="65">
        <v>12925.5</v>
      </c>
      <c r="L213" s="65">
        <v>15213</v>
      </c>
      <c r="M213" s="66">
        <v>1035</v>
      </c>
      <c r="N213" s="67">
        <v>834</v>
      </c>
      <c r="O213" s="60"/>
      <c r="P213" s="2"/>
      <c r="Q213" s="2"/>
      <c r="R213" s="2"/>
      <c r="S213" s="2"/>
      <c r="T213" s="2"/>
      <c r="U213" s="2"/>
      <c r="V213" s="2"/>
      <c r="W213" s="2"/>
      <c r="X213" s="2"/>
    </row>
    <row r="214" spans="2:24" ht="15.75" customHeight="1" x14ac:dyDescent="0.3">
      <c r="B214" s="2"/>
      <c r="C214" s="61" t="s">
        <v>466</v>
      </c>
      <c r="D214" s="62" t="s">
        <v>486</v>
      </c>
      <c r="E214" s="63" t="s">
        <v>487</v>
      </c>
      <c r="F214" s="64">
        <v>3931</v>
      </c>
      <c r="G214" s="65">
        <v>4236</v>
      </c>
      <c r="H214" s="65">
        <v>4882</v>
      </c>
      <c r="I214" s="65">
        <v>5356</v>
      </c>
      <c r="J214" s="65">
        <v>6801</v>
      </c>
      <c r="K214" s="65">
        <v>8617</v>
      </c>
      <c r="L214" s="65">
        <v>10142</v>
      </c>
      <c r="M214" s="66">
        <v>690</v>
      </c>
      <c r="N214" s="67">
        <v>556</v>
      </c>
      <c r="O214" s="60"/>
      <c r="P214" s="2"/>
      <c r="Q214" s="2"/>
      <c r="R214" s="2"/>
      <c r="S214" s="2"/>
      <c r="T214" s="2"/>
      <c r="U214" s="2"/>
      <c r="V214" s="2"/>
      <c r="W214" s="2"/>
      <c r="X214" s="2"/>
    </row>
    <row r="215" spans="2:24" ht="15.75" customHeight="1" x14ac:dyDescent="0.3">
      <c r="B215" s="2"/>
      <c r="C215" s="61" t="s">
        <v>466</v>
      </c>
      <c r="D215" s="62" t="s">
        <v>488</v>
      </c>
      <c r="E215" s="63" t="s">
        <v>489</v>
      </c>
      <c r="F215" s="64">
        <v>3931</v>
      </c>
      <c r="G215" s="65">
        <v>4236</v>
      </c>
      <c r="H215" s="65">
        <v>4882</v>
      </c>
      <c r="I215" s="65">
        <v>5356</v>
      </c>
      <c r="J215" s="65">
        <v>6801</v>
      </c>
      <c r="K215" s="65">
        <v>8617</v>
      </c>
      <c r="L215" s="65">
        <v>10142</v>
      </c>
      <c r="M215" s="66">
        <v>690</v>
      </c>
      <c r="N215" s="67">
        <v>556</v>
      </c>
      <c r="O215" s="60"/>
      <c r="P215" s="2"/>
      <c r="Q215" s="2"/>
      <c r="R215" s="2"/>
      <c r="S215" s="2"/>
      <c r="T215" s="2"/>
      <c r="U215" s="2"/>
      <c r="V215" s="2"/>
      <c r="W215" s="2"/>
      <c r="X215" s="2"/>
    </row>
    <row r="216" spans="2:24" ht="15.75" customHeight="1" x14ac:dyDescent="0.3">
      <c r="B216" s="2"/>
      <c r="C216" s="61" t="s">
        <v>466</v>
      </c>
      <c r="D216" s="62" t="s">
        <v>490</v>
      </c>
      <c r="E216" s="63" t="s">
        <v>491</v>
      </c>
      <c r="F216" s="64">
        <v>3931</v>
      </c>
      <c r="G216" s="65">
        <v>4236</v>
      </c>
      <c r="H216" s="65">
        <v>4882</v>
      </c>
      <c r="I216" s="65">
        <v>5356</v>
      </c>
      <c r="J216" s="65">
        <v>6801</v>
      </c>
      <c r="K216" s="65">
        <v>8617</v>
      </c>
      <c r="L216" s="65">
        <v>10142</v>
      </c>
      <c r="M216" s="66">
        <v>690</v>
      </c>
      <c r="N216" s="67">
        <v>556</v>
      </c>
      <c r="O216" s="60"/>
      <c r="P216" s="2"/>
      <c r="Q216" s="2"/>
      <c r="R216" s="2"/>
      <c r="S216" s="2"/>
      <c r="T216" s="2"/>
      <c r="U216" s="2"/>
      <c r="V216" s="2"/>
      <c r="W216" s="2"/>
      <c r="X216" s="2"/>
    </row>
    <row r="217" spans="2:24" ht="15.75" customHeight="1" x14ac:dyDescent="0.3">
      <c r="B217" s="2"/>
      <c r="C217" s="61" t="s">
        <v>466</v>
      </c>
      <c r="D217" s="62" t="s">
        <v>492</v>
      </c>
      <c r="E217" s="63" t="s">
        <v>493</v>
      </c>
      <c r="F217" s="64">
        <v>4090</v>
      </c>
      <c r="G217" s="65">
        <v>4407</v>
      </c>
      <c r="H217" s="65">
        <v>5077</v>
      </c>
      <c r="I217" s="65">
        <v>5565</v>
      </c>
      <c r="J217" s="65">
        <v>7047</v>
      </c>
      <c r="K217" s="65">
        <v>8901</v>
      </c>
      <c r="L217" s="65">
        <v>10441</v>
      </c>
      <c r="M217" s="66">
        <v>693</v>
      </c>
      <c r="N217" s="67">
        <v>564</v>
      </c>
      <c r="O217" s="60"/>
      <c r="P217" s="2"/>
      <c r="Q217" s="2"/>
      <c r="R217" s="2"/>
      <c r="S217" s="2"/>
      <c r="T217" s="2"/>
      <c r="U217" s="2"/>
      <c r="V217" s="2"/>
      <c r="W217" s="2"/>
      <c r="X217" s="2"/>
    </row>
    <row r="218" spans="2:24" ht="15.75" customHeight="1" x14ac:dyDescent="0.3">
      <c r="B218" s="2"/>
      <c r="C218" s="61" t="s">
        <v>466</v>
      </c>
      <c r="D218" s="62" t="s">
        <v>494</v>
      </c>
      <c r="E218" s="63" t="s">
        <v>495</v>
      </c>
      <c r="F218" s="64">
        <v>5896.5</v>
      </c>
      <c r="G218" s="65">
        <v>6354</v>
      </c>
      <c r="H218" s="65">
        <v>7323</v>
      </c>
      <c r="I218" s="65">
        <v>8034</v>
      </c>
      <c r="J218" s="65">
        <v>10201.5</v>
      </c>
      <c r="K218" s="65">
        <v>12925.5</v>
      </c>
      <c r="L218" s="65">
        <v>15213</v>
      </c>
      <c r="M218" s="66">
        <v>1035</v>
      </c>
      <c r="N218" s="67">
        <v>834</v>
      </c>
      <c r="O218" s="60"/>
      <c r="P218" s="2"/>
      <c r="Q218" s="2"/>
      <c r="R218" s="2"/>
      <c r="S218" s="2"/>
      <c r="T218" s="2"/>
      <c r="U218" s="2"/>
      <c r="V218" s="2"/>
      <c r="W218" s="2"/>
      <c r="X218" s="2"/>
    </row>
    <row r="219" spans="2:24" ht="15.75" customHeight="1" x14ac:dyDescent="0.3">
      <c r="B219" s="2"/>
      <c r="C219" s="61" t="s">
        <v>466</v>
      </c>
      <c r="D219" s="62" t="s">
        <v>496</v>
      </c>
      <c r="E219" s="63" t="s">
        <v>497</v>
      </c>
      <c r="F219" s="64">
        <v>5896.5</v>
      </c>
      <c r="G219" s="65">
        <v>6354</v>
      </c>
      <c r="H219" s="65">
        <v>7323</v>
      </c>
      <c r="I219" s="65">
        <v>8034</v>
      </c>
      <c r="J219" s="65">
        <v>10201.5</v>
      </c>
      <c r="K219" s="65">
        <v>12925.5</v>
      </c>
      <c r="L219" s="65">
        <v>15213</v>
      </c>
      <c r="M219" s="66">
        <v>1035</v>
      </c>
      <c r="N219" s="67">
        <v>834</v>
      </c>
      <c r="O219" s="60"/>
      <c r="P219" s="2"/>
      <c r="Q219" s="2"/>
      <c r="R219" s="2"/>
      <c r="S219" s="2"/>
      <c r="T219" s="2"/>
      <c r="U219" s="2"/>
      <c r="V219" s="2"/>
      <c r="W219" s="2"/>
      <c r="X219" s="2"/>
    </row>
    <row r="220" spans="2:24" ht="15.75" customHeight="1" x14ac:dyDescent="0.3">
      <c r="B220" s="2"/>
      <c r="C220" s="61" t="s">
        <v>466</v>
      </c>
      <c r="D220" s="62" t="s">
        <v>498</v>
      </c>
      <c r="E220" s="63" t="s">
        <v>44</v>
      </c>
      <c r="F220" s="64">
        <v>4090</v>
      </c>
      <c r="G220" s="65">
        <v>4407</v>
      </c>
      <c r="H220" s="65">
        <v>5077</v>
      </c>
      <c r="I220" s="65">
        <v>5565</v>
      </c>
      <c r="J220" s="65">
        <v>7047</v>
      </c>
      <c r="K220" s="65">
        <v>8901</v>
      </c>
      <c r="L220" s="65">
        <v>10441</v>
      </c>
      <c r="M220" s="66">
        <v>693</v>
      </c>
      <c r="N220" s="67">
        <v>564</v>
      </c>
      <c r="O220" s="60"/>
      <c r="P220" s="2"/>
      <c r="Q220" s="2"/>
      <c r="R220" s="2"/>
      <c r="S220" s="2"/>
      <c r="T220" s="2"/>
      <c r="U220" s="2"/>
      <c r="V220" s="2"/>
      <c r="W220" s="2"/>
      <c r="X220" s="2"/>
    </row>
    <row r="221" spans="2:24" ht="15.75" customHeight="1" x14ac:dyDescent="0.3">
      <c r="B221" s="2"/>
      <c r="C221" s="61" t="s">
        <v>466</v>
      </c>
      <c r="D221" s="62" t="s">
        <v>499</v>
      </c>
      <c r="E221" s="63" t="s">
        <v>500</v>
      </c>
      <c r="F221" s="64">
        <v>3931</v>
      </c>
      <c r="G221" s="65">
        <v>4236</v>
      </c>
      <c r="H221" s="65">
        <v>4882</v>
      </c>
      <c r="I221" s="65">
        <v>5356</v>
      </c>
      <c r="J221" s="65">
        <v>6801</v>
      </c>
      <c r="K221" s="65">
        <v>8617</v>
      </c>
      <c r="L221" s="65">
        <v>10142</v>
      </c>
      <c r="M221" s="66">
        <v>690</v>
      </c>
      <c r="N221" s="67">
        <v>556</v>
      </c>
      <c r="O221" s="60"/>
      <c r="P221" s="2"/>
      <c r="Q221" s="2"/>
      <c r="R221" s="2"/>
      <c r="S221" s="2"/>
      <c r="T221" s="2"/>
      <c r="U221" s="2"/>
      <c r="V221" s="2"/>
      <c r="W221" s="2"/>
      <c r="X221" s="2"/>
    </row>
    <row r="222" spans="2:24" ht="15.75" customHeight="1" x14ac:dyDescent="0.3">
      <c r="B222" s="2"/>
      <c r="C222" s="61" t="s">
        <v>466</v>
      </c>
      <c r="D222" s="62" t="s">
        <v>501</v>
      </c>
      <c r="E222" s="63" t="s">
        <v>502</v>
      </c>
      <c r="F222" s="64">
        <v>4090</v>
      </c>
      <c r="G222" s="65">
        <v>4407</v>
      </c>
      <c r="H222" s="65">
        <v>5077</v>
      </c>
      <c r="I222" s="65">
        <v>5565</v>
      </c>
      <c r="J222" s="65">
        <v>7047</v>
      </c>
      <c r="K222" s="65">
        <v>8901</v>
      </c>
      <c r="L222" s="65">
        <v>10441</v>
      </c>
      <c r="M222" s="66">
        <v>693</v>
      </c>
      <c r="N222" s="67">
        <v>564</v>
      </c>
      <c r="O222" s="60"/>
      <c r="P222" s="2"/>
      <c r="Q222" s="2"/>
      <c r="R222" s="2"/>
      <c r="S222" s="2"/>
      <c r="T222" s="2"/>
      <c r="U222" s="2"/>
      <c r="V222" s="2"/>
      <c r="W222" s="2"/>
      <c r="X222" s="2"/>
    </row>
    <row r="223" spans="2:24" ht="15.75" customHeight="1" x14ac:dyDescent="0.3">
      <c r="B223" s="2"/>
      <c r="C223" s="61" t="s">
        <v>466</v>
      </c>
      <c r="D223" s="62" t="s">
        <v>503</v>
      </c>
      <c r="E223" s="63" t="s">
        <v>504</v>
      </c>
      <c r="F223" s="64">
        <v>4090</v>
      </c>
      <c r="G223" s="65">
        <v>4407</v>
      </c>
      <c r="H223" s="65">
        <v>5077</v>
      </c>
      <c r="I223" s="65">
        <v>5565</v>
      </c>
      <c r="J223" s="65">
        <v>7047</v>
      </c>
      <c r="K223" s="65">
        <v>8901</v>
      </c>
      <c r="L223" s="65">
        <v>10441</v>
      </c>
      <c r="M223" s="66">
        <v>693</v>
      </c>
      <c r="N223" s="67">
        <v>564</v>
      </c>
      <c r="O223" s="60"/>
      <c r="P223" s="2"/>
      <c r="Q223" s="2"/>
      <c r="R223" s="2"/>
      <c r="S223" s="2"/>
      <c r="T223" s="2"/>
      <c r="U223" s="2"/>
      <c r="V223" s="2"/>
      <c r="W223" s="2"/>
      <c r="X223" s="2"/>
    </row>
    <row r="224" spans="2:24" ht="15.75" customHeight="1" x14ac:dyDescent="0.3">
      <c r="B224" s="2"/>
      <c r="C224" s="61" t="s">
        <v>466</v>
      </c>
      <c r="D224" s="62" t="s">
        <v>505</v>
      </c>
      <c r="E224" s="63" t="s">
        <v>506</v>
      </c>
      <c r="F224" s="64">
        <v>4090</v>
      </c>
      <c r="G224" s="65">
        <v>4407</v>
      </c>
      <c r="H224" s="65">
        <v>5077</v>
      </c>
      <c r="I224" s="65">
        <v>5565</v>
      </c>
      <c r="J224" s="65">
        <v>7047</v>
      </c>
      <c r="K224" s="65">
        <v>8901</v>
      </c>
      <c r="L224" s="65">
        <v>10441</v>
      </c>
      <c r="M224" s="66">
        <v>693</v>
      </c>
      <c r="N224" s="67">
        <v>564</v>
      </c>
      <c r="O224" s="60"/>
      <c r="P224" s="2"/>
      <c r="Q224" s="2"/>
      <c r="R224" s="2"/>
      <c r="S224" s="2"/>
      <c r="T224" s="2"/>
      <c r="U224" s="2"/>
      <c r="V224" s="2"/>
      <c r="W224" s="2"/>
      <c r="X224" s="2"/>
    </row>
    <row r="225" spans="2:24" ht="15.75" customHeight="1" x14ac:dyDescent="0.3">
      <c r="B225" s="2"/>
      <c r="C225" s="61" t="s">
        <v>466</v>
      </c>
      <c r="D225" s="62" t="s">
        <v>507</v>
      </c>
      <c r="E225" s="63" t="s">
        <v>508</v>
      </c>
      <c r="F225" s="64">
        <v>3931</v>
      </c>
      <c r="G225" s="65">
        <v>4236</v>
      </c>
      <c r="H225" s="65">
        <v>4882</v>
      </c>
      <c r="I225" s="65">
        <v>5356</v>
      </c>
      <c r="J225" s="65">
        <v>6801</v>
      </c>
      <c r="K225" s="65">
        <v>8617</v>
      </c>
      <c r="L225" s="65">
        <v>10142</v>
      </c>
      <c r="M225" s="66">
        <v>690</v>
      </c>
      <c r="N225" s="67">
        <v>556</v>
      </c>
      <c r="O225" s="60"/>
      <c r="P225" s="2"/>
      <c r="Q225" s="2"/>
      <c r="R225" s="2"/>
      <c r="S225" s="2"/>
      <c r="T225" s="2"/>
      <c r="U225" s="2"/>
      <c r="V225" s="2"/>
      <c r="W225" s="2"/>
      <c r="X225" s="2"/>
    </row>
    <row r="226" spans="2:24" ht="15.75" customHeight="1" x14ac:dyDescent="0.3">
      <c r="B226" s="2"/>
      <c r="C226" s="61" t="s">
        <v>466</v>
      </c>
      <c r="D226" s="62" t="s">
        <v>509</v>
      </c>
      <c r="E226" s="63" t="s">
        <v>510</v>
      </c>
      <c r="F226" s="64">
        <v>4090</v>
      </c>
      <c r="G226" s="65">
        <v>4407</v>
      </c>
      <c r="H226" s="65">
        <v>5077</v>
      </c>
      <c r="I226" s="65">
        <v>5565</v>
      </c>
      <c r="J226" s="65">
        <v>7047</v>
      </c>
      <c r="K226" s="65">
        <v>8901</v>
      </c>
      <c r="L226" s="65">
        <v>10441</v>
      </c>
      <c r="M226" s="66">
        <v>693</v>
      </c>
      <c r="N226" s="67">
        <v>564</v>
      </c>
      <c r="O226" s="60"/>
      <c r="P226" s="2"/>
      <c r="Q226" s="2"/>
      <c r="R226" s="2"/>
      <c r="S226" s="2"/>
      <c r="T226" s="2"/>
      <c r="U226" s="2"/>
      <c r="V226" s="2"/>
      <c r="W226" s="2"/>
      <c r="X226" s="2"/>
    </row>
    <row r="227" spans="2:24" ht="15.75" customHeight="1" x14ac:dyDescent="0.3">
      <c r="B227" s="2"/>
      <c r="C227" s="61" t="s">
        <v>466</v>
      </c>
      <c r="D227" s="62" t="s">
        <v>511</v>
      </c>
      <c r="E227" s="63" t="s">
        <v>512</v>
      </c>
      <c r="F227" s="64">
        <v>4090</v>
      </c>
      <c r="G227" s="65">
        <v>4407</v>
      </c>
      <c r="H227" s="65">
        <v>5077</v>
      </c>
      <c r="I227" s="65">
        <v>5565</v>
      </c>
      <c r="J227" s="65">
        <v>7047</v>
      </c>
      <c r="K227" s="65">
        <v>8901</v>
      </c>
      <c r="L227" s="65">
        <v>10441</v>
      </c>
      <c r="M227" s="66">
        <v>693</v>
      </c>
      <c r="N227" s="67">
        <v>564</v>
      </c>
      <c r="O227" s="60"/>
      <c r="P227" s="2"/>
      <c r="Q227" s="2"/>
      <c r="R227" s="2"/>
      <c r="S227" s="2"/>
      <c r="T227" s="2"/>
      <c r="U227" s="2"/>
      <c r="V227" s="2"/>
      <c r="W227" s="2"/>
      <c r="X227" s="2"/>
    </row>
    <row r="228" spans="2:24" ht="15.75" customHeight="1" x14ac:dyDescent="0.3">
      <c r="B228" s="2"/>
      <c r="C228" s="61" t="s">
        <v>466</v>
      </c>
      <c r="D228" s="62" t="s">
        <v>513</v>
      </c>
      <c r="E228" s="63" t="s">
        <v>514</v>
      </c>
      <c r="F228" s="64">
        <v>3931</v>
      </c>
      <c r="G228" s="65">
        <v>4236</v>
      </c>
      <c r="H228" s="65">
        <v>4882</v>
      </c>
      <c r="I228" s="65">
        <v>5356</v>
      </c>
      <c r="J228" s="65">
        <v>6801</v>
      </c>
      <c r="K228" s="65">
        <v>8617</v>
      </c>
      <c r="L228" s="65">
        <v>10142</v>
      </c>
      <c r="M228" s="66">
        <v>690</v>
      </c>
      <c r="N228" s="67">
        <v>556</v>
      </c>
      <c r="O228" s="60"/>
      <c r="P228" s="2"/>
      <c r="Q228" s="2"/>
      <c r="R228" s="2"/>
      <c r="S228" s="2"/>
      <c r="T228" s="2"/>
      <c r="U228" s="2"/>
      <c r="V228" s="2"/>
      <c r="W228" s="2"/>
      <c r="X228" s="2"/>
    </row>
    <row r="229" spans="2:24" ht="15.75" customHeight="1" x14ac:dyDescent="0.3">
      <c r="B229" s="2"/>
      <c r="C229" s="61" t="s">
        <v>466</v>
      </c>
      <c r="D229" s="62" t="s">
        <v>515</v>
      </c>
      <c r="E229" s="63" t="s">
        <v>516</v>
      </c>
      <c r="F229" s="64">
        <v>4090</v>
      </c>
      <c r="G229" s="65">
        <v>4407</v>
      </c>
      <c r="H229" s="65">
        <v>5077</v>
      </c>
      <c r="I229" s="65">
        <v>5565</v>
      </c>
      <c r="J229" s="65">
        <v>7047</v>
      </c>
      <c r="K229" s="65">
        <v>8901</v>
      </c>
      <c r="L229" s="65">
        <v>10441</v>
      </c>
      <c r="M229" s="66">
        <v>693</v>
      </c>
      <c r="N229" s="67">
        <v>564</v>
      </c>
      <c r="O229" s="60"/>
      <c r="P229" s="2"/>
      <c r="Q229" s="2"/>
      <c r="R229" s="2"/>
      <c r="S229" s="2"/>
      <c r="T229" s="2"/>
      <c r="U229" s="2"/>
      <c r="V229" s="2"/>
      <c r="W229" s="2"/>
      <c r="X229" s="2"/>
    </row>
    <row r="230" spans="2:24" ht="15.75" customHeight="1" x14ac:dyDescent="0.3">
      <c r="B230" s="2"/>
      <c r="C230" s="61" t="s">
        <v>466</v>
      </c>
      <c r="D230" s="62" t="s">
        <v>517</v>
      </c>
      <c r="E230" s="63" t="s">
        <v>518</v>
      </c>
      <c r="F230" s="64">
        <v>4090</v>
      </c>
      <c r="G230" s="65">
        <v>4407</v>
      </c>
      <c r="H230" s="65">
        <v>5077</v>
      </c>
      <c r="I230" s="65">
        <v>5565</v>
      </c>
      <c r="J230" s="65">
        <v>7047</v>
      </c>
      <c r="K230" s="65">
        <v>8901</v>
      </c>
      <c r="L230" s="65">
        <v>10441</v>
      </c>
      <c r="M230" s="66">
        <v>693</v>
      </c>
      <c r="N230" s="67">
        <v>564</v>
      </c>
      <c r="O230" s="60"/>
      <c r="P230" s="2"/>
      <c r="Q230" s="2"/>
      <c r="R230" s="2"/>
      <c r="S230" s="2"/>
      <c r="T230" s="2"/>
      <c r="U230" s="2"/>
      <c r="V230" s="2"/>
      <c r="W230" s="2"/>
      <c r="X230" s="2"/>
    </row>
    <row r="231" spans="2:24" ht="15.75" customHeight="1" x14ac:dyDescent="0.3">
      <c r="B231" s="2"/>
      <c r="C231" s="61" t="s">
        <v>466</v>
      </c>
      <c r="D231" s="62" t="s">
        <v>519</v>
      </c>
      <c r="E231" s="63" t="s">
        <v>520</v>
      </c>
      <c r="F231" s="64">
        <v>3931</v>
      </c>
      <c r="G231" s="65">
        <v>4236</v>
      </c>
      <c r="H231" s="65">
        <v>4882</v>
      </c>
      <c r="I231" s="65">
        <v>5356</v>
      </c>
      <c r="J231" s="65">
        <v>6801</v>
      </c>
      <c r="K231" s="65">
        <v>8617</v>
      </c>
      <c r="L231" s="65">
        <v>10142</v>
      </c>
      <c r="M231" s="66">
        <v>690</v>
      </c>
      <c r="N231" s="67">
        <v>556</v>
      </c>
      <c r="O231" s="60"/>
      <c r="P231" s="2"/>
      <c r="Q231" s="2"/>
      <c r="R231" s="2"/>
      <c r="S231" s="2"/>
      <c r="T231" s="2"/>
      <c r="U231" s="2"/>
      <c r="V231" s="2"/>
      <c r="W231" s="2"/>
      <c r="X231" s="2"/>
    </row>
    <row r="232" spans="2:24" ht="15.75" customHeight="1" x14ac:dyDescent="0.3">
      <c r="B232" s="2"/>
      <c r="C232" s="61" t="s">
        <v>466</v>
      </c>
      <c r="D232" s="62" t="s">
        <v>521</v>
      </c>
      <c r="E232" s="63" t="s">
        <v>522</v>
      </c>
      <c r="F232" s="64">
        <v>3931</v>
      </c>
      <c r="G232" s="65">
        <v>4236</v>
      </c>
      <c r="H232" s="65">
        <v>4882</v>
      </c>
      <c r="I232" s="65">
        <v>5356</v>
      </c>
      <c r="J232" s="65">
        <v>6801</v>
      </c>
      <c r="K232" s="65">
        <v>8617</v>
      </c>
      <c r="L232" s="65">
        <v>10142</v>
      </c>
      <c r="M232" s="66">
        <v>690</v>
      </c>
      <c r="N232" s="67">
        <v>556</v>
      </c>
      <c r="O232" s="60"/>
      <c r="P232" s="2"/>
      <c r="Q232" s="2"/>
      <c r="R232" s="2"/>
      <c r="S232" s="2"/>
      <c r="T232" s="2"/>
      <c r="U232" s="2"/>
      <c r="V232" s="2"/>
      <c r="W232" s="2"/>
      <c r="X232" s="2"/>
    </row>
    <row r="233" spans="2:24" ht="15.75" customHeight="1" x14ac:dyDescent="0.3">
      <c r="B233" s="2"/>
      <c r="C233" s="61" t="s">
        <v>466</v>
      </c>
      <c r="D233" s="62" t="s">
        <v>523</v>
      </c>
      <c r="E233" s="63" t="s">
        <v>524</v>
      </c>
      <c r="F233" s="64">
        <v>6394.5</v>
      </c>
      <c r="G233" s="65">
        <v>6762</v>
      </c>
      <c r="H233" s="65">
        <v>7803</v>
      </c>
      <c r="I233" s="65">
        <v>8494.5</v>
      </c>
      <c r="J233" s="65">
        <v>10953</v>
      </c>
      <c r="K233" s="65">
        <v>13797</v>
      </c>
      <c r="L233" s="65">
        <v>16120.5</v>
      </c>
      <c r="M233" s="66">
        <v>1044</v>
      </c>
      <c r="N233" s="67">
        <v>852</v>
      </c>
      <c r="O233" s="60"/>
      <c r="P233" s="2"/>
      <c r="Q233" s="2"/>
      <c r="R233" s="2"/>
      <c r="S233" s="2"/>
      <c r="T233" s="2"/>
      <c r="U233" s="2"/>
      <c r="V233" s="2"/>
      <c r="W233" s="2"/>
      <c r="X233" s="2"/>
    </row>
    <row r="234" spans="2:24" ht="15.75" customHeight="1" x14ac:dyDescent="0.3">
      <c r="B234" s="2"/>
      <c r="C234" s="61" t="s">
        <v>466</v>
      </c>
      <c r="D234" s="62" t="s">
        <v>525</v>
      </c>
      <c r="E234" s="63" t="s">
        <v>526</v>
      </c>
      <c r="F234" s="64">
        <v>3931</v>
      </c>
      <c r="G234" s="65">
        <v>4236</v>
      </c>
      <c r="H234" s="65">
        <v>4882</v>
      </c>
      <c r="I234" s="65">
        <v>5356</v>
      </c>
      <c r="J234" s="65">
        <v>6801</v>
      </c>
      <c r="K234" s="65">
        <v>8617</v>
      </c>
      <c r="L234" s="65">
        <v>10142</v>
      </c>
      <c r="M234" s="66">
        <v>690</v>
      </c>
      <c r="N234" s="67">
        <v>556</v>
      </c>
      <c r="O234" s="60"/>
      <c r="P234" s="2"/>
      <c r="Q234" s="2"/>
      <c r="R234" s="2"/>
      <c r="S234" s="2"/>
      <c r="T234" s="2"/>
      <c r="U234" s="2"/>
      <c r="V234" s="2"/>
      <c r="W234" s="2"/>
      <c r="X234" s="2"/>
    </row>
    <row r="235" spans="2:24" ht="15.75" customHeight="1" x14ac:dyDescent="0.3">
      <c r="B235" s="2"/>
      <c r="C235" s="61" t="s">
        <v>466</v>
      </c>
      <c r="D235" s="62" t="s">
        <v>527</v>
      </c>
      <c r="E235" s="63" t="s">
        <v>528</v>
      </c>
      <c r="F235" s="64">
        <v>4090</v>
      </c>
      <c r="G235" s="65">
        <v>4407</v>
      </c>
      <c r="H235" s="65">
        <v>5077</v>
      </c>
      <c r="I235" s="65">
        <v>5565</v>
      </c>
      <c r="J235" s="65">
        <v>7047</v>
      </c>
      <c r="K235" s="65">
        <v>8901</v>
      </c>
      <c r="L235" s="65">
        <v>10441</v>
      </c>
      <c r="M235" s="66">
        <v>693</v>
      </c>
      <c r="N235" s="67">
        <v>564</v>
      </c>
      <c r="O235" s="60"/>
      <c r="P235" s="2"/>
      <c r="Q235" s="2"/>
      <c r="R235" s="2"/>
      <c r="S235" s="2"/>
      <c r="T235" s="2"/>
      <c r="U235" s="2"/>
      <c r="V235" s="2"/>
      <c r="W235" s="2"/>
      <c r="X235" s="2"/>
    </row>
    <row r="236" spans="2:24" ht="15.75" customHeight="1" x14ac:dyDescent="0.3">
      <c r="B236" s="2"/>
      <c r="C236" s="68" t="s">
        <v>466</v>
      </c>
      <c r="D236" s="69" t="s">
        <v>529</v>
      </c>
      <c r="E236" s="70" t="s">
        <v>530</v>
      </c>
      <c r="F236" s="71">
        <v>4090</v>
      </c>
      <c r="G236" s="72">
        <v>4407</v>
      </c>
      <c r="H236" s="72">
        <v>5077</v>
      </c>
      <c r="I236" s="72">
        <v>5565</v>
      </c>
      <c r="J236" s="72">
        <v>7047</v>
      </c>
      <c r="K236" s="72">
        <v>8901</v>
      </c>
      <c r="L236" s="72">
        <v>10441</v>
      </c>
      <c r="M236" s="73">
        <v>693</v>
      </c>
      <c r="N236" s="74">
        <v>564</v>
      </c>
      <c r="O236" s="60"/>
      <c r="P236" s="2"/>
      <c r="Q236" s="2"/>
      <c r="R236" s="2"/>
      <c r="S236" s="2"/>
      <c r="T236" s="2"/>
      <c r="U236" s="2"/>
      <c r="V236" s="2"/>
      <c r="W236" s="2"/>
      <c r="X236" s="2"/>
    </row>
    <row r="237" spans="2:24" ht="15.75" customHeight="1" x14ac:dyDescent="0.3">
      <c r="B237" s="2"/>
      <c r="C237" s="75" t="s">
        <v>531</v>
      </c>
      <c r="D237" s="76" t="s">
        <v>532</v>
      </c>
      <c r="E237" s="77" t="s">
        <v>47</v>
      </c>
      <c r="F237" s="64">
        <v>4263</v>
      </c>
      <c r="G237" s="65">
        <v>4508</v>
      </c>
      <c r="H237" s="65">
        <v>5202</v>
      </c>
      <c r="I237" s="65">
        <v>5663</v>
      </c>
      <c r="J237" s="65">
        <v>7302</v>
      </c>
      <c r="K237" s="65">
        <v>9198</v>
      </c>
      <c r="L237" s="65">
        <v>10747</v>
      </c>
      <c r="M237" s="66">
        <v>696</v>
      </c>
      <c r="N237" s="67">
        <v>568</v>
      </c>
      <c r="O237" s="60"/>
      <c r="P237" s="2"/>
      <c r="Q237" s="2"/>
      <c r="R237" s="2"/>
      <c r="S237" s="2"/>
      <c r="T237" s="2"/>
      <c r="U237" s="2"/>
      <c r="V237" s="2"/>
      <c r="W237" s="2"/>
      <c r="X237" s="2"/>
    </row>
    <row r="238" spans="2:24" ht="15.75" customHeight="1" x14ac:dyDescent="0.3">
      <c r="B238" s="2"/>
      <c r="C238" s="61" t="s">
        <v>531</v>
      </c>
      <c r="D238" s="62" t="s">
        <v>533</v>
      </c>
      <c r="E238" s="63" t="s">
        <v>534</v>
      </c>
      <c r="F238" s="64">
        <v>4090</v>
      </c>
      <c r="G238" s="65">
        <v>4407</v>
      </c>
      <c r="H238" s="65">
        <v>5077</v>
      </c>
      <c r="I238" s="65">
        <v>5565</v>
      </c>
      <c r="J238" s="65">
        <v>7047</v>
      </c>
      <c r="K238" s="65">
        <v>8901</v>
      </c>
      <c r="L238" s="65">
        <v>10441</v>
      </c>
      <c r="M238" s="66">
        <v>693</v>
      </c>
      <c r="N238" s="67">
        <v>564</v>
      </c>
      <c r="O238" s="60"/>
      <c r="P238" s="2"/>
      <c r="Q238" s="2"/>
      <c r="R238" s="2"/>
      <c r="S238" s="2"/>
      <c r="T238" s="2"/>
      <c r="U238" s="2"/>
      <c r="V238" s="2"/>
      <c r="W238" s="2"/>
      <c r="X238" s="2"/>
    </row>
    <row r="239" spans="2:24" ht="15.75" customHeight="1" x14ac:dyDescent="0.3">
      <c r="B239" s="2"/>
      <c r="C239" s="61" t="s">
        <v>531</v>
      </c>
      <c r="D239" s="62" t="s">
        <v>535</v>
      </c>
      <c r="E239" s="63" t="s">
        <v>536</v>
      </c>
      <c r="F239" s="64">
        <v>4263</v>
      </c>
      <c r="G239" s="65">
        <v>4508</v>
      </c>
      <c r="H239" s="65">
        <v>5202</v>
      </c>
      <c r="I239" s="65">
        <v>5663</v>
      </c>
      <c r="J239" s="65">
        <v>7302</v>
      </c>
      <c r="K239" s="65">
        <v>9198</v>
      </c>
      <c r="L239" s="65">
        <v>10747</v>
      </c>
      <c r="M239" s="66">
        <v>696</v>
      </c>
      <c r="N239" s="67">
        <v>568</v>
      </c>
      <c r="O239" s="60"/>
      <c r="P239" s="2"/>
      <c r="Q239" s="2"/>
      <c r="R239" s="2"/>
      <c r="S239" s="2"/>
      <c r="T239" s="2"/>
      <c r="U239" s="2"/>
      <c r="V239" s="2"/>
      <c r="W239" s="2"/>
      <c r="X239" s="2"/>
    </row>
    <row r="240" spans="2:24" ht="15.75" customHeight="1" x14ac:dyDescent="0.3">
      <c r="B240" s="2"/>
      <c r="C240" s="61" t="s">
        <v>531</v>
      </c>
      <c r="D240" s="62" t="s">
        <v>537</v>
      </c>
      <c r="E240" s="63" t="s">
        <v>538</v>
      </c>
      <c r="F240" s="64">
        <v>6394.5</v>
      </c>
      <c r="G240" s="65">
        <v>6762</v>
      </c>
      <c r="H240" s="65">
        <v>7803</v>
      </c>
      <c r="I240" s="65">
        <v>8494.5</v>
      </c>
      <c r="J240" s="65">
        <v>10953</v>
      </c>
      <c r="K240" s="65">
        <v>13797</v>
      </c>
      <c r="L240" s="65">
        <v>16120.5</v>
      </c>
      <c r="M240" s="66">
        <v>1044</v>
      </c>
      <c r="N240" s="67">
        <v>852</v>
      </c>
      <c r="O240" s="60"/>
      <c r="P240" s="2"/>
      <c r="Q240" s="2"/>
      <c r="R240" s="2"/>
      <c r="S240" s="2"/>
      <c r="T240" s="2"/>
      <c r="U240" s="2"/>
      <c r="V240" s="2"/>
      <c r="W240" s="2"/>
      <c r="X240" s="2"/>
    </row>
    <row r="241" spans="2:24" ht="15.75" customHeight="1" x14ac:dyDescent="0.3">
      <c r="B241" s="2"/>
      <c r="C241" s="61" t="s">
        <v>531</v>
      </c>
      <c r="D241" s="62" t="s">
        <v>541</v>
      </c>
      <c r="E241" s="63" t="s">
        <v>542</v>
      </c>
      <c r="F241" s="64">
        <v>4090</v>
      </c>
      <c r="G241" s="65">
        <v>4407</v>
      </c>
      <c r="H241" s="65">
        <v>5077</v>
      </c>
      <c r="I241" s="65">
        <v>5565</v>
      </c>
      <c r="J241" s="65">
        <v>7047</v>
      </c>
      <c r="K241" s="65">
        <v>8901</v>
      </c>
      <c r="L241" s="65">
        <v>10441</v>
      </c>
      <c r="M241" s="66">
        <v>693</v>
      </c>
      <c r="N241" s="67">
        <v>564</v>
      </c>
      <c r="O241" s="60"/>
      <c r="P241" s="2"/>
      <c r="Q241" s="2"/>
      <c r="R241" s="2"/>
      <c r="S241" s="2"/>
      <c r="T241" s="2"/>
      <c r="U241" s="2"/>
      <c r="V241" s="2"/>
      <c r="W241" s="2"/>
      <c r="X241" s="2"/>
    </row>
    <row r="242" spans="2:24" ht="15.75" customHeight="1" x14ac:dyDescent="0.3">
      <c r="B242" s="2"/>
      <c r="C242" s="61" t="s">
        <v>531</v>
      </c>
      <c r="D242" s="62" t="s">
        <v>543</v>
      </c>
      <c r="E242" s="63" t="s">
        <v>544</v>
      </c>
      <c r="F242" s="64">
        <v>4263</v>
      </c>
      <c r="G242" s="65">
        <v>4508</v>
      </c>
      <c r="H242" s="65">
        <v>5202</v>
      </c>
      <c r="I242" s="65">
        <v>5663</v>
      </c>
      <c r="J242" s="65">
        <v>7302</v>
      </c>
      <c r="K242" s="65">
        <v>9198</v>
      </c>
      <c r="L242" s="65">
        <v>10747</v>
      </c>
      <c r="M242" s="66">
        <v>696</v>
      </c>
      <c r="N242" s="67">
        <v>568</v>
      </c>
      <c r="O242" s="60"/>
      <c r="P242" s="2"/>
      <c r="Q242" s="2"/>
      <c r="R242" s="2"/>
      <c r="S242" s="2"/>
      <c r="T242" s="2"/>
      <c r="U242" s="2"/>
      <c r="V242" s="2"/>
      <c r="W242" s="2"/>
      <c r="X242" s="2"/>
    </row>
    <row r="243" spans="2:24" ht="15.75" customHeight="1" x14ac:dyDescent="0.3">
      <c r="B243" s="2"/>
      <c r="C243" s="61" t="s">
        <v>531</v>
      </c>
      <c r="D243" s="62" t="s">
        <v>545</v>
      </c>
      <c r="E243" s="63" t="s">
        <v>546</v>
      </c>
      <c r="F243" s="64">
        <v>6394.5</v>
      </c>
      <c r="G243" s="65">
        <v>6762</v>
      </c>
      <c r="H243" s="65">
        <v>7803</v>
      </c>
      <c r="I243" s="65">
        <v>8494.5</v>
      </c>
      <c r="J243" s="65">
        <v>10953</v>
      </c>
      <c r="K243" s="65">
        <v>13797</v>
      </c>
      <c r="L243" s="65">
        <v>16120.5</v>
      </c>
      <c r="M243" s="66">
        <v>1044</v>
      </c>
      <c r="N243" s="67">
        <v>852</v>
      </c>
      <c r="O243" s="60"/>
      <c r="P243" s="2"/>
      <c r="Q243" s="2"/>
      <c r="R243" s="2"/>
      <c r="S243" s="2"/>
      <c r="T243" s="2"/>
      <c r="U243" s="2"/>
      <c r="V243" s="2"/>
      <c r="W243" s="2"/>
      <c r="X243" s="2"/>
    </row>
    <row r="244" spans="2:24" ht="15.75" customHeight="1" x14ac:dyDescent="0.3">
      <c r="B244" s="2"/>
      <c r="C244" s="61" t="s">
        <v>531</v>
      </c>
      <c r="D244" s="62" t="s">
        <v>547</v>
      </c>
      <c r="E244" s="63" t="s">
        <v>548</v>
      </c>
      <c r="F244" s="64">
        <v>6394.5</v>
      </c>
      <c r="G244" s="65">
        <v>6762</v>
      </c>
      <c r="H244" s="65">
        <v>7803</v>
      </c>
      <c r="I244" s="65">
        <v>8494.5</v>
      </c>
      <c r="J244" s="65">
        <v>10953</v>
      </c>
      <c r="K244" s="65">
        <v>13797</v>
      </c>
      <c r="L244" s="65">
        <v>16120.5</v>
      </c>
      <c r="M244" s="66">
        <v>1044</v>
      </c>
      <c r="N244" s="67">
        <v>852</v>
      </c>
      <c r="O244" s="60"/>
      <c r="P244" s="2"/>
      <c r="Q244" s="2"/>
      <c r="R244" s="2"/>
      <c r="S244" s="2"/>
      <c r="T244" s="2"/>
      <c r="U244" s="2"/>
      <c r="V244" s="2"/>
      <c r="W244" s="2"/>
      <c r="X244" s="2"/>
    </row>
    <row r="245" spans="2:24" ht="15.75" customHeight="1" x14ac:dyDescent="0.3">
      <c r="B245" s="2"/>
      <c r="C245" s="61" t="s">
        <v>531</v>
      </c>
      <c r="D245" s="62" t="s">
        <v>549</v>
      </c>
      <c r="E245" s="63" t="s">
        <v>550</v>
      </c>
      <c r="F245" s="64">
        <v>4263</v>
      </c>
      <c r="G245" s="65">
        <v>4508</v>
      </c>
      <c r="H245" s="65">
        <v>5202</v>
      </c>
      <c r="I245" s="65">
        <v>5663</v>
      </c>
      <c r="J245" s="65">
        <v>7302</v>
      </c>
      <c r="K245" s="65">
        <v>9198</v>
      </c>
      <c r="L245" s="65">
        <v>10747</v>
      </c>
      <c r="M245" s="66">
        <v>696</v>
      </c>
      <c r="N245" s="67">
        <v>568</v>
      </c>
      <c r="O245" s="60"/>
      <c r="P245" s="2"/>
      <c r="Q245" s="2"/>
      <c r="R245" s="2"/>
      <c r="S245" s="2"/>
      <c r="T245" s="2"/>
      <c r="U245" s="2"/>
      <c r="V245" s="2"/>
      <c r="W245" s="2"/>
      <c r="X245" s="2"/>
    </row>
    <row r="246" spans="2:24" ht="15.75" customHeight="1" x14ac:dyDescent="0.3">
      <c r="B246" s="2"/>
      <c r="C246" s="61" t="s">
        <v>531</v>
      </c>
      <c r="D246" s="62" t="s">
        <v>551</v>
      </c>
      <c r="E246" s="63" t="s">
        <v>552</v>
      </c>
      <c r="F246" s="64">
        <v>4263</v>
      </c>
      <c r="G246" s="65">
        <v>4508</v>
      </c>
      <c r="H246" s="65">
        <v>5202</v>
      </c>
      <c r="I246" s="65">
        <v>5663</v>
      </c>
      <c r="J246" s="65">
        <v>7302</v>
      </c>
      <c r="K246" s="65">
        <v>9198</v>
      </c>
      <c r="L246" s="65">
        <v>10747</v>
      </c>
      <c r="M246" s="66">
        <v>696</v>
      </c>
      <c r="N246" s="67">
        <v>568</v>
      </c>
      <c r="O246" s="60"/>
      <c r="P246" s="2"/>
      <c r="Q246" s="2"/>
      <c r="R246" s="2"/>
      <c r="S246" s="2"/>
      <c r="T246" s="2"/>
      <c r="U246" s="2"/>
      <c r="V246" s="2"/>
      <c r="W246" s="2"/>
      <c r="X246" s="2"/>
    </row>
    <row r="247" spans="2:24" ht="15.75" customHeight="1" x14ac:dyDescent="0.3">
      <c r="B247" s="2"/>
      <c r="C247" s="61" t="s">
        <v>531</v>
      </c>
      <c r="D247" s="62" t="s">
        <v>553</v>
      </c>
      <c r="E247" s="63" t="s">
        <v>554</v>
      </c>
      <c r="F247" s="64">
        <v>4263</v>
      </c>
      <c r="G247" s="65">
        <v>4508</v>
      </c>
      <c r="H247" s="65">
        <v>5202</v>
      </c>
      <c r="I247" s="65">
        <v>5663</v>
      </c>
      <c r="J247" s="65">
        <v>7302</v>
      </c>
      <c r="K247" s="65">
        <v>9198</v>
      </c>
      <c r="L247" s="65">
        <v>10747</v>
      </c>
      <c r="M247" s="66">
        <v>696</v>
      </c>
      <c r="N247" s="67">
        <v>568</v>
      </c>
      <c r="O247" s="60"/>
      <c r="P247" s="2"/>
      <c r="Q247" s="2"/>
      <c r="R247" s="2"/>
      <c r="S247" s="2"/>
      <c r="T247" s="2"/>
      <c r="U247" s="2"/>
      <c r="V247" s="2"/>
      <c r="W247" s="2"/>
      <c r="X247" s="2"/>
    </row>
    <row r="248" spans="2:24" ht="15.75" customHeight="1" x14ac:dyDescent="0.3">
      <c r="B248" s="2"/>
      <c r="C248" s="61" t="s">
        <v>531</v>
      </c>
      <c r="D248" s="62" t="s">
        <v>555</v>
      </c>
      <c r="E248" s="63" t="s">
        <v>556</v>
      </c>
      <c r="F248" s="64">
        <v>4263</v>
      </c>
      <c r="G248" s="65">
        <v>4508</v>
      </c>
      <c r="H248" s="65">
        <v>5202</v>
      </c>
      <c r="I248" s="65">
        <v>5663</v>
      </c>
      <c r="J248" s="65">
        <v>7302</v>
      </c>
      <c r="K248" s="65">
        <v>9198</v>
      </c>
      <c r="L248" s="65">
        <v>10747</v>
      </c>
      <c r="M248" s="66">
        <v>696</v>
      </c>
      <c r="N248" s="67">
        <v>568</v>
      </c>
      <c r="O248" s="60"/>
      <c r="P248" s="2"/>
      <c r="Q248" s="2"/>
      <c r="R248" s="2"/>
      <c r="S248" s="2"/>
      <c r="T248" s="2"/>
      <c r="U248" s="2"/>
      <c r="V248" s="2"/>
      <c r="W248" s="2"/>
      <c r="X248" s="2"/>
    </row>
    <row r="249" spans="2:24" ht="15.75" customHeight="1" x14ac:dyDescent="0.3">
      <c r="B249" s="2"/>
      <c r="C249" s="61" t="s">
        <v>531</v>
      </c>
      <c r="D249" s="62" t="s">
        <v>557</v>
      </c>
      <c r="E249" s="63" t="s">
        <v>558</v>
      </c>
      <c r="F249" s="64">
        <v>4263</v>
      </c>
      <c r="G249" s="65">
        <v>4508</v>
      </c>
      <c r="H249" s="65">
        <v>5202</v>
      </c>
      <c r="I249" s="65">
        <v>5663</v>
      </c>
      <c r="J249" s="65">
        <v>7302</v>
      </c>
      <c r="K249" s="65">
        <v>9198</v>
      </c>
      <c r="L249" s="65">
        <v>10747</v>
      </c>
      <c r="M249" s="66">
        <v>696</v>
      </c>
      <c r="N249" s="67">
        <v>568</v>
      </c>
      <c r="O249" s="60"/>
      <c r="P249" s="2"/>
      <c r="Q249" s="2"/>
      <c r="R249" s="2"/>
      <c r="S249" s="2"/>
      <c r="T249" s="2"/>
      <c r="U249" s="2"/>
      <c r="V249" s="2"/>
      <c r="W249" s="2"/>
      <c r="X249" s="2"/>
    </row>
    <row r="250" spans="2:24" ht="15.75" customHeight="1" x14ac:dyDescent="0.3">
      <c r="B250" s="2"/>
      <c r="C250" s="61" t="s">
        <v>531</v>
      </c>
      <c r="D250" s="62" t="s">
        <v>559</v>
      </c>
      <c r="E250" s="63" t="s">
        <v>560</v>
      </c>
      <c r="F250" s="64">
        <v>4263</v>
      </c>
      <c r="G250" s="65">
        <v>4508</v>
      </c>
      <c r="H250" s="65">
        <v>5202</v>
      </c>
      <c r="I250" s="65">
        <v>5663</v>
      </c>
      <c r="J250" s="65">
        <v>7302</v>
      </c>
      <c r="K250" s="65">
        <v>9198</v>
      </c>
      <c r="L250" s="65">
        <v>10747</v>
      </c>
      <c r="M250" s="66">
        <v>696</v>
      </c>
      <c r="N250" s="67">
        <v>568</v>
      </c>
      <c r="O250" s="60"/>
      <c r="P250" s="2"/>
      <c r="Q250" s="2"/>
      <c r="R250" s="2"/>
      <c r="S250" s="2"/>
      <c r="T250" s="2"/>
      <c r="U250" s="2"/>
      <c r="V250" s="2"/>
      <c r="W250" s="2"/>
      <c r="X250" s="2"/>
    </row>
    <row r="251" spans="2:24" ht="15.75" customHeight="1" x14ac:dyDescent="0.3">
      <c r="B251" s="2"/>
      <c r="C251" s="61" t="s">
        <v>531</v>
      </c>
      <c r="D251" s="62" t="s">
        <v>561</v>
      </c>
      <c r="E251" s="63" t="s">
        <v>562</v>
      </c>
      <c r="F251" s="64">
        <v>6394.5</v>
      </c>
      <c r="G251" s="65">
        <v>6762</v>
      </c>
      <c r="H251" s="65">
        <v>7803</v>
      </c>
      <c r="I251" s="65">
        <v>8494.5</v>
      </c>
      <c r="J251" s="65">
        <v>10953</v>
      </c>
      <c r="K251" s="65">
        <v>13797</v>
      </c>
      <c r="L251" s="65">
        <v>16120.5</v>
      </c>
      <c r="M251" s="66">
        <v>1044</v>
      </c>
      <c r="N251" s="67">
        <v>852</v>
      </c>
      <c r="O251" s="60"/>
      <c r="P251" s="2"/>
      <c r="Q251" s="2"/>
      <c r="R251" s="2"/>
      <c r="S251" s="2"/>
      <c r="T251" s="2"/>
      <c r="U251" s="2"/>
      <c r="V251" s="2"/>
      <c r="W251" s="2"/>
      <c r="X251" s="2"/>
    </row>
    <row r="252" spans="2:24" ht="15.75" customHeight="1" x14ac:dyDescent="0.3">
      <c r="B252" s="2"/>
      <c r="C252" s="61" t="s">
        <v>531</v>
      </c>
      <c r="D252" s="62" t="s">
        <v>563</v>
      </c>
      <c r="E252" s="63" t="s">
        <v>564</v>
      </c>
      <c r="F252" s="64">
        <v>6394.5</v>
      </c>
      <c r="G252" s="65">
        <v>6762</v>
      </c>
      <c r="H252" s="65">
        <v>7803</v>
      </c>
      <c r="I252" s="65">
        <v>8494.5</v>
      </c>
      <c r="J252" s="65">
        <v>10953</v>
      </c>
      <c r="K252" s="65">
        <v>13797</v>
      </c>
      <c r="L252" s="65">
        <v>16120.5</v>
      </c>
      <c r="M252" s="66">
        <v>1044</v>
      </c>
      <c r="N252" s="67">
        <v>852</v>
      </c>
      <c r="O252" s="60"/>
      <c r="P252" s="2"/>
      <c r="Q252" s="2"/>
      <c r="R252" s="2"/>
      <c r="S252" s="2"/>
      <c r="T252" s="2"/>
      <c r="U252" s="2"/>
      <c r="V252" s="2"/>
      <c r="W252" s="2"/>
      <c r="X252" s="2"/>
    </row>
    <row r="253" spans="2:24" ht="15.75" customHeight="1" x14ac:dyDescent="0.3">
      <c r="B253" s="2"/>
      <c r="C253" s="61" t="s">
        <v>531</v>
      </c>
      <c r="D253" s="62" t="s">
        <v>565</v>
      </c>
      <c r="E253" s="63" t="s">
        <v>566</v>
      </c>
      <c r="F253" s="64">
        <v>6394.5</v>
      </c>
      <c r="G253" s="65">
        <v>6762</v>
      </c>
      <c r="H253" s="65">
        <v>7803</v>
      </c>
      <c r="I253" s="65">
        <v>8494.5</v>
      </c>
      <c r="J253" s="65">
        <v>10953</v>
      </c>
      <c r="K253" s="65">
        <v>13797</v>
      </c>
      <c r="L253" s="65">
        <v>16120.5</v>
      </c>
      <c r="M253" s="66">
        <v>1044</v>
      </c>
      <c r="N253" s="67">
        <v>852</v>
      </c>
      <c r="O253" s="60"/>
      <c r="P253" s="2"/>
      <c r="Q253" s="2"/>
      <c r="R253" s="2"/>
      <c r="S253" s="2"/>
      <c r="T253" s="2"/>
      <c r="U253" s="2"/>
      <c r="V253" s="2"/>
      <c r="W253" s="2"/>
      <c r="X253" s="2"/>
    </row>
    <row r="254" spans="2:24" ht="15.75" customHeight="1" x14ac:dyDescent="0.3">
      <c r="B254" s="2"/>
      <c r="C254" s="61" t="s">
        <v>531</v>
      </c>
      <c r="D254" s="62" t="s">
        <v>567</v>
      </c>
      <c r="E254" s="63" t="s">
        <v>568</v>
      </c>
      <c r="F254" s="64">
        <v>4263</v>
      </c>
      <c r="G254" s="65">
        <v>4508</v>
      </c>
      <c r="H254" s="65">
        <v>5202</v>
      </c>
      <c r="I254" s="65">
        <v>5663</v>
      </c>
      <c r="J254" s="65">
        <v>7302</v>
      </c>
      <c r="K254" s="65">
        <v>9198</v>
      </c>
      <c r="L254" s="65">
        <v>10747</v>
      </c>
      <c r="M254" s="66">
        <v>696</v>
      </c>
      <c r="N254" s="67">
        <v>568</v>
      </c>
      <c r="O254" s="60"/>
      <c r="P254" s="2"/>
      <c r="Q254" s="2"/>
      <c r="R254" s="2"/>
      <c r="S254" s="2"/>
      <c r="T254" s="2"/>
      <c r="U254" s="2"/>
      <c r="V254" s="2"/>
      <c r="W254" s="2"/>
      <c r="X254" s="2"/>
    </row>
    <row r="255" spans="2:24" ht="15.75" customHeight="1" x14ac:dyDescent="0.3">
      <c r="B255" s="2"/>
      <c r="C255" s="61" t="s">
        <v>531</v>
      </c>
      <c r="D255" s="62" t="s">
        <v>569</v>
      </c>
      <c r="E255" s="63" t="s">
        <v>570</v>
      </c>
      <c r="F255" s="64">
        <v>4263</v>
      </c>
      <c r="G255" s="65">
        <v>4508</v>
      </c>
      <c r="H255" s="65">
        <v>5202</v>
      </c>
      <c r="I255" s="65">
        <v>5663</v>
      </c>
      <c r="J255" s="65">
        <v>7302</v>
      </c>
      <c r="K255" s="65">
        <v>9198</v>
      </c>
      <c r="L255" s="65">
        <v>10747</v>
      </c>
      <c r="M255" s="66">
        <v>696</v>
      </c>
      <c r="N255" s="67">
        <v>568</v>
      </c>
      <c r="O255" s="60"/>
      <c r="P255" s="2"/>
      <c r="Q255" s="2"/>
      <c r="R255" s="2"/>
      <c r="S255" s="2"/>
      <c r="T255" s="2"/>
      <c r="U255" s="2"/>
      <c r="V255" s="2"/>
      <c r="W255" s="2"/>
      <c r="X255" s="2"/>
    </row>
    <row r="256" spans="2:24" ht="15.75" customHeight="1" x14ac:dyDescent="0.3">
      <c r="B256" s="2"/>
      <c r="C256" s="61" t="s">
        <v>531</v>
      </c>
      <c r="D256" s="62" t="s">
        <v>571</v>
      </c>
      <c r="E256" s="63" t="s">
        <v>572</v>
      </c>
      <c r="F256" s="64">
        <v>4263</v>
      </c>
      <c r="G256" s="65">
        <v>4508</v>
      </c>
      <c r="H256" s="65">
        <v>5202</v>
      </c>
      <c r="I256" s="65">
        <v>5663</v>
      </c>
      <c r="J256" s="65">
        <v>7302</v>
      </c>
      <c r="K256" s="65">
        <v>9198</v>
      </c>
      <c r="L256" s="65">
        <v>10747</v>
      </c>
      <c r="M256" s="66">
        <v>696</v>
      </c>
      <c r="N256" s="67">
        <v>568</v>
      </c>
      <c r="O256" s="60"/>
      <c r="P256" s="2"/>
      <c r="Q256" s="2"/>
      <c r="R256" s="2"/>
      <c r="S256" s="2"/>
      <c r="T256" s="2"/>
      <c r="U256" s="2"/>
      <c r="V256" s="2"/>
      <c r="W256" s="2"/>
      <c r="X256" s="2"/>
    </row>
    <row r="257" spans="2:24" ht="15.75" customHeight="1" x14ac:dyDescent="0.3">
      <c r="B257" s="2"/>
      <c r="C257" s="61" t="s">
        <v>531</v>
      </c>
      <c r="D257" s="62" t="s">
        <v>573</v>
      </c>
      <c r="E257" s="63" t="s">
        <v>574</v>
      </c>
      <c r="F257" s="64">
        <v>4263</v>
      </c>
      <c r="G257" s="65">
        <v>4508</v>
      </c>
      <c r="H257" s="65">
        <v>5202</v>
      </c>
      <c r="I257" s="65">
        <v>5663</v>
      </c>
      <c r="J257" s="65">
        <v>7302</v>
      </c>
      <c r="K257" s="65">
        <v>9198</v>
      </c>
      <c r="L257" s="65">
        <v>10747</v>
      </c>
      <c r="M257" s="66">
        <v>696</v>
      </c>
      <c r="N257" s="67">
        <v>568</v>
      </c>
      <c r="O257" s="60"/>
      <c r="P257" s="2"/>
      <c r="Q257" s="2"/>
      <c r="R257" s="2"/>
      <c r="S257" s="2"/>
      <c r="T257" s="2"/>
      <c r="U257" s="2"/>
      <c r="V257" s="2"/>
      <c r="W257" s="2"/>
      <c r="X257" s="2"/>
    </row>
    <row r="258" spans="2:24" ht="15.75" customHeight="1" x14ac:dyDescent="0.3">
      <c r="B258" s="2"/>
      <c r="C258" s="61" t="s">
        <v>531</v>
      </c>
      <c r="D258" s="62" t="s">
        <v>575</v>
      </c>
      <c r="E258" s="63" t="s">
        <v>576</v>
      </c>
      <c r="F258" s="64">
        <v>4263</v>
      </c>
      <c r="G258" s="65">
        <v>4508</v>
      </c>
      <c r="H258" s="65">
        <v>5202</v>
      </c>
      <c r="I258" s="65">
        <v>5663</v>
      </c>
      <c r="J258" s="65">
        <v>7302</v>
      </c>
      <c r="K258" s="65">
        <v>9198</v>
      </c>
      <c r="L258" s="65">
        <v>10747</v>
      </c>
      <c r="M258" s="66">
        <v>696</v>
      </c>
      <c r="N258" s="67">
        <v>568</v>
      </c>
      <c r="O258" s="60"/>
      <c r="P258" s="2"/>
      <c r="Q258" s="2"/>
      <c r="R258" s="2"/>
      <c r="S258" s="2"/>
      <c r="T258" s="2"/>
      <c r="U258" s="2"/>
      <c r="V258" s="2"/>
      <c r="W258" s="2"/>
      <c r="X258" s="2"/>
    </row>
    <row r="259" spans="2:24" ht="15.75" customHeight="1" x14ac:dyDescent="0.3">
      <c r="B259" s="2"/>
      <c r="C259" s="61" t="s">
        <v>531</v>
      </c>
      <c r="D259" s="62" t="s">
        <v>577</v>
      </c>
      <c r="E259" s="63" t="s">
        <v>578</v>
      </c>
      <c r="F259" s="64">
        <v>4263</v>
      </c>
      <c r="G259" s="65">
        <v>4508</v>
      </c>
      <c r="H259" s="65">
        <v>5202</v>
      </c>
      <c r="I259" s="65">
        <v>5663</v>
      </c>
      <c r="J259" s="65">
        <v>7302</v>
      </c>
      <c r="K259" s="65">
        <v>9198</v>
      </c>
      <c r="L259" s="65">
        <v>10747</v>
      </c>
      <c r="M259" s="66">
        <v>696</v>
      </c>
      <c r="N259" s="67">
        <v>568</v>
      </c>
      <c r="O259" s="60"/>
      <c r="P259" s="2"/>
      <c r="Q259" s="2"/>
      <c r="R259" s="2"/>
      <c r="S259" s="2"/>
      <c r="T259" s="2"/>
      <c r="U259" s="2"/>
      <c r="V259" s="2"/>
      <c r="W259" s="2"/>
      <c r="X259" s="2"/>
    </row>
    <row r="260" spans="2:24" ht="15.75" customHeight="1" x14ac:dyDescent="0.3">
      <c r="B260" s="2"/>
      <c r="C260" s="61" t="s">
        <v>531</v>
      </c>
      <c r="D260" s="62" t="s">
        <v>579</v>
      </c>
      <c r="E260" s="63" t="s">
        <v>580</v>
      </c>
      <c r="F260" s="64">
        <v>6394.5</v>
      </c>
      <c r="G260" s="65">
        <v>6762</v>
      </c>
      <c r="H260" s="65">
        <v>7803</v>
      </c>
      <c r="I260" s="65">
        <v>8494.5</v>
      </c>
      <c r="J260" s="65">
        <v>10953</v>
      </c>
      <c r="K260" s="65">
        <v>13797</v>
      </c>
      <c r="L260" s="65">
        <v>16120.5</v>
      </c>
      <c r="M260" s="66">
        <v>1044</v>
      </c>
      <c r="N260" s="67">
        <v>852</v>
      </c>
      <c r="O260" s="60"/>
      <c r="P260" s="2"/>
      <c r="Q260" s="2"/>
      <c r="R260" s="2"/>
      <c r="S260" s="2"/>
      <c r="T260" s="2"/>
      <c r="U260" s="2"/>
      <c r="V260" s="2"/>
      <c r="W260" s="2"/>
      <c r="X260" s="2"/>
    </row>
    <row r="261" spans="2:24" ht="15.75" customHeight="1" x14ac:dyDescent="0.3">
      <c r="B261" s="2"/>
      <c r="C261" s="61" t="s">
        <v>531</v>
      </c>
      <c r="D261" s="62" t="s">
        <v>581</v>
      </c>
      <c r="E261" s="63" t="s">
        <v>582</v>
      </c>
      <c r="F261" s="64">
        <v>4090</v>
      </c>
      <c r="G261" s="65">
        <v>4407</v>
      </c>
      <c r="H261" s="65">
        <v>5077</v>
      </c>
      <c r="I261" s="65">
        <v>5565</v>
      </c>
      <c r="J261" s="65">
        <v>7047</v>
      </c>
      <c r="K261" s="65">
        <v>8901</v>
      </c>
      <c r="L261" s="65">
        <v>10441</v>
      </c>
      <c r="M261" s="66">
        <v>693</v>
      </c>
      <c r="N261" s="67">
        <v>564</v>
      </c>
      <c r="O261" s="60"/>
      <c r="P261" s="2"/>
      <c r="Q261" s="2"/>
      <c r="R261" s="2"/>
      <c r="S261" s="2"/>
      <c r="T261" s="2"/>
      <c r="U261" s="2"/>
      <c r="V261" s="2"/>
      <c r="W261" s="2"/>
      <c r="X261" s="2"/>
    </row>
    <row r="262" spans="2:24" ht="15.75" customHeight="1" x14ac:dyDescent="0.3">
      <c r="B262" s="2"/>
      <c r="C262" s="61" t="s">
        <v>531</v>
      </c>
      <c r="D262" s="62" t="s">
        <v>583</v>
      </c>
      <c r="E262" s="63" t="s">
        <v>584</v>
      </c>
      <c r="F262" s="64">
        <v>4263</v>
      </c>
      <c r="G262" s="65">
        <v>4508</v>
      </c>
      <c r="H262" s="65">
        <v>5202</v>
      </c>
      <c r="I262" s="65">
        <v>5663</v>
      </c>
      <c r="J262" s="65">
        <v>7302</v>
      </c>
      <c r="K262" s="65">
        <v>9198</v>
      </c>
      <c r="L262" s="65">
        <v>10747</v>
      </c>
      <c r="M262" s="66">
        <v>696</v>
      </c>
      <c r="N262" s="67">
        <v>568</v>
      </c>
      <c r="O262" s="60"/>
      <c r="P262" s="2"/>
      <c r="Q262" s="2"/>
      <c r="R262" s="2"/>
      <c r="S262" s="2"/>
      <c r="T262" s="2"/>
      <c r="U262" s="2"/>
      <c r="V262" s="2"/>
      <c r="W262" s="2"/>
      <c r="X262" s="2"/>
    </row>
    <row r="263" spans="2:24" ht="15.75" customHeight="1" x14ac:dyDescent="0.3">
      <c r="B263" s="2"/>
      <c r="C263" s="61" t="s">
        <v>531</v>
      </c>
      <c r="D263" s="62" t="s">
        <v>585</v>
      </c>
      <c r="E263" s="63" t="s">
        <v>586</v>
      </c>
      <c r="F263" s="64">
        <v>4263</v>
      </c>
      <c r="G263" s="65">
        <v>4508</v>
      </c>
      <c r="H263" s="65">
        <v>5202</v>
      </c>
      <c r="I263" s="65">
        <v>5663</v>
      </c>
      <c r="J263" s="65">
        <v>7302</v>
      </c>
      <c r="K263" s="65">
        <v>9198</v>
      </c>
      <c r="L263" s="65">
        <v>10747</v>
      </c>
      <c r="M263" s="66">
        <v>696</v>
      </c>
      <c r="N263" s="67">
        <v>568</v>
      </c>
      <c r="O263" s="60"/>
      <c r="P263" s="2"/>
      <c r="Q263" s="2"/>
      <c r="R263" s="2"/>
      <c r="S263" s="2"/>
      <c r="T263" s="2"/>
      <c r="U263" s="2"/>
      <c r="V263" s="2"/>
      <c r="W263" s="2"/>
      <c r="X263" s="2"/>
    </row>
    <row r="264" spans="2:24" ht="15.75" customHeight="1" x14ac:dyDescent="0.3">
      <c r="B264" s="2"/>
      <c r="C264" s="61" t="s">
        <v>531</v>
      </c>
      <c r="D264" s="62" t="s">
        <v>587</v>
      </c>
      <c r="E264" s="63" t="s">
        <v>588</v>
      </c>
      <c r="F264" s="64">
        <v>4263</v>
      </c>
      <c r="G264" s="65">
        <v>4508</v>
      </c>
      <c r="H264" s="65">
        <v>5202</v>
      </c>
      <c r="I264" s="65">
        <v>5663</v>
      </c>
      <c r="J264" s="65">
        <v>7302</v>
      </c>
      <c r="K264" s="65">
        <v>9198</v>
      </c>
      <c r="L264" s="65">
        <v>10747</v>
      </c>
      <c r="M264" s="66">
        <v>696</v>
      </c>
      <c r="N264" s="67">
        <v>568</v>
      </c>
      <c r="O264" s="60"/>
      <c r="P264" s="2"/>
      <c r="Q264" s="2"/>
      <c r="R264" s="2"/>
      <c r="S264" s="2"/>
      <c r="T264" s="2"/>
      <c r="U264" s="2"/>
      <c r="V264" s="2"/>
      <c r="W264" s="2"/>
      <c r="X264" s="2"/>
    </row>
    <row r="265" spans="2:24" ht="15.75" customHeight="1" x14ac:dyDescent="0.3">
      <c r="B265" s="2"/>
      <c r="C265" s="61" t="s">
        <v>531</v>
      </c>
      <c r="D265" s="62" t="s">
        <v>589</v>
      </c>
      <c r="E265" s="63" t="s">
        <v>590</v>
      </c>
      <c r="F265" s="64">
        <v>6394.5</v>
      </c>
      <c r="G265" s="65">
        <v>6762</v>
      </c>
      <c r="H265" s="65">
        <v>7803</v>
      </c>
      <c r="I265" s="65">
        <v>8494.5</v>
      </c>
      <c r="J265" s="65">
        <v>10953</v>
      </c>
      <c r="K265" s="65">
        <v>13797</v>
      </c>
      <c r="L265" s="65">
        <v>16120.5</v>
      </c>
      <c r="M265" s="66">
        <v>1044</v>
      </c>
      <c r="N265" s="67">
        <v>852</v>
      </c>
      <c r="O265" s="60"/>
      <c r="P265" s="2"/>
      <c r="Q265" s="2"/>
      <c r="R265" s="2"/>
      <c r="S265" s="2"/>
      <c r="T265" s="2"/>
      <c r="U265" s="2"/>
      <c r="V265" s="2"/>
      <c r="W265" s="2"/>
      <c r="X265" s="2"/>
    </row>
    <row r="266" spans="2:24" ht="15.75" customHeight="1" x14ac:dyDescent="0.3">
      <c r="B266" s="2"/>
      <c r="C266" s="61" t="s">
        <v>531</v>
      </c>
      <c r="D266" s="62" t="s">
        <v>591</v>
      </c>
      <c r="E266" s="63" t="s">
        <v>592</v>
      </c>
      <c r="F266" s="64">
        <v>4263</v>
      </c>
      <c r="G266" s="65">
        <v>4508</v>
      </c>
      <c r="H266" s="65">
        <v>5202</v>
      </c>
      <c r="I266" s="65">
        <v>5663</v>
      </c>
      <c r="J266" s="65">
        <v>7302</v>
      </c>
      <c r="K266" s="65">
        <v>9198</v>
      </c>
      <c r="L266" s="65">
        <v>10747</v>
      </c>
      <c r="M266" s="66">
        <v>696</v>
      </c>
      <c r="N266" s="67">
        <v>568</v>
      </c>
      <c r="O266" s="60"/>
      <c r="P266" s="2"/>
      <c r="Q266" s="2"/>
      <c r="R266" s="2"/>
      <c r="S266" s="2"/>
      <c r="T266" s="2"/>
      <c r="U266" s="2"/>
      <c r="V266" s="2"/>
      <c r="W266" s="2"/>
      <c r="X266" s="2"/>
    </row>
    <row r="267" spans="2:24" ht="15.75" customHeight="1" x14ac:dyDescent="0.3">
      <c r="B267" s="2"/>
      <c r="C267" s="61" t="s">
        <v>531</v>
      </c>
      <c r="D267" s="62" t="s">
        <v>593</v>
      </c>
      <c r="E267" s="63" t="s">
        <v>594</v>
      </c>
      <c r="F267" s="64">
        <v>4263</v>
      </c>
      <c r="G267" s="65">
        <v>4508</v>
      </c>
      <c r="H267" s="65">
        <v>5202</v>
      </c>
      <c r="I267" s="65">
        <v>5663</v>
      </c>
      <c r="J267" s="65">
        <v>7302</v>
      </c>
      <c r="K267" s="65">
        <v>9198</v>
      </c>
      <c r="L267" s="65">
        <v>10747</v>
      </c>
      <c r="M267" s="66">
        <v>696</v>
      </c>
      <c r="N267" s="67">
        <v>568</v>
      </c>
      <c r="O267" s="60"/>
      <c r="P267" s="2"/>
      <c r="Q267" s="2"/>
      <c r="R267" s="2"/>
      <c r="S267" s="2"/>
      <c r="T267" s="2"/>
      <c r="U267" s="2"/>
      <c r="V267" s="2"/>
      <c r="W267" s="2"/>
      <c r="X267" s="2"/>
    </row>
    <row r="268" spans="2:24" ht="15.75" customHeight="1" x14ac:dyDescent="0.3">
      <c r="B268" s="2"/>
      <c r="C268" s="80" t="s">
        <v>531</v>
      </c>
      <c r="D268" s="81" t="s">
        <v>595</v>
      </c>
      <c r="E268" s="82" t="s">
        <v>596</v>
      </c>
      <c r="F268" s="64">
        <v>4263</v>
      </c>
      <c r="G268" s="65">
        <v>4508</v>
      </c>
      <c r="H268" s="65">
        <v>5202</v>
      </c>
      <c r="I268" s="65">
        <v>5663</v>
      </c>
      <c r="J268" s="65">
        <v>7302</v>
      </c>
      <c r="K268" s="65">
        <v>9198</v>
      </c>
      <c r="L268" s="65">
        <v>10747</v>
      </c>
      <c r="M268" s="66">
        <v>696</v>
      </c>
      <c r="N268" s="67">
        <v>568</v>
      </c>
      <c r="O268" s="60"/>
      <c r="P268" s="2"/>
      <c r="Q268" s="2"/>
      <c r="R268" s="2"/>
      <c r="S268" s="2"/>
      <c r="T268" s="2"/>
      <c r="U268" s="2"/>
      <c r="V268" s="2"/>
      <c r="W268" s="2"/>
      <c r="X268" s="2"/>
    </row>
    <row r="269" spans="2:24" ht="15.75" customHeight="1" x14ac:dyDescent="0.3">
      <c r="B269" s="2"/>
      <c r="C269" s="53" t="s">
        <v>597</v>
      </c>
      <c r="D269" s="54" t="s">
        <v>598</v>
      </c>
      <c r="E269" s="55" t="s">
        <v>48</v>
      </c>
      <c r="F269" s="56">
        <v>4631</v>
      </c>
      <c r="G269" s="57">
        <v>4982</v>
      </c>
      <c r="H269" s="57">
        <v>5706</v>
      </c>
      <c r="I269" s="57">
        <v>6051</v>
      </c>
      <c r="J269" s="57">
        <v>8019</v>
      </c>
      <c r="K269" s="57">
        <v>9745</v>
      </c>
      <c r="L269" s="57">
        <v>11326</v>
      </c>
      <c r="M269" s="58">
        <v>705</v>
      </c>
      <c r="N269" s="59">
        <v>588</v>
      </c>
      <c r="O269" s="60"/>
      <c r="P269" s="2"/>
      <c r="Q269" s="2"/>
      <c r="R269" s="2"/>
      <c r="S269" s="2"/>
      <c r="T269" s="2"/>
      <c r="U269" s="2"/>
      <c r="V269" s="2"/>
      <c r="W269" s="2"/>
      <c r="X269" s="2"/>
    </row>
    <row r="270" spans="2:24" ht="15.75" customHeight="1" x14ac:dyDescent="0.3">
      <c r="B270" s="2"/>
      <c r="C270" s="61" t="s">
        <v>597</v>
      </c>
      <c r="D270" s="62" t="s">
        <v>599</v>
      </c>
      <c r="E270" s="63" t="s">
        <v>600</v>
      </c>
      <c r="F270" s="64">
        <v>6946.5</v>
      </c>
      <c r="G270" s="65">
        <v>7473</v>
      </c>
      <c r="H270" s="65">
        <v>8559</v>
      </c>
      <c r="I270" s="65">
        <v>9076.5</v>
      </c>
      <c r="J270" s="65">
        <v>12028.5</v>
      </c>
      <c r="K270" s="65">
        <v>14617.5</v>
      </c>
      <c r="L270" s="65">
        <v>16989</v>
      </c>
      <c r="M270" s="66">
        <v>1057.5</v>
      </c>
      <c r="N270" s="67">
        <v>882</v>
      </c>
      <c r="O270" s="60"/>
      <c r="P270" s="2"/>
      <c r="Q270" s="2"/>
      <c r="R270" s="2"/>
      <c r="S270" s="2"/>
      <c r="T270" s="2"/>
      <c r="U270" s="2"/>
      <c r="V270" s="2"/>
      <c r="W270" s="2"/>
      <c r="X270" s="2"/>
    </row>
    <row r="271" spans="2:24" ht="15.75" customHeight="1" x14ac:dyDescent="0.3">
      <c r="B271" s="2"/>
      <c r="C271" s="61" t="s">
        <v>597</v>
      </c>
      <c r="D271" s="62" t="s">
        <v>601</v>
      </c>
      <c r="E271" s="63" t="s">
        <v>602</v>
      </c>
      <c r="F271" s="64">
        <v>6946.5</v>
      </c>
      <c r="G271" s="65">
        <v>7473</v>
      </c>
      <c r="H271" s="65">
        <v>8559</v>
      </c>
      <c r="I271" s="65">
        <v>9076.5</v>
      </c>
      <c r="J271" s="65">
        <v>12028.5</v>
      </c>
      <c r="K271" s="65">
        <v>14617.5</v>
      </c>
      <c r="L271" s="65">
        <v>16989</v>
      </c>
      <c r="M271" s="66">
        <v>1057.5</v>
      </c>
      <c r="N271" s="67">
        <v>882</v>
      </c>
      <c r="O271" s="60"/>
      <c r="P271" s="2"/>
      <c r="Q271" s="2"/>
      <c r="R271" s="2"/>
      <c r="S271" s="2"/>
      <c r="T271" s="2"/>
      <c r="U271" s="2"/>
      <c r="V271" s="2"/>
      <c r="W271" s="2"/>
      <c r="X271" s="2"/>
    </row>
    <row r="272" spans="2:24" ht="15.75" customHeight="1" x14ac:dyDescent="0.3">
      <c r="B272" s="2"/>
      <c r="C272" s="61" t="s">
        <v>597</v>
      </c>
      <c r="D272" s="62" t="s">
        <v>603</v>
      </c>
      <c r="E272" s="63" t="s">
        <v>604</v>
      </c>
      <c r="F272" s="64">
        <v>4631</v>
      </c>
      <c r="G272" s="65">
        <v>4982</v>
      </c>
      <c r="H272" s="65">
        <v>5706</v>
      </c>
      <c r="I272" s="65">
        <v>6051</v>
      </c>
      <c r="J272" s="65">
        <v>8019</v>
      </c>
      <c r="K272" s="65">
        <v>9745</v>
      </c>
      <c r="L272" s="65">
        <v>11326</v>
      </c>
      <c r="M272" s="66">
        <v>705</v>
      </c>
      <c r="N272" s="67">
        <v>588</v>
      </c>
      <c r="O272" s="60"/>
      <c r="P272" s="2"/>
      <c r="Q272" s="2"/>
      <c r="R272" s="2"/>
      <c r="S272" s="2"/>
      <c r="T272" s="2"/>
      <c r="U272" s="2"/>
      <c r="V272" s="2"/>
      <c r="W272" s="2"/>
      <c r="X272" s="2"/>
    </row>
    <row r="273" spans="2:24" ht="15.75" customHeight="1" x14ac:dyDescent="0.3">
      <c r="B273" s="2"/>
      <c r="C273" s="61" t="s">
        <v>597</v>
      </c>
      <c r="D273" s="62" t="s">
        <v>605</v>
      </c>
      <c r="E273" s="63" t="s">
        <v>606</v>
      </c>
      <c r="F273" s="64">
        <v>6946.5</v>
      </c>
      <c r="G273" s="65">
        <v>7473</v>
      </c>
      <c r="H273" s="65">
        <v>8559</v>
      </c>
      <c r="I273" s="65">
        <v>9076.5</v>
      </c>
      <c r="J273" s="65">
        <v>12028.5</v>
      </c>
      <c r="K273" s="65">
        <v>14617.5</v>
      </c>
      <c r="L273" s="65">
        <v>16989</v>
      </c>
      <c r="M273" s="66">
        <v>1057.5</v>
      </c>
      <c r="N273" s="67">
        <v>882</v>
      </c>
      <c r="O273" s="60"/>
      <c r="P273" s="2"/>
      <c r="Q273" s="2"/>
      <c r="R273" s="2"/>
      <c r="S273" s="2"/>
      <c r="T273" s="2"/>
      <c r="U273" s="2"/>
      <c r="V273" s="2"/>
      <c r="W273" s="2"/>
      <c r="X273" s="2"/>
    </row>
    <row r="274" spans="2:24" ht="15.75" customHeight="1" x14ac:dyDescent="0.3">
      <c r="B274" s="2"/>
      <c r="C274" s="61" t="s">
        <v>597</v>
      </c>
      <c r="D274" s="62" t="s">
        <v>607</v>
      </c>
      <c r="E274" s="63" t="s">
        <v>608</v>
      </c>
      <c r="F274" s="64">
        <v>4263</v>
      </c>
      <c r="G274" s="65">
        <v>4508</v>
      </c>
      <c r="H274" s="65">
        <v>5202</v>
      </c>
      <c r="I274" s="65">
        <v>5663</v>
      </c>
      <c r="J274" s="65">
        <v>7302</v>
      </c>
      <c r="K274" s="65">
        <v>9198</v>
      </c>
      <c r="L274" s="65">
        <v>10747</v>
      </c>
      <c r="M274" s="66">
        <v>696</v>
      </c>
      <c r="N274" s="67">
        <v>568</v>
      </c>
      <c r="O274" s="60"/>
      <c r="P274" s="2"/>
      <c r="Q274" s="2"/>
      <c r="R274" s="2"/>
      <c r="S274" s="2"/>
      <c r="T274" s="2"/>
      <c r="U274" s="2"/>
      <c r="V274" s="2"/>
      <c r="W274" s="2"/>
      <c r="X274" s="2"/>
    </row>
    <row r="275" spans="2:24" ht="15.75" customHeight="1" x14ac:dyDescent="0.3">
      <c r="B275" s="2"/>
      <c r="C275" s="61" t="s">
        <v>597</v>
      </c>
      <c r="D275" s="62" t="s">
        <v>609</v>
      </c>
      <c r="E275" s="63" t="s">
        <v>610</v>
      </c>
      <c r="F275" s="64">
        <v>4631</v>
      </c>
      <c r="G275" s="65">
        <v>4982</v>
      </c>
      <c r="H275" s="65">
        <v>5706</v>
      </c>
      <c r="I275" s="65">
        <v>6051</v>
      </c>
      <c r="J275" s="65">
        <v>8019</v>
      </c>
      <c r="K275" s="65">
        <v>9745</v>
      </c>
      <c r="L275" s="65">
        <v>11326</v>
      </c>
      <c r="M275" s="66">
        <v>705</v>
      </c>
      <c r="N275" s="67">
        <v>588</v>
      </c>
      <c r="O275" s="60"/>
      <c r="P275" s="2"/>
      <c r="Q275" s="2"/>
      <c r="R275" s="2"/>
      <c r="S275" s="2"/>
      <c r="T275" s="2"/>
      <c r="U275" s="2"/>
      <c r="V275" s="2"/>
      <c r="W275" s="2"/>
      <c r="X275" s="2"/>
    </row>
    <row r="276" spans="2:24" ht="15.75" customHeight="1" x14ac:dyDescent="0.3">
      <c r="B276" s="2"/>
      <c r="C276" s="61" t="s">
        <v>597</v>
      </c>
      <c r="D276" s="62" t="s">
        <v>611</v>
      </c>
      <c r="E276" s="63" t="s">
        <v>612</v>
      </c>
      <c r="F276" s="64">
        <v>4631</v>
      </c>
      <c r="G276" s="65">
        <v>4982</v>
      </c>
      <c r="H276" s="65">
        <v>5706</v>
      </c>
      <c r="I276" s="65">
        <v>6051</v>
      </c>
      <c r="J276" s="65">
        <v>8019</v>
      </c>
      <c r="K276" s="65">
        <v>9745</v>
      </c>
      <c r="L276" s="65">
        <v>11326</v>
      </c>
      <c r="M276" s="66">
        <v>705</v>
      </c>
      <c r="N276" s="67">
        <v>588</v>
      </c>
      <c r="O276" s="60"/>
      <c r="P276" s="2"/>
      <c r="Q276" s="2"/>
      <c r="R276" s="2"/>
      <c r="S276" s="2"/>
      <c r="T276" s="2"/>
      <c r="U276" s="2"/>
      <c r="V276" s="2"/>
      <c r="W276" s="2"/>
      <c r="X276" s="2"/>
    </row>
    <row r="277" spans="2:24" ht="15.75" customHeight="1" x14ac:dyDescent="0.3">
      <c r="B277" s="2"/>
      <c r="C277" s="61" t="s">
        <v>597</v>
      </c>
      <c r="D277" s="62" t="s">
        <v>613</v>
      </c>
      <c r="E277" s="63" t="s">
        <v>614</v>
      </c>
      <c r="F277" s="64">
        <v>4631</v>
      </c>
      <c r="G277" s="65">
        <v>4982</v>
      </c>
      <c r="H277" s="65">
        <v>5706</v>
      </c>
      <c r="I277" s="65">
        <v>6051</v>
      </c>
      <c r="J277" s="65">
        <v>8019</v>
      </c>
      <c r="K277" s="65">
        <v>9745</v>
      </c>
      <c r="L277" s="65">
        <v>11326</v>
      </c>
      <c r="M277" s="66">
        <v>705</v>
      </c>
      <c r="N277" s="67">
        <v>588</v>
      </c>
      <c r="O277" s="60"/>
      <c r="P277" s="2"/>
      <c r="Q277" s="2"/>
      <c r="R277" s="2"/>
      <c r="S277" s="2"/>
      <c r="T277" s="2"/>
      <c r="U277" s="2"/>
      <c r="V277" s="2"/>
      <c r="W277" s="2"/>
      <c r="X277" s="2"/>
    </row>
    <row r="278" spans="2:24" ht="15.75" customHeight="1" x14ac:dyDescent="0.3">
      <c r="B278" s="2"/>
      <c r="C278" s="61" t="s">
        <v>597</v>
      </c>
      <c r="D278" s="62" t="s">
        <v>615</v>
      </c>
      <c r="E278" s="63" t="s">
        <v>616</v>
      </c>
      <c r="F278" s="64">
        <v>6394.5</v>
      </c>
      <c r="G278" s="65">
        <v>6762</v>
      </c>
      <c r="H278" s="65">
        <v>7803</v>
      </c>
      <c r="I278" s="65">
        <v>8494.5</v>
      </c>
      <c r="J278" s="65">
        <v>10953</v>
      </c>
      <c r="K278" s="65">
        <v>13797</v>
      </c>
      <c r="L278" s="65">
        <v>16120.5</v>
      </c>
      <c r="M278" s="66">
        <v>1044</v>
      </c>
      <c r="N278" s="67">
        <v>852</v>
      </c>
      <c r="O278" s="60"/>
      <c r="P278" s="2"/>
      <c r="Q278" s="2"/>
      <c r="R278" s="2"/>
      <c r="S278" s="2"/>
      <c r="T278" s="2"/>
      <c r="U278" s="2"/>
      <c r="V278" s="2"/>
      <c r="W278" s="2"/>
      <c r="X278" s="2"/>
    </row>
    <row r="279" spans="2:24" ht="15.75" customHeight="1" x14ac:dyDescent="0.3">
      <c r="B279" s="2"/>
      <c r="C279" s="61" t="s">
        <v>597</v>
      </c>
      <c r="D279" s="62" t="s">
        <v>617</v>
      </c>
      <c r="E279" s="63" t="s">
        <v>618</v>
      </c>
      <c r="F279" s="64">
        <v>4631</v>
      </c>
      <c r="G279" s="65">
        <v>4982</v>
      </c>
      <c r="H279" s="65">
        <v>5706</v>
      </c>
      <c r="I279" s="65">
        <v>6051</v>
      </c>
      <c r="J279" s="65">
        <v>8019</v>
      </c>
      <c r="K279" s="65">
        <v>9745</v>
      </c>
      <c r="L279" s="65">
        <v>11326</v>
      </c>
      <c r="M279" s="66">
        <v>705</v>
      </c>
      <c r="N279" s="67">
        <v>588</v>
      </c>
      <c r="O279" s="60"/>
      <c r="P279" s="2"/>
      <c r="Q279" s="2"/>
      <c r="R279" s="2"/>
      <c r="S279" s="2"/>
      <c r="T279" s="2"/>
      <c r="U279" s="2"/>
      <c r="V279" s="2"/>
      <c r="W279" s="2"/>
      <c r="X279" s="2"/>
    </row>
    <row r="280" spans="2:24" ht="15.75" customHeight="1" x14ac:dyDescent="0.3">
      <c r="B280" s="2"/>
      <c r="C280" s="68" t="s">
        <v>597</v>
      </c>
      <c r="D280" s="69" t="s">
        <v>619</v>
      </c>
      <c r="E280" s="70" t="s">
        <v>620</v>
      </c>
      <c r="F280" s="71">
        <v>4631</v>
      </c>
      <c r="G280" s="72">
        <v>4982</v>
      </c>
      <c r="H280" s="72">
        <v>5706</v>
      </c>
      <c r="I280" s="72">
        <v>6051</v>
      </c>
      <c r="J280" s="72">
        <v>8019</v>
      </c>
      <c r="K280" s="72">
        <v>9745</v>
      </c>
      <c r="L280" s="72">
        <v>11326</v>
      </c>
      <c r="M280" s="73">
        <v>705</v>
      </c>
      <c r="N280" s="74">
        <v>588</v>
      </c>
      <c r="O280" s="60"/>
      <c r="P280" s="2"/>
      <c r="Q280" s="2"/>
      <c r="R280" s="2"/>
      <c r="S280" s="2"/>
      <c r="T280" s="2"/>
      <c r="U280" s="2"/>
      <c r="V280" s="2"/>
      <c r="W280" s="2"/>
      <c r="X280" s="2"/>
    </row>
    <row r="281" spans="2:24" ht="15.75" customHeight="1" x14ac:dyDescent="0.3">
      <c r="B281" s="2"/>
      <c r="C281" s="53" t="s">
        <v>621</v>
      </c>
      <c r="D281" s="54" t="s">
        <v>622</v>
      </c>
      <c r="E281" s="55" t="s">
        <v>49</v>
      </c>
      <c r="F281" s="56">
        <v>4631</v>
      </c>
      <c r="G281" s="57">
        <v>4982</v>
      </c>
      <c r="H281" s="57">
        <v>5706</v>
      </c>
      <c r="I281" s="57">
        <v>6051</v>
      </c>
      <c r="J281" s="57">
        <v>8019</v>
      </c>
      <c r="K281" s="57">
        <v>9745</v>
      </c>
      <c r="L281" s="57">
        <v>11326</v>
      </c>
      <c r="M281" s="58">
        <v>705</v>
      </c>
      <c r="N281" s="59">
        <v>588</v>
      </c>
      <c r="O281" s="60"/>
      <c r="P281" s="2"/>
      <c r="Q281" s="2"/>
      <c r="R281" s="2"/>
      <c r="S281" s="2"/>
      <c r="T281" s="2"/>
      <c r="U281" s="2"/>
      <c r="V281" s="2"/>
      <c r="W281" s="2"/>
      <c r="X281" s="2"/>
    </row>
    <row r="282" spans="2:24" ht="15.75" customHeight="1" x14ac:dyDescent="0.3">
      <c r="B282" s="2"/>
      <c r="C282" s="61" t="s">
        <v>621</v>
      </c>
      <c r="D282" s="62" t="s">
        <v>623</v>
      </c>
      <c r="E282" s="63" t="s">
        <v>50</v>
      </c>
      <c r="F282" s="64">
        <v>4514</v>
      </c>
      <c r="G282" s="65">
        <v>4855</v>
      </c>
      <c r="H282" s="65">
        <v>5564</v>
      </c>
      <c r="I282" s="65">
        <v>5965</v>
      </c>
      <c r="J282" s="65">
        <v>7797</v>
      </c>
      <c r="K282" s="65">
        <v>9536</v>
      </c>
      <c r="L282" s="65">
        <v>11118</v>
      </c>
      <c r="M282" s="66">
        <v>700</v>
      </c>
      <c r="N282" s="67">
        <v>575</v>
      </c>
      <c r="O282" s="60"/>
      <c r="P282" s="2"/>
      <c r="Q282" s="2"/>
      <c r="R282" s="2"/>
      <c r="S282" s="2"/>
      <c r="T282" s="2"/>
      <c r="U282" s="2"/>
      <c r="V282" s="2"/>
      <c r="W282" s="2"/>
      <c r="X282" s="2"/>
    </row>
    <row r="283" spans="2:24" ht="15.75" customHeight="1" x14ac:dyDescent="0.3">
      <c r="B283" s="2"/>
      <c r="C283" s="61" t="s">
        <v>621</v>
      </c>
      <c r="D283" s="62" t="s">
        <v>624</v>
      </c>
      <c r="E283" s="63" t="s">
        <v>625</v>
      </c>
      <c r="F283" s="64">
        <v>6771</v>
      </c>
      <c r="G283" s="65">
        <v>7282.5</v>
      </c>
      <c r="H283" s="65">
        <v>8346</v>
      </c>
      <c r="I283" s="65">
        <v>8947.5</v>
      </c>
      <c r="J283" s="65">
        <v>11695.5</v>
      </c>
      <c r="K283" s="65">
        <v>14304</v>
      </c>
      <c r="L283" s="65">
        <v>16677</v>
      </c>
      <c r="M283" s="66">
        <v>1050</v>
      </c>
      <c r="N283" s="67">
        <v>862.5</v>
      </c>
      <c r="O283" s="60"/>
      <c r="P283" s="2"/>
      <c r="Q283" s="2"/>
      <c r="R283" s="2"/>
      <c r="S283" s="2"/>
      <c r="T283" s="2"/>
      <c r="U283" s="2"/>
      <c r="V283" s="2"/>
      <c r="W283" s="2"/>
      <c r="X283" s="2"/>
    </row>
    <row r="284" spans="2:24" ht="15.75" customHeight="1" x14ac:dyDescent="0.3">
      <c r="B284" s="2"/>
      <c r="C284" s="61" t="s">
        <v>621</v>
      </c>
      <c r="D284" s="62" t="s">
        <v>626</v>
      </c>
      <c r="E284" s="63" t="s">
        <v>627</v>
      </c>
      <c r="F284" s="64">
        <v>6771</v>
      </c>
      <c r="G284" s="65">
        <v>7282.5</v>
      </c>
      <c r="H284" s="65">
        <v>8346</v>
      </c>
      <c r="I284" s="65">
        <v>8947.5</v>
      </c>
      <c r="J284" s="65">
        <v>11695.5</v>
      </c>
      <c r="K284" s="65">
        <v>14304</v>
      </c>
      <c r="L284" s="65">
        <v>16677</v>
      </c>
      <c r="M284" s="66">
        <v>1050</v>
      </c>
      <c r="N284" s="67">
        <v>862.5</v>
      </c>
      <c r="O284" s="60"/>
      <c r="P284" s="2"/>
      <c r="Q284" s="2"/>
      <c r="R284" s="2"/>
      <c r="S284" s="2"/>
      <c r="T284" s="2"/>
      <c r="U284" s="2"/>
      <c r="V284" s="2"/>
      <c r="W284" s="2"/>
      <c r="X284" s="2"/>
    </row>
    <row r="285" spans="2:24" ht="15.75" customHeight="1" x14ac:dyDescent="0.3">
      <c r="B285" s="2"/>
      <c r="C285" s="61" t="s">
        <v>621</v>
      </c>
      <c r="D285" s="62" t="s">
        <v>628</v>
      </c>
      <c r="E285" s="63" t="s">
        <v>629</v>
      </c>
      <c r="F285" s="64">
        <v>6771</v>
      </c>
      <c r="G285" s="65">
        <v>7282.5</v>
      </c>
      <c r="H285" s="65">
        <v>8346</v>
      </c>
      <c r="I285" s="65">
        <v>8947.5</v>
      </c>
      <c r="J285" s="65">
        <v>11695.5</v>
      </c>
      <c r="K285" s="65">
        <v>14304</v>
      </c>
      <c r="L285" s="65">
        <v>16677</v>
      </c>
      <c r="M285" s="66">
        <v>1050</v>
      </c>
      <c r="N285" s="67">
        <v>862.5</v>
      </c>
      <c r="O285" s="60"/>
      <c r="P285" s="2"/>
      <c r="Q285" s="2"/>
      <c r="R285" s="2"/>
      <c r="S285" s="2"/>
      <c r="T285" s="2"/>
      <c r="U285" s="2"/>
      <c r="V285" s="2"/>
      <c r="W285" s="2"/>
      <c r="X285" s="2"/>
    </row>
    <row r="286" spans="2:24" ht="15.75" customHeight="1" x14ac:dyDescent="0.3">
      <c r="B286" s="2"/>
      <c r="C286" s="61" t="s">
        <v>621</v>
      </c>
      <c r="D286" s="62" t="s">
        <v>630</v>
      </c>
      <c r="E286" s="63" t="s">
        <v>631</v>
      </c>
      <c r="F286" s="64">
        <v>6771</v>
      </c>
      <c r="G286" s="65">
        <v>7282.5</v>
      </c>
      <c r="H286" s="65">
        <v>8346</v>
      </c>
      <c r="I286" s="65">
        <v>8947.5</v>
      </c>
      <c r="J286" s="65">
        <v>11695.5</v>
      </c>
      <c r="K286" s="65">
        <v>14304</v>
      </c>
      <c r="L286" s="65">
        <v>16677</v>
      </c>
      <c r="M286" s="66">
        <v>1050</v>
      </c>
      <c r="N286" s="67">
        <v>862.5</v>
      </c>
      <c r="O286" s="60"/>
      <c r="P286" s="2"/>
      <c r="Q286" s="2"/>
      <c r="R286" s="2"/>
      <c r="S286" s="2"/>
      <c r="T286" s="2"/>
      <c r="U286" s="2"/>
      <c r="V286" s="2"/>
      <c r="W286" s="2"/>
      <c r="X286" s="2"/>
    </row>
    <row r="287" spans="2:24" ht="15.75" customHeight="1" x14ac:dyDescent="0.3">
      <c r="B287" s="2"/>
      <c r="C287" s="61" t="s">
        <v>621</v>
      </c>
      <c r="D287" s="62" t="s">
        <v>632</v>
      </c>
      <c r="E287" s="63" t="s">
        <v>633</v>
      </c>
      <c r="F287" s="64">
        <v>6771</v>
      </c>
      <c r="G287" s="65">
        <v>7282.5</v>
      </c>
      <c r="H287" s="65">
        <v>8346</v>
      </c>
      <c r="I287" s="65">
        <v>8947.5</v>
      </c>
      <c r="J287" s="65">
        <v>11695.5</v>
      </c>
      <c r="K287" s="65">
        <v>14304</v>
      </c>
      <c r="L287" s="65">
        <v>16677</v>
      </c>
      <c r="M287" s="66">
        <v>1050</v>
      </c>
      <c r="N287" s="67">
        <v>862.5</v>
      </c>
      <c r="O287" s="60"/>
      <c r="P287" s="2"/>
      <c r="Q287" s="2"/>
      <c r="R287" s="2"/>
      <c r="S287" s="2"/>
      <c r="T287" s="2"/>
      <c r="U287" s="2"/>
      <c r="V287" s="2"/>
      <c r="W287" s="2"/>
      <c r="X287" s="2"/>
    </row>
    <row r="288" spans="2:24" ht="15.75" customHeight="1" x14ac:dyDescent="0.3">
      <c r="B288" s="2"/>
      <c r="C288" s="61" t="s">
        <v>621</v>
      </c>
      <c r="D288" s="62" t="s">
        <v>634</v>
      </c>
      <c r="E288" s="63" t="s">
        <v>635</v>
      </c>
      <c r="F288" s="64">
        <v>4631</v>
      </c>
      <c r="G288" s="65">
        <v>4982</v>
      </c>
      <c r="H288" s="65">
        <v>5706</v>
      </c>
      <c r="I288" s="65">
        <v>6051</v>
      </c>
      <c r="J288" s="65">
        <v>8019</v>
      </c>
      <c r="K288" s="65">
        <v>9745</v>
      </c>
      <c r="L288" s="65">
        <v>11326</v>
      </c>
      <c r="M288" s="66">
        <v>705</v>
      </c>
      <c r="N288" s="67">
        <v>588</v>
      </c>
      <c r="O288" s="60"/>
      <c r="P288" s="2"/>
      <c r="Q288" s="2"/>
      <c r="R288" s="2"/>
      <c r="S288" s="2"/>
      <c r="T288" s="2"/>
      <c r="U288" s="2"/>
      <c r="V288" s="2"/>
      <c r="W288" s="2"/>
      <c r="X288" s="2"/>
    </row>
    <row r="289" spans="2:24" ht="15.75" customHeight="1" x14ac:dyDescent="0.3">
      <c r="B289" s="2"/>
      <c r="C289" s="61" t="s">
        <v>621</v>
      </c>
      <c r="D289" s="62" t="s">
        <v>636</v>
      </c>
      <c r="E289" s="63" t="s">
        <v>637</v>
      </c>
      <c r="F289" s="64">
        <v>5110</v>
      </c>
      <c r="G289" s="65">
        <v>5769</v>
      </c>
      <c r="H289" s="65">
        <v>6653</v>
      </c>
      <c r="I289" s="65">
        <v>7634</v>
      </c>
      <c r="J289" s="65">
        <v>9190</v>
      </c>
      <c r="K289" s="65">
        <v>11699</v>
      </c>
      <c r="L289" s="65">
        <v>14521</v>
      </c>
      <c r="M289" s="66">
        <v>727</v>
      </c>
      <c r="N289" s="67">
        <v>594</v>
      </c>
      <c r="O289" s="60"/>
      <c r="P289" s="2"/>
      <c r="Q289" s="2"/>
      <c r="R289" s="2"/>
      <c r="S289" s="2"/>
      <c r="T289" s="2"/>
      <c r="U289" s="2"/>
      <c r="V289" s="2"/>
      <c r="W289" s="2"/>
      <c r="X289" s="2"/>
    </row>
    <row r="290" spans="2:24" ht="15.75" customHeight="1" x14ac:dyDescent="0.3">
      <c r="B290" s="2"/>
      <c r="C290" s="61" t="s">
        <v>621</v>
      </c>
      <c r="D290" s="62" t="s">
        <v>638</v>
      </c>
      <c r="E290" s="63" t="s">
        <v>639</v>
      </c>
      <c r="F290" s="64">
        <v>4514</v>
      </c>
      <c r="G290" s="65">
        <v>4855</v>
      </c>
      <c r="H290" s="65">
        <v>5564</v>
      </c>
      <c r="I290" s="65">
        <v>5965</v>
      </c>
      <c r="J290" s="65">
        <v>7797</v>
      </c>
      <c r="K290" s="65">
        <v>9536</v>
      </c>
      <c r="L290" s="65">
        <v>11118</v>
      </c>
      <c r="M290" s="66">
        <v>700</v>
      </c>
      <c r="N290" s="67">
        <v>575</v>
      </c>
      <c r="O290" s="60"/>
      <c r="P290" s="2"/>
      <c r="Q290" s="2"/>
      <c r="R290" s="2"/>
      <c r="S290" s="2"/>
      <c r="T290" s="2"/>
      <c r="U290" s="2"/>
      <c r="V290" s="2"/>
      <c r="W290" s="2"/>
      <c r="X290" s="2"/>
    </row>
    <row r="291" spans="2:24" ht="15.75" customHeight="1" x14ac:dyDescent="0.3">
      <c r="B291" s="2"/>
      <c r="C291" s="61" t="s">
        <v>621</v>
      </c>
      <c r="D291" s="62" t="s">
        <v>640</v>
      </c>
      <c r="E291" s="63" t="s">
        <v>53</v>
      </c>
      <c r="F291" s="64">
        <v>5110</v>
      </c>
      <c r="G291" s="65">
        <v>5769</v>
      </c>
      <c r="H291" s="65">
        <v>6653</v>
      </c>
      <c r="I291" s="65">
        <v>7634</v>
      </c>
      <c r="J291" s="65">
        <v>9190</v>
      </c>
      <c r="K291" s="65">
        <v>11699</v>
      </c>
      <c r="L291" s="65">
        <v>14521</v>
      </c>
      <c r="M291" s="66">
        <v>727</v>
      </c>
      <c r="N291" s="67">
        <v>594</v>
      </c>
      <c r="O291" s="60"/>
      <c r="P291" s="2"/>
      <c r="Q291" s="2"/>
      <c r="R291" s="2"/>
      <c r="S291" s="2"/>
      <c r="T291" s="2"/>
      <c r="U291" s="2"/>
      <c r="V291" s="2"/>
      <c r="W291" s="2"/>
      <c r="X291" s="2"/>
    </row>
    <row r="292" spans="2:24" ht="15.75" customHeight="1" x14ac:dyDescent="0.3">
      <c r="B292" s="2"/>
      <c r="C292" s="61" t="s">
        <v>621</v>
      </c>
      <c r="D292" s="62" t="s">
        <v>641</v>
      </c>
      <c r="E292" s="63" t="s">
        <v>642</v>
      </c>
      <c r="F292" s="64">
        <v>7665</v>
      </c>
      <c r="G292" s="65">
        <v>8653.5</v>
      </c>
      <c r="H292" s="65">
        <v>9979.5</v>
      </c>
      <c r="I292" s="65">
        <v>11451</v>
      </c>
      <c r="J292" s="65">
        <v>13785</v>
      </c>
      <c r="K292" s="65">
        <v>17548.5</v>
      </c>
      <c r="L292" s="65">
        <v>21781.5</v>
      </c>
      <c r="M292" s="66">
        <v>1090.5</v>
      </c>
      <c r="N292" s="67">
        <v>891</v>
      </c>
      <c r="O292" s="60"/>
      <c r="P292" s="2"/>
      <c r="Q292" s="2"/>
      <c r="R292" s="2"/>
      <c r="S292" s="2"/>
      <c r="T292" s="2"/>
      <c r="U292" s="2"/>
      <c r="V292" s="2"/>
      <c r="W292" s="2"/>
      <c r="X292" s="2"/>
    </row>
    <row r="293" spans="2:24" ht="15.75" customHeight="1" x14ac:dyDescent="0.3">
      <c r="B293" s="2"/>
      <c r="C293" s="61" t="s">
        <v>621</v>
      </c>
      <c r="D293" s="62" t="s">
        <v>643</v>
      </c>
      <c r="E293" s="63" t="s">
        <v>644</v>
      </c>
      <c r="F293" s="64">
        <v>7665</v>
      </c>
      <c r="G293" s="65">
        <v>8653.5</v>
      </c>
      <c r="H293" s="65">
        <v>9979.5</v>
      </c>
      <c r="I293" s="65">
        <v>11451</v>
      </c>
      <c r="J293" s="65">
        <v>13785</v>
      </c>
      <c r="K293" s="65">
        <v>17548.5</v>
      </c>
      <c r="L293" s="65">
        <v>21781.5</v>
      </c>
      <c r="M293" s="66">
        <v>1090.5</v>
      </c>
      <c r="N293" s="67">
        <v>891</v>
      </c>
      <c r="O293" s="60"/>
      <c r="P293" s="2"/>
      <c r="Q293" s="2"/>
      <c r="R293" s="2"/>
      <c r="S293" s="2"/>
      <c r="T293" s="2"/>
      <c r="U293" s="2"/>
      <c r="V293" s="2"/>
      <c r="W293" s="2"/>
      <c r="X293" s="2"/>
    </row>
    <row r="294" spans="2:24" ht="15.75" customHeight="1" x14ac:dyDescent="0.3">
      <c r="B294" s="2"/>
      <c r="C294" s="61" t="s">
        <v>621</v>
      </c>
      <c r="D294" s="62" t="s">
        <v>645</v>
      </c>
      <c r="E294" s="63" t="s">
        <v>646</v>
      </c>
      <c r="F294" s="64">
        <v>7665</v>
      </c>
      <c r="G294" s="65">
        <v>8653.5</v>
      </c>
      <c r="H294" s="65">
        <v>9979.5</v>
      </c>
      <c r="I294" s="65">
        <v>11451</v>
      </c>
      <c r="J294" s="65">
        <v>13785</v>
      </c>
      <c r="K294" s="65">
        <v>17548.5</v>
      </c>
      <c r="L294" s="65">
        <v>21781.5</v>
      </c>
      <c r="M294" s="66">
        <v>1090.5</v>
      </c>
      <c r="N294" s="67">
        <v>891</v>
      </c>
      <c r="O294" s="60"/>
      <c r="P294" s="2"/>
      <c r="Q294" s="2"/>
      <c r="R294" s="2"/>
      <c r="S294" s="2"/>
      <c r="T294" s="2"/>
      <c r="U294" s="2"/>
      <c r="V294" s="2"/>
      <c r="W294" s="2"/>
      <c r="X294" s="2"/>
    </row>
    <row r="295" spans="2:24" ht="15.75" customHeight="1" x14ac:dyDescent="0.3">
      <c r="B295" s="2"/>
      <c r="C295" s="61" t="s">
        <v>621</v>
      </c>
      <c r="D295" s="62" t="s">
        <v>647</v>
      </c>
      <c r="E295" s="63" t="s">
        <v>648</v>
      </c>
      <c r="F295" s="64">
        <v>5110</v>
      </c>
      <c r="G295" s="65">
        <v>5769</v>
      </c>
      <c r="H295" s="65">
        <v>6653</v>
      </c>
      <c r="I295" s="65">
        <v>7634</v>
      </c>
      <c r="J295" s="65">
        <v>9190</v>
      </c>
      <c r="K295" s="65">
        <v>11699</v>
      </c>
      <c r="L295" s="65">
        <v>14521</v>
      </c>
      <c r="M295" s="66">
        <v>727</v>
      </c>
      <c r="N295" s="67">
        <v>594</v>
      </c>
      <c r="O295" s="60"/>
      <c r="P295" s="2"/>
      <c r="Q295" s="2"/>
      <c r="R295" s="2"/>
      <c r="S295" s="2"/>
      <c r="T295" s="2"/>
      <c r="U295" s="2"/>
      <c r="V295" s="2"/>
      <c r="W295" s="2"/>
      <c r="X295" s="2"/>
    </row>
    <row r="296" spans="2:24" ht="15.75" customHeight="1" x14ac:dyDescent="0.3">
      <c r="B296" s="2"/>
      <c r="C296" s="61" t="s">
        <v>621</v>
      </c>
      <c r="D296" s="62" t="s">
        <v>649</v>
      </c>
      <c r="E296" s="63" t="s">
        <v>650</v>
      </c>
      <c r="F296" s="64">
        <v>7665</v>
      </c>
      <c r="G296" s="65">
        <v>8653.5</v>
      </c>
      <c r="H296" s="65">
        <v>9979.5</v>
      </c>
      <c r="I296" s="65">
        <v>11451</v>
      </c>
      <c r="J296" s="65">
        <v>13785</v>
      </c>
      <c r="K296" s="65">
        <v>17548.5</v>
      </c>
      <c r="L296" s="65">
        <v>21781.5</v>
      </c>
      <c r="M296" s="66">
        <v>1090.5</v>
      </c>
      <c r="N296" s="67">
        <v>891</v>
      </c>
      <c r="O296" s="60"/>
      <c r="P296" s="2"/>
      <c r="Q296" s="2"/>
      <c r="R296" s="2"/>
      <c r="S296" s="2"/>
      <c r="T296" s="2"/>
      <c r="U296" s="2"/>
      <c r="V296" s="2"/>
      <c r="W296" s="2"/>
      <c r="X296" s="2"/>
    </row>
    <row r="297" spans="2:24" ht="15.75" customHeight="1" x14ac:dyDescent="0.3">
      <c r="B297" s="2"/>
      <c r="C297" s="61" t="s">
        <v>621</v>
      </c>
      <c r="D297" s="62" t="s">
        <v>651</v>
      </c>
      <c r="E297" s="63" t="s">
        <v>652</v>
      </c>
      <c r="F297" s="64">
        <v>5110</v>
      </c>
      <c r="G297" s="65">
        <v>5769</v>
      </c>
      <c r="H297" s="65">
        <v>6653</v>
      </c>
      <c r="I297" s="65">
        <v>7634</v>
      </c>
      <c r="J297" s="65">
        <v>9190</v>
      </c>
      <c r="K297" s="65">
        <v>11699</v>
      </c>
      <c r="L297" s="65">
        <v>14521</v>
      </c>
      <c r="M297" s="66">
        <v>727</v>
      </c>
      <c r="N297" s="67">
        <v>594</v>
      </c>
      <c r="O297" s="60"/>
      <c r="P297" s="2"/>
      <c r="Q297" s="2"/>
      <c r="R297" s="2"/>
      <c r="S297" s="2"/>
      <c r="T297" s="2"/>
      <c r="U297" s="2"/>
      <c r="V297" s="2"/>
      <c r="W297" s="2"/>
      <c r="X297" s="2"/>
    </row>
    <row r="298" spans="2:24" ht="15.75" customHeight="1" x14ac:dyDescent="0.3">
      <c r="B298" s="2"/>
      <c r="C298" s="61" t="s">
        <v>621</v>
      </c>
      <c r="D298" s="62" t="s">
        <v>653</v>
      </c>
      <c r="E298" s="63" t="s">
        <v>654</v>
      </c>
      <c r="F298" s="64">
        <v>5110</v>
      </c>
      <c r="G298" s="65">
        <v>5769</v>
      </c>
      <c r="H298" s="65">
        <v>6653</v>
      </c>
      <c r="I298" s="65">
        <v>7634</v>
      </c>
      <c r="J298" s="65">
        <v>9190</v>
      </c>
      <c r="K298" s="65">
        <v>11699</v>
      </c>
      <c r="L298" s="65">
        <v>14521</v>
      </c>
      <c r="M298" s="66">
        <v>727</v>
      </c>
      <c r="N298" s="67">
        <v>594</v>
      </c>
      <c r="O298" s="60"/>
      <c r="P298" s="2"/>
      <c r="Q298" s="2"/>
      <c r="R298" s="2"/>
      <c r="S298" s="2"/>
      <c r="T298" s="2"/>
      <c r="U298" s="2"/>
      <c r="V298" s="2"/>
      <c r="W298" s="2"/>
      <c r="X298" s="2"/>
    </row>
    <row r="299" spans="2:24" ht="15.75" customHeight="1" x14ac:dyDescent="0.3">
      <c r="B299" s="2"/>
      <c r="C299" s="61" t="s">
        <v>621</v>
      </c>
      <c r="D299" s="62" t="s">
        <v>655</v>
      </c>
      <c r="E299" s="63" t="s">
        <v>656</v>
      </c>
      <c r="F299" s="64">
        <v>4514</v>
      </c>
      <c r="G299" s="65">
        <v>4855</v>
      </c>
      <c r="H299" s="65">
        <v>5564</v>
      </c>
      <c r="I299" s="65">
        <v>5965</v>
      </c>
      <c r="J299" s="65">
        <v>7797</v>
      </c>
      <c r="K299" s="65">
        <v>9536</v>
      </c>
      <c r="L299" s="65">
        <v>11118</v>
      </c>
      <c r="M299" s="66">
        <v>700</v>
      </c>
      <c r="N299" s="67">
        <v>575</v>
      </c>
      <c r="O299" s="60"/>
      <c r="P299" s="2"/>
      <c r="Q299" s="2"/>
      <c r="R299" s="2"/>
      <c r="S299" s="2"/>
      <c r="T299" s="2"/>
      <c r="U299" s="2"/>
      <c r="V299" s="2"/>
      <c r="W299" s="2"/>
      <c r="X299" s="2"/>
    </row>
    <row r="300" spans="2:24" ht="15.75" customHeight="1" x14ac:dyDescent="0.3">
      <c r="B300" s="2"/>
      <c r="C300" s="61" t="s">
        <v>621</v>
      </c>
      <c r="D300" s="62" t="s">
        <v>657</v>
      </c>
      <c r="E300" s="63" t="s">
        <v>658</v>
      </c>
      <c r="F300" s="64">
        <v>4631</v>
      </c>
      <c r="G300" s="65">
        <v>4982</v>
      </c>
      <c r="H300" s="65">
        <v>5706</v>
      </c>
      <c r="I300" s="65">
        <v>6051</v>
      </c>
      <c r="J300" s="65">
        <v>8019</v>
      </c>
      <c r="K300" s="65">
        <v>9745</v>
      </c>
      <c r="L300" s="65">
        <v>11326</v>
      </c>
      <c r="M300" s="66">
        <v>705</v>
      </c>
      <c r="N300" s="67">
        <v>588</v>
      </c>
      <c r="O300" s="60"/>
      <c r="P300" s="2"/>
      <c r="Q300" s="2"/>
      <c r="R300" s="2"/>
      <c r="S300" s="2"/>
      <c r="T300" s="2"/>
      <c r="U300" s="2"/>
      <c r="V300" s="2"/>
      <c r="W300" s="2"/>
      <c r="X300" s="2"/>
    </row>
    <row r="301" spans="2:24" ht="15.75" customHeight="1" x14ac:dyDescent="0.3">
      <c r="B301" s="2"/>
      <c r="C301" s="61" t="s">
        <v>621</v>
      </c>
      <c r="D301" s="62" t="s">
        <v>659</v>
      </c>
      <c r="E301" s="63" t="s">
        <v>660</v>
      </c>
      <c r="F301" s="64">
        <v>4514</v>
      </c>
      <c r="G301" s="65">
        <v>4855</v>
      </c>
      <c r="H301" s="65">
        <v>5564</v>
      </c>
      <c r="I301" s="65">
        <v>5965</v>
      </c>
      <c r="J301" s="65">
        <v>7797</v>
      </c>
      <c r="K301" s="65">
        <v>9536</v>
      </c>
      <c r="L301" s="65">
        <v>11118</v>
      </c>
      <c r="M301" s="66">
        <v>700</v>
      </c>
      <c r="N301" s="67">
        <v>575</v>
      </c>
      <c r="O301" s="60"/>
      <c r="P301" s="2"/>
      <c r="Q301" s="2"/>
      <c r="R301" s="2"/>
      <c r="S301" s="2"/>
      <c r="T301" s="2"/>
      <c r="U301" s="2"/>
      <c r="V301" s="2"/>
      <c r="W301" s="2"/>
      <c r="X301" s="2"/>
    </row>
    <row r="302" spans="2:24" ht="15.75" customHeight="1" x14ac:dyDescent="0.3">
      <c r="B302" s="2"/>
      <c r="C302" s="61" t="s">
        <v>621</v>
      </c>
      <c r="D302" s="62" t="s">
        <v>661</v>
      </c>
      <c r="E302" s="63" t="s">
        <v>662</v>
      </c>
      <c r="F302" s="64">
        <v>4514</v>
      </c>
      <c r="G302" s="65">
        <v>4855</v>
      </c>
      <c r="H302" s="65">
        <v>5564</v>
      </c>
      <c r="I302" s="65">
        <v>5965</v>
      </c>
      <c r="J302" s="65">
        <v>7797</v>
      </c>
      <c r="K302" s="65">
        <v>9536</v>
      </c>
      <c r="L302" s="65">
        <v>11118</v>
      </c>
      <c r="M302" s="66">
        <v>700</v>
      </c>
      <c r="N302" s="67">
        <v>575</v>
      </c>
      <c r="O302" s="60"/>
      <c r="P302" s="2"/>
      <c r="Q302" s="2"/>
      <c r="R302" s="2"/>
      <c r="S302" s="2"/>
      <c r="T302" s="2"/>
      <c r="U302" s="2"/>
      <c r="V302" s="2"/>
      <c r="W302" s="2"/>
      <c r="X302" s="2"/>
    </row>
    <row r="303" spans="2:24" ht="15.75" customHeight="1" x14ac:dyDescent="0.3">
      <c r="B303" s="2"/>
      <c r="C303" s="61" t="s">
        <v>621</v>
      </c>
      <c r="D303" s="62" t="s">
        <v>663</v>
      </c>
      <c r="E303" s="63" t="s">
        <v>664</v>
      </c>
      <c r="F303" s="64">
        <v>4514</v>
      </c>
      <c r="G303" s="65">
        <v>4855</v>
      </c>
      <c r="H303" s="65">
        <v>5564</v>
      </c>
      <c r="I303" s="65">
        <v>5965</v>
      </c>
      <c r="J303" s="65">
        <v>7797</v>
      </c>
      <c r="K303" s="65">
        <v>9536</v>
      </c>
      <c r="L303" s="65">
        <v>11118</v>
      </c>
      <c r="M303" s="66">
        <v>700</v>
      </c>
      <c r="N303" s="67">
        <v>575</v>
      </c>
      <c r="O303" s="60"/>
      <c r="P303" s="2"/>
      <c r="Q303" s="2"/>
      <c r="R303" s="2"/>
      <c r="S303" s="2"/>
      <c r="T303" s="2"/>
      <c r="U303" s="2"/>
      <c r="V303" s="2"/>
      <c r="W303" s="2"/>
      <c r="X303" s="2"/>
    </row>
    <row r="304" spans="2:24" ht="15.75" customHeight="1" x14ac:dyDescent="0.3">
      <c r="B304" s="2"/>
      <c r="C304" s="61" t="s">
        <v>621</v>
      </c>
      <c r="D304" s="62" t="s">
        <v>665</v>
      </c>
      <c r="E304" s="63" t="s">
        <v>666</v>
      </c>
      <c r="F304" s="64">
        <v>6946.5</v>
      </c>
      <c r="G304" s="65">
        <v>7473</v>
      </c>
      <c r="H304" s="65">
        <v>8559</v>
      </c>
      <c r="I304" s="65">
        <v>9076.5</v>
      </c>
      <c r="J304" s="65">
        <v>12028.5</v>
      </c>
      <c r="K304" s="65">
        <v>14617.5</v>
      </c>
      <c r="L304" s="65">
        <v>16989</v>
      </c>
      <c r="M304" s="66">
        <v>1057.5</v>
      </c>
      <c r="N304" s="67">
        <v>882</v>
      </c>
      <c r="O304" s="60"/>
      <c r="P304" s="2"/>
      <c r="Q304" s="2"/>
      <c r="R304" s="2"/>
      <c r="S304" s="2"/>
      <c r="T304" s="2"/>
      <c r="U304" s="2"/>
      <c r="V304" s="2"/>
      <c r="W304" s="2"/>
      <c r="X304" s="2"/>
    </row>
    <row r="305" spans="2:24" ht="15.75" customHeight="1" x14ac:dyDescent="0.3">
      <c r="B305" s="2"/>
      <c r="C305" s="61" t="s">
        <v>621</v>
      </c>
      <c r="D305" s="62" t="s">
        <v>667</v>
      </c>
      <c r="E305" s="63" t="s">
        <v>668</v>
      </c>
      <c r="F305" s="64">
        <v>4631</v>
      </c>
      <c r="G305" s="65">
        <v>4982</v>
      </c>
      <c r="H305" s="65">
        <v>5706</v>
      </c>
      <c r="I305" s="65">
        <v>6051</v>
      </c>
      <c r="J305" s="65">
        <v>8019</v>
      </c>
      <c r="K305" s="65">
        <v>9745</v>
      </c>
      <c r="L305" s="65">
        <v>11326</v>
      </c>
      <c r="M305" s="66">
        <v>705</v>
      </c>
      <c r="N305" s="67">
        <v>588</v>
      </c>
      <c r="O305" s="60"/>
      <c r="P305" s="2"/>
      <c r="Q305" s="2"/>
      <c r="R305" s="2"/>
      <c r="S305" s="2"/>
      <c r="T305" s="2"/>
      <c r="U305" s="2"/>
      <c r="V305" s="2"/>
      <c r="W305" s="2"/>
      <c r="X305" s="2"/>
    </row>
    <row r="306" spans="2:24" ht="15.75" customHeight="1" x14ac:dyDescent="0.3">
      <c r="B306" s="2"/>
      <c r="C306" s="61" t="s">
        <v>621</v>
      </c>
      <c r="D306" s="62" t="s">
        <v>669</v>
      </c>
      <c r="E306" s="63" t="s">
        <v>670</v>
      </c>
      <c r="F306" s="64">
        <v>4514</v>
      </c>
      <c r="G306" s="65">
        <v>4855</v>
      </c>
      <c r="H306" s="65">
        <v>5564</v>
      </c>
      <c r="I306" s="65">
        <v>5965</v>
      </c>
      <c r="J306" s="65">
        <v>7797</v>
      </c>
      <c r="K306" s="65">
        <v>9536</v>
      </c>
      <c r="L306" s="65">
        <v>11118</v>
      </c>
      <c r="M306" s="66">
        <v>700</v>
      </c>
      <c r="N306" s="67">
        <v>575</v>
      </c>
      <c r="O306" s="60"/>
      <c r="P306" s="2"/>
      <c r="Q306" s="2"/>
      <c r="R306" s="2"/>
      <c r="S306" s="2"/>
      <c r="T306" s="2"/>
      <c r="U306" s="2"/>
      <c r="V306" s="2"/>
      <c r="W306" s="2"/>
      <c r="X306" s="2"/>
    </row>
    <row r="307" spans="2:24" ht="15.75" customHeight="1" x14ac:dyDescent="0.3">
      <c r="B307" s="2"/>
      <c r="C307" s="61" t="s">
        <v>621</v>
      </c>
      <c r="D307" s="62" t="s">
        <v>671</v>
      </c>
      <c r="E307" s="63" t="s">
        <v>672</v>
      </c>
      <c r="F307" s="64">
        <v>4631</v>
      </c>
      <c r="G307" s="65">
        <v>4982</v>
      </c>
      <c r="H307" s="65">
        <v>5706</v>
      </c>
      <c r="I307" s="65">
        <v>6051</v>
      </c>
      <c r="J307" s="65">
        <v>8019</v>
      </c>
      <c r="K307" s="65">
        <v>9745</v>
      </c>
      <c r="L307" s="65">
        <v>11326</v>
      </c>
      <c r="M307" s="66">
        <v>705</v>
      </c>
      <c r="N307" s="67">
        <v>588</v>
      </c>
      <c r="O307" s="60"/>
      <c r="P307" s="2"/>
      <c r="Q307" s="2"/>
      <c r="R307" s="2"/>
      <c r="S307" s="2"/>
      <c r="T307" s="2"/>
      <c r="U307" s="2"/>
      <c r="V307" s="2"/>
      <c r="W307" s="2"/>
      <c r="X307" s="2"/>
    </row>
    <row r="308" spans="2:24" ht="15.75" customHeight="1" x14ac:dyDescent="0.3">
      <c r="B308" s="2"/>
      <c r="C308" s="61" t="s">
        <v>621</v>
      </c>
      <c r="D308" s="62" t="s">
        <v>673</v>
      </c>
      <c r="E308" s="63" t="s">
        <v>674</v>
      </c>
      <c r="F308" s="64">
        <v>7665</v>
      </c>
      <c r="G308" s="65">
        <v>8653.5</v>
      </c>
      <c r="H308" s="65">
        <v>9979.5</v>
      </c>
      <c r="I308" s="65">
        <v>11451</v>
      </c>
      <c r="J308" s="65">
        <v>13785</v>
      </c>
      <c r="K308" s="65">
        <v>17548.5</v>
      </c>
      <c r="L308" s="65">
        <v>21781.5</v>
      </c>
      <c r="M308" s="66">
        <v>1090.5</v>
      </c>
      <c r="N308" s="67">
        <v>891</v>
      </c>
      <c r="O308" s="60"/>
      <c r="P308" s="2"/>
      <c r="Q308" s="2"/>
      <c r="R308" s="2"/>
      <c r="S308" s="2"/>
      <c r="T308" s="2"/>
      <c r="U308" s="2"/>
      <c r="V308" s="2"/>
      <c r="W308" s="2"/>
      <c r="X308" s="2"/>
    </row>
    <row r="309" spans="2:24" ht="15.75" customHeight="1" x14ac:dyDescent="0.3">
      <c r="B309" s="2"/>
      <c r="C309" s="61" t="s">
        <v>621</v>
      </c>
      <c r="D309" s="62" t="s">
        <v>675</v>
      </c>
      <c r="E309" s="63" t="s">
        <v>676</v>
      </c>
      <c r="F309" s="64">
        <v>4631</v>
      </c>
      <c r="G309" s="65">
        <v>4982</v>
      </c>
      <c r="H309" s="65">
        <v>5706</v>
      </c>
      <c r="I309" s="65">
        <v>6051</v>
      </c>
      <c r="J309" s="65">
        <v>8019</v>
      </c>
      <c r="K309" s="65">
        <v>9745</v>
      </c>
      <c r="L309" s="65">
        <v>11326</v>
      </c>
      <c r="M309" s="66">
        <v>705</v>
      </c>
      <c r="N309" s="67">
        <v>588</v>
      </c>
      <c r="O309" s="60"/>
      <c r="P309" s="2"/>
      <c r="Q309" s="2"/>
      <c r="R309" s="2"/>
      <c r="S309" s="2"/>
      <c r="T309" s="2"/>
      <c r="U309" s="2"/>
      <c r="V309" s="2"/>
      <c r="W309" s="2"/>
      <c r="X309" s="2"/>
    </row>
    <row r="310" spans="2:24" ht="15.75" customHeight="1" x14ac:dyDescent="0.3">
      <c r="B310" s="2"/>
      <c r="C310" s="68" t="s">
        <v>621</v>
      </c>
      <c r="D310" s="69" t="s">
        <v>677</v>
      </c>
      <c r="E310" s="70" t="s">
        <v>678</v>
      </c>
      <c r="F310" s="71">
        <v>4631</v>
      </c>
      <c r="G310" s="72">
        <v>4982</v>
      </c>
      <c r="H310" s="72">
        <v>5706</v>
      </c>
      <c r="I310" s="72">
        <v>6051</v>
      </c>
      <c r="J310" s="72">
        <v>8019</v>
      </c>
      <c r="K310" s="72">
        <v>9745</v>
      </c>
      <c r="L310" s="72">
        <v>11326</v>
      </c>
      <c r="M310" s="73">
        <v>705</v>
      </c>
      <c r="N310" s="74">
        <v>588</v>
      </c>
      <c r="O310" s="60"/>
      <c r="P310" s="2"/>
      <c r="Q310" s="2"/>
      <c r="R310" s="2"/>
      <c r="S310" s="2"/>
      <c r="T310" s="2"/>
      <c r="U310" s="2"/>
      <c r="V310" s="2"/>
      <c r="W310" s="2"/>
      <c r="X310" s="2"/>
    </row>
    <row r="311" spans="2:24" ht="15.75" customHeight="1" x14ac:dyDescent="0.3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spans="2:24" ht="15.75" customHeight="1" x14ac:dyDescent="0.3">
      <c r="B312" s="2"/>
      <c r="C312" s="203" t="s">
        <v>54</v>
      </c>
      <c r="D312" s="170"/>
      <c r="E312" s="170"/>
      <c r="F312" s="170"/>
      <c r="G312" s="170"/>
      <c r="H312" s="170"/>
      <c r="I312" s="170"/>
      <c r="J312" s="170"/>
      <c r="K312" s="170"/>
      <c r="L312" s="170"/>
      <c r="M312" s="170"/>
      <c r="N312" s="171"/>
      <c r="O312" s="83"/>
      <c r="P312" s="2"/>
      <c r="Q312" s="2"/>
      <c r="R312" s="2"/>
      <c r="S312" s="2"/>
      <c r="T312" s="2"/>
      <c r="U312" s="2"/>
      <c r="V312" s="2"/>
      <c r="W312" s="2"/>
      <c r="X312" s="2"/>
    </row>
    <row r="313" spans="2:24" ht="15.75" customHeight="1" x14ac:dyDescent="0.3">
      <c r="B313" s="2"/>
      <c r="C313" s="84" t="s">
        <v>70</v>
      </c>
      <c r="D313" s="48" t="s">
        <v>71</v>
      </c>
      <c r="E313" s="48" t="s">
        <v>72</v>
      </c>
      <c r="F313" s="48" t="s">
        <v>10</v>
      </c>
      <c r="G313" s="48" t="s">
        <v>11</v>
      </c>
      <c r="H313" s="48" t="s">
        <v>12</v>
      </c>
      <c r="I313" s="49" t="s">
        <v>13</v>
      </c>
      <c r="J313" s="49" t="s">
        <v>14</v>
      </c>
      <c r="K313" s="50" t="s">
        <v>15</v>
      </c>
      <c r="L313" s="50" t="s">
        <v>16</v>
      </c>
      <c r="M313" s="48" t="s">
        <v>17</v>
      </c>
      <c r="N313" s="51" t="s">
        <v>18</v>
      </c>
      <c r="O313" s="52"/>
      <c r="P313" s="2"/>
      <c r="Q313" s="2"/>
      <c r="R313" s="2"/>
      <c r="S313" s="2"/>
      <c r="T313" s="2"/>
      <c r="U313" s="2"/>
      <c r="V313" s="2"/>
      <c r="W313" s="2"/>
      <c r="X313" s="2"/>
    </row>
    <row r="314" spans="2:24" ht="15.75" customHeight="1" x14ac:dyDescent="0.3">
      <c r="B314" s="2"/>
      <c r="C314" s="53" t="s">
        <v>679</v>
      </c>
      <c r="D314" s="54" t="s">
        <v>680</v>
      </c>
      <c r="E314" s="55" t="s">
        <v>57</v>
      </c>
      <c r="F314" s="56">
        <v>5765</v>
      </c>
      <c r="G314" s="57">
        <v>6630</v>
      </c>
      <c r="H314" s="57">
        <v>7345</v>
      </c>
      <c r="I314" s="57">
        <v>8998</v>
      </c>
      <c r="J314" s="57">
        <v>11940</v>
      </c>
      <c r="K314" s="57">
        <v>18195</v>
      </c>
      <c r="L314" s="57">
        <v>21699</v>
      </c>
      <c r="M314" s="58">
        <v>856</v>
      </c>
      <c r="N314" s="59">
        <v>703</v>
      </c>
      <c r="O314" s="60"/>
      <c r="P314" s="2"/>
      <c r="Q314" s="2"/>
      <c r="R314" s="2"/>
      <c r="S314" s="2"/>
      <c r="T314" s="2"/>
      <c r="U314" s="2"/>
      <c r="V314" s="2"/>
      <c r="W314" s="2"/>
      <c r="X314" s="2"/>
    </row>
    <row r="315" spans="2:24" ht="15.75" customHeight="1" x14ac:dyDescent="0.3">
      <c r="B315" s="2"/>
      <c r="C315" s="61" t="s">
        <v>679</v>
      </c>
      <c r="D315" s="62" t="s">
        <v>681</v>
      </c>
      <c r="E315" s="63" t="s">
        <v>682</v>
      </c>
      <c r="F315" s="64">
        <v>23647.5</v>
      </c>
      <c r="G315" s="65">
        <v>24945</v>
      </c>
      <c r="H315" s="65">
        <v>26017.5</v>
      </c>
      <c r="I315" s="65">
        <v>28497</v>
      </c>
      <c r="J315" s="65">
        <v>32910</v>
      </c>
      <c r="K315" s="65">
        <v>42292.5</v>
      </c>
      <c r="L315" s="65">
        <v>47548.5</v>
      </c>
      <c r="M315" s="66">
        <v>1284</v>
      </c>
      <c r="N315" s="67">
        <v>1054.5</v>
      </c>
      <c r="O315" s="60"/>
      <c r="P315" s="2"/>
      <c r="Q315" s="2"/>
      <c r="R315" s="2"/>
      <c r="S315" s="2"/>
      <c r="T315" s="2"/>
      <c r="U315" s="2"/>
      <c r="V315" s="2"/>
      <c r="W315" s="2"/>
      <c r="X315" s="2"/>
    </row>
    <row r="316" spans="2:24" ht="15.75" customHeight="1" x14ac:dyDescent="0.3">
      <c r="B316" s="2"/>
      <c r="C316" s="61" t="s">
        <v>679</v>
      </c>
      <c r="D316" s="62" t="s">
        <v>683</v>
      </c>
      <c r="E316" s="63" t="s">
        <v>684</v>
      </c>
      <c r="F316" s="64">
        <v>23647.5</v>
      </c>
      <c r="G316" s="65">
        <v>24945</v>
      </c>
      <c r="H316" s="65">
        <v>26017.5</v>
      </c>
      <c r="I316" s="65">
        <v>28497</v>
      </c>
      <c r="J316" s="65">
        <v>32910</v>
      </c>
      <c r="K316" s="65">
        <v>42292.5</v>
      </c>
      <c r="L316" s="65">
        <v>47548.5</v>
      </c>
      <c r="M316" s="66">
        <v>1284</v>
      </c>
      <c r="N316" s="67">
        <v>1054.5</v>
      </c>
      <c r="O316" s="60"/>
      <c r="P316" s="2"/>
      <c r="Q316" s="2"/>
      <c r="R316" s="2"/>
      <c r="S316" s="2"/>
      <c r="T316" s="2"/>
      <c r="U316" s="2"/>
      <c r="V316" s="2"/>
      <c r="W316" s="2"/>
      <c r="X316" s="2"/>
    </row>
    <row r="317" spans="2:24" ht="15.75" customHeight="1" x14ac:dyDescent="0.3">
      <c r="B317" s="2"/>
      <c r="C317" s="68" t="s">
        <v>679</v>
      </c>
      <c r="D317" s="69" t="s">
        <v>685</v>
      </c>
      <c r="E317" s="70" t="s">
        <v>686</v>
      </c>
      <c r="F317" s="71">
        <v>23647.5</v>
      </c>
      <c r="G317" s="72">
        <v>24945</v>
      </c>
      <c r="H317" s="72">
        <v>26017.5</v>
      </c>
      <c r="I317" s="72">
        <v>28497</v>
      </c>
      <c r="J317" s="72">
        <v>32910</v>
      </c>
      <c r="K317" s="72">
        <v>42292.5</v>
      </c>
      <c r="L317" s="72">
        <v>47548.5</v>
      </c>
      <c r="M317" s="73">
        <v>1284</v>
      </c>
      <c r="N317" s="74">
        <v>1054.5</v>
      </c>
      <c r="O317" s="60"/>
      <c r="P317" s="2"/>
      <c r="Q317" s="2"/>
      <c r="R317" s="2"/>
      <c r="S317" s="2"/>
      <c r="T317" s="2"/>
      <c r="U317" s="2"/>
      <c r="V317" s="2"/>
      <c r="W317" s="2"/>
      <c r="X317" s="2"/>
    </row>
    <row r="318" spans="2:24" ht="15.75" customHeight="1" x14ac:dyDescent="0.3">
      <c r="B318" s="2"/>
      <c r="C318" s="53" t="s">
        <v>687</v>
      </c>
      <c r="D318" s="54" t="s">
        <v>688</v>
      </c>
      <c r="E318" s="55" t="s">
        <v>58</v>
      </c>
      <c r="F318" s="56">
        <v>5473</v>
      </c>
      <c r="G318" s="57">
        <v>6159</v>
      </c>
      <c r="H318" s="57">
        <v>6828</v>
      </c>
      <c r="I318" s="57">
        <v>8374</v>
      </c>
      <c r="J318" s="57">
        <v>11123</v>
      </c>
      <c r="K318" s="57">
        <v>16132</v>
      </c>
      <c r="L318" s="57">
        <v>19362</v>
      </c>
      <c r="M318" s="58">
        <v>840</v>
      </c>
      <c r="N318" s="59">
        <v>671</v>
      </c>
      <c r="O318" s="60"/>
      <c r="P318" s="2"/>
      <c r="Q318" s="2"/>
      <c r="R318" s="2"/>
      <c r="S318" s="2"/>
      <c r="T318" s="2"/>
      <c r="U318" s="2"/>
      <c r="V318" s="2"/>
      <c r="W318" s="2"/>
      <c r="X318" s="2"/>
    </row>
    <row r="319" spans="2:24" ht="15.75" customHeight="1" x14ac:dyDescent="0.3">
      <c r="B319" s="2"/>
      <c r="C319" s="61" t="s">
        <v>687</v>
      </c>
      <c r="D319" s="62" t="s">
        <v>689</v>
      </c>
      <c r="E319" s="63" t="s">
        <v>690</v>
      </c>
      <c r="F319" s="64">
        <v>5473</v>
      </c>
      <c r="G319" s="65">
        <v>6159</v>
      </c>
      <c r="H319" s="65">
        <v>6828</v>
      </c>
      <c r="I319" s="65">
        <v>8374</v>
      </c>
      <c r="J319" s="65">
        <v>11123</v>
      </c>
      <c r="K319" s="65">
        <v>16132</v>
      </c>
      <c r="L319" s="65">
        <v>19362</v>
      </c>
      <c r="M319" s="66">
        <v>840</v>
      </c>
      <c r="N319" s="67">
        <v>671</v>
      </c>
      <c r="O319" s="60"/>
      <c r="P319" s="2"/>
      <c r="Q319" s="2"/>
      <c r="R319" s="2"/>
      <c r="S319" s="2"/>
      <c r="T319" s="2"/>
      <c r="U319" s="2"/>
      <c r="V319" s="2"/>
      <c r="W319" s="2"/>
      <c r="X319" s="2"/>
    </row>
    <row r="320" spans="2:24" ht="15.75" customHeight="1" x14ac:dyDescent="0.3">
      <c r="B320" s="2"/>
      <c r="C320" s="61" t="s">
        <v>687</v>
      </c>
      <c r="D320" s="62" t="s">
        <v>691</v>
      </c>
      <c r="E320" s="63" t="s">
        <v>692</v>
      </c>
      <c r="F320" s="64">
        <v>23209.5</v>
      </c>
      <c r="G320" s="65">
        <v>24238.5</v>
      </c>
      <c r="H320" s="65">
        <v>25242</v>
      </c>
      <c r="I320" s="65">
        <v>27561</v>
      </c>
      <c r="J320" s="65">
        <v>31684.5</v>
      </c>
      <c r="K320" s="65">
        <v>39198</v>
      </c>
      <c r="L320" s="65">
        <v>44043</v>
      </c>
      <c r="M320" s="66">
        <v>1260</v>
      </c>
      <c r="N320" s="67">
        <v>1006.5</v>
      </c>
      <c r="O320" s="60"/>
      <c r="P320" s="2"/>
      <c r="Q320" s="2"/>
      <c r="R320" s="2"/>
      <c r="S320" s="2"/>
      <c r="T320" s="2"/>
      <c r="U320" s="2"/>
      <c r="V320" s="2"/>
      <c r="W320" s="2"/>
      <c r="X320" s="2"/>
    </row>
    <row r="321" spans="2:24" ht="15.75" customHeight="1" x14ac:dyDescent="0.3">
      <c r="B321" s="2"/>
      <c r="C321" s="61" t="s">
        <v>687</v>
      </c>
      <c r="D321" s="62" t="s">
        <v>693</v>
      </c>
      <c r="E321" s="63" t="s">
        <v>694</v>
      </c>
      <c r="F321" s="64">
        <v>23209.5</v>
      </c>
      <c r="G321" s="65">
        <v>24238.5</v>
      </c>
      <c r="H321" s="65">
        <v>25242</v>
      </c>
      <c r="I321" s="65">
        <v>27561</v>
      </c>
      <c r="J321" s="65">
        <v>31684.5</v>
      </c>
      <c r="K321" s="65">
        <v>39198</v>
      </c>
      <c r="L321" s="65">
        <v>44043</v>
      </c>
      <c r="M321" s="66">
        <v>1260</v>
      </c>
      <c r="N321" s="67">
        <v>1006.5</v>
      </c>
      <c r="O321" s="60"/>
      <c r="P321" s="2"/>
      <c r="Q321" s="2"/>
      <c r="R321" s="2"/>
      <c r="S321" s="2"/>
      <c r="T321" s="2"/>
      <c r="U321" s="2"/>
      <c r="V321" s="2"/>
      <c r="W321" s="2"/>
      <c r="X321" s="2"/>
    </row>
    <row r="322" spans="2:24" ht="15.75" customHeight="1" x14ac:dyDescent="0.3">
      <c r="B322" s="2"/>
      <c r="C322" s="61" t="s">
        <v>687</v>
      </c>
      <c r="D322" s="62" t="s">
        <v>695</v>
      </c>
      <c r="E322" s="63" t="s">
        <v>696</v>
      </c>
      <c r="F322" s="64">
        <v>8209.5</v>
      </c>
      <c r="G322" s="65">
        <v>9238.5</v>
      </c>
      <c r="H322" s="65">
        <v>10242</v>
      </c>
      <c r="I322" s="65">
        <v>12561</v>
      </c>
      <c r="J322" s="65">
        <v>16684.5</v>
      </c>
      <c r="K322" s="65">
        <v>24198</v>
      </c>
      <c r="L322" s="65">
        <v>29043</v>
      </c>
      <c r="M322" s="66">
        <v>1260</v>
      </c>
      <c r="N322" s="67">
        <v>1006.5</v>
      </c>
      <c r="O322" s="60"/>
      <c r="P322" s="2"/>
      <c r="Q322" s="2"/>
      <c r="R322" s="2"/>
      <c r="S322" s="2"/>
      <c r="T322" s="2"/>
      <c r="U322" s="2"/>
      <c r="V322" s="2"/>
      <c r="W322" s="2"/>
      <c r="X322" s="2"/>
    </row>
    <row r="323" spans="2:24" ht="15.75" customHeight="1" x14ac:dyDescent="0.3">
      <c r="B323" s="2"/>
      <c r="C323" s="61" t="s">
        <v>687</v>
      </c>
      <c r="D323" s="62" t="s">
        <v>697</v>
      </c>
      <c r="E323" s="63" t="s">
        <v>698</v>
      </c>
      <c r="F323" s="64">
        <v>8209.5</v>
      </c>
      <c r="G323" s="65">
        <v>9238.5</v>
      </c>
      <c r="H323" s="65">
        <v>10242</v>
      </c>
      <c r="I323" s="65">
        <v>12561</v>
      </c>
      <c r="J323" s="65">
        <v>16684.5</v>
      </c>
      <c r="K323" s="65">
        <v>24198</v>
      </c>
      <c r="L323" s="65">
        <v>29043</v>
      </c>
      <c r="M323" s="66">
        <v>1260</v>
      </c>
      <c r="N323" s="67">
        <v>1006.5</v>
      </c>
      <c r="O323" s="60"/>
      <c r="P323" s="2"/>
      <c r="Q323" s="2"/>
      <c r="R323" s="2"/>
      <c r="S323" s="2"/>
      <c r="T323" s="2"/>
      <c r="U323" s="2"/>
      <c r="V323" s="2"/>
      <c r="W323" s="2"/>
      <c r="X323" s="2"/>
    </row>
    <row r="324" spans="2:24" ht="15.75" customHeight="1" x14ac:dyDescent="0.3">
      <c r="B324" s="2"/>
      <c r="C324" s="68" t="s">
        <v>687</v>
      </c>
      <c r="D324" s="69" t="s">
        <v>699</v>
      </c>
      <c r="E324" s="70" t="s">
        <v>700</v>
      </c>
      <c r="F324" s="71">
        <v>8209.5</v>
      </c>
      <c r="G324" s="72">
        <v>9238.5</v>
      </c>
      <c r="H324" s="72">
        <v>10242</v>
      </c>
      <c r="I324" s="72">
        <v>12561</v>
      </c>
      <c r="J324" s="72">
        <v>16684.5</v>
      </c>
      <c r="K324" s="72">
        <v>24198</v>
      </c>
      <c r="L324" s="72">
        <v>29043</v>
      </c>
      <c r="M324" s="73">
        <v>1260</v>
      </c>
      <c r="N324" s="74">
        <v>1006.5</v>
      </c>
      <c r="O324" s="60"/>
      <c r="P324" s="2"/>
      <c r="Q324" s="2"/>
      <c r="R324" s="2"/>
      <c r="S324" s="2"/>
      <c r="T324" s="2"/>
      <c r="U324" s="2"/>
      <c r="V324" s="2"/>
      <c r="W324" s="2"/>
      <c r="X324" s="2"/>
    </row>
    <row r="325" spans="2:24" ht="15.75" customHeight="1" x14ac:dyDescent="0.3">
      <c r="B325" s="2"/>
      <c r="C325" s="53" t="s">
        <v>701</v>
      </c>
      <c r="D325" s="54" t="s">
        <v>702</v>
      </c>
      <c r="E325" s="55" t="s">
        <v>60</v>
      </c>
      <c r="F325" s="56">
        <v>5231</v>
      </c>
      <c r="G325" s="57">
        <v>5761</v>
      </c>
      <c r="H325" s="57">
        <v>6389</v>
      </c>
      <c r="I325" s="57">
        <v>7843</v>
      </c>
      <c r="J325" s="57">
        <v>9904</v>
      </c>
      <c r="K325" s="57">
        <v>14391</v>
      </c>
      <c r="L325" s="57">
        <v>17376</v>
      </c>
      <c r="M325" s="58">
        <v>804</v>
      </c>
      <c r="N325" s="59">
        <v>636</v>
      </c>
      <c r="O325" s="60"/>
      <c r="P325" s="2"/>
      <c r="Q325" s="2"/>
      <c r="R325" s="2"/>
      <c r="S325" s="2"/>
      <c r="T325" s="2"/>
      <c r="U325" s="2"/>
      <c r="V325" s="2"/>
      <c r="W325" s="2"/>
      <c r="X325" s="2"/>
    </row>
    <row r="326" spans="2:24" ht="15.75" customHeight="1" x14ac:dyDescent="0.3">
      <c r="B326" s="2"/>
      <c r="C326" s="61" t="s">
        <v>701</v>
      </c>
      <c r="D326" s="62" t="s">
        <v>703</v>
      </c>
      <c r="E326" s="63" t="s">
        <v>59</v>
      </c>
      <c r="F326" s="64">
        <v>5473</v>
      </c>
      <c r="G326" s="65">
        <v>6159</v>
      </c>
      <c r="H326" s="65">
        <v>6828</v>
      </c>
      <c r="I326" s="65">
        <v>8374</v>
      </c>
      <c r="J326" s="65">
        <v>11123</v>
      </c>
      <c r="K326" s="65">
        <v>16132</v>
      </c>
      <c r="L326" s="65">
        <v>19362</v>
      </c>
      <c r="M326" s="66">
        <v>840</v>
      </c>
      <c r="N326" s="67">
        <v>671</v>
      </c>
      <c r="O326" s="60"/>
      <c r="P326" s="2"/>
      <c r="Q326" s="2"/>
      <c r="R326" s="2"/>
      <c r="S326" s="2"/>
      <c r="T326" s="2"/>
      <c r="U326" s="2"/>
      <c r="V326" s="2"/>
      <c r="W326" s="2"/>
      <c r="X326" s="2"/>
    </row>
    <row r="327" spans="2:24" ht="15.75" customHeight="1" x14ac:dyDescent="0.3">
      <c r="B327" s="2"/>
      <c r="C327" s="61" t="s">
        <v>701</v>
      </c>
      <c r="D327" s="62" t="s">
        <v>704</v>
      </c>
      <c r="E327" s="63" t="s">
        <v>705</v>
      </c>
      <c r="F327" s="64">
        <v>7846.5</v>
      </c>
      <c r="G327" s="65">
        <v>8641.5</v>
      </c>
      <c r="H327" s="65">
        <v>9583.5</v>
      </c>
      <c r="I327" s="65">
        <v>11764.5</v>
      </c>
      <c r="J327" s="65">
        <v>14856</v>
      </c>
      <c r="K327" s="65">
        <v>21586.5</v>
      </c>
      <c r="L327" s="65">
        <v>26064</v>
      </c>
      <c r="M327" s="66">
        <v>1206</v>
      </c>
      <c r="N327" s="67">
        <v>954</v>
      </c>
      <c r="O327" s="60"/>
      <c r="P327" s="2"/>
      <c r="Q327" s="2"/>
      <c r="R327" s="2"/>
      <c r="S327" s="2"/>
      <c r="T327" s="2"/>
      <c r="U327" s="2"/>
      <c r="V327" s="2"/>
      <c r="W327" s="2"/>
      <c r="X327" s="2"/>
    </row>
    <row r="328" spans="2:24" ht="15.75" customHeight="1" x14ac:dyDescent="0.3">
      <c r="B328" s="2"/>
      <c r="C328" s="61" t="s">
        <v>701</v>
      </c>
      <c r="D328" s="62" t="s">
        <v>706</v>
      </c>
      <c r="E328" s="63" t="s">
        <v>707</v>
      </c>
      <c r="F328" s="64">
        <v>7846.5</v>
      </c>
      <c r="G328" s="65">
        <v>8641.5</v>
      </c>
      <c r="H328" s="65">
        <v>9583.5</v>
      </c>
      <c r="I328" s="65">
        <v>11764.5</v>
      </c>
      <c r="J328" s="65">
        <v>14856</v>
      </c>
      <c r="K328" s="65">
        <v>21586.5</v>
      </c>
      <c r="L328" s="65">
        <v>26064</v>
      </c>
      <c r="M328" s="66">
        <v>1206</v>
      </c>
      <c r="N328" s="67">
        <v>954</v>
      </c>
      <c r="O328" s="60"/>
      <c r="P328" s="2"/>
      <c r="Q328" s="2"/>
      <c r="R328" s="2"/>
      <c r="S328" s="2"/>
      <c r="T328" s="2"/>
      <c r="U328" s="2"/>
      <c r="V328" s="2"/>
      <c r="W328" s="2"/>
      <c r="X328" s="2"/>
    </row>
    <row r="329" spans="2:24" ht="15.75" customHeight="1" x14ac:dyDescent="0.3">
      <c r="B329" s="2"/>
      <c r="C329" s="61" t="s">
        <v>701</v>
      </c>
      <c r="D329" s="62" t="s">
        <v>708</v>
      </c>
      <c r="E329" s="63" t="s">
        <v>709</v>
      </c>
      <c r="F329" s="64">
        <v>23209.5</v>
      </c>
      <c r="G329" s="65">
        <v>24238.5</v>
      </c>
      <c r="H329" s="65">
        <v>25242</v>
      </c>
      <c r="I329" s="65">
        <v>27561</v>
      </c>
      <c r="J329" s="65">
        <v>31684.5</v>
      </c>
      <c r="K329" s="65">
        <v>39198</v>
      </c>
      <c r="L329" s="65">
        <v>44043</v>
      </c>
      <c r="M329" s="66">
        <v>1260</v>
      </c>
      <c r="N329" s="67">
        <v>1006.5</v>
      </c>
      <c r="O329" s="60"/>
      <c r="P329" s="2"/>
      <c r="Q329" s="2"/>
      <c r="R329" s="2"/>
      <c r="S329" s="2"/>
      <c r="T329" s="2"/>
      <c r="U329" s="2"/>
      <c r="V329" s="2"/>
      <c r="W329" s="2"/>
      <c r="X329" s="2"/>
    </row>
    <row r="330" spans="2:24" ht="15.75" customHeight="1" x14ac:dyDescent="0.3">
      <c r="B330" s="2"/>
      <c r="C330" s="61" t="s">
        <v>701</v>
      </c>
      <c r="D330" s="62" t="s">
        <v>710</v>
      </c>
      <c r="E330" s="63" t="s">
        <v>711</v>
      </c>
      <c r="F330" s="64">
        <v>8209.5</v>
      </c>
      <c r="G330" s="65">
        <v>9238.5</v>
      </c>
      <c r="H330" s="65">
        <v>10242</v>
      </c>
      <c r="I330" s="65">
        <v>12561</v>
      </c>
      <c r="J330" s="65">
        <v>16684.5</v>
      </c>
      <c r="K330" s="65">
        <v>24198</v>
      </c>
      <c r="L330" s="65">
        <v>29043</v>
      </c>
      <c r="M330" s="66">
        <v>1260</v>
      </c>
      <c r="N330" s="67">
        <v>1006.5</v>
      </c>
      <c r="O330" s="60"/>
      <c r="P330" s="2"/>
      <c r="Q330" s="2"/>
      <c r="R330" s="2"/>
      <c r="S330" s="2"/>
      <c r="T330" s="2"/>
      <c r="U330" s="2"/>
      <c r="V330" s="2"/>
      <c r="W330" s="2"/>
      <c r="X330" s="2"/>
    </row>
    <row r="331" spans="2:24" ht="15.75" customHeight="1" x14ac:dyDescent="0.3">
      <c r="B331" s="2"/>
      <c r="C331" s="61" t="s">
        <v>701</v>
      </c>
      <c r="D331" s="62" t="s">
        <v>712</v>
      </c>
      <c r="E331" s="63" t="s">
        <v>713</v>
      </c>
      <c r="F331" s="64">
        <v>8209.5</v>
      </c>
      <c r="G331" s="65">
        <v>9238.5</v>
      </c>
      <c r="H331" s="65">
        <v>10242</v>
      </c>
      <c r="I331" s="65">
        <v>12561</v>
      </c>
      <c r="J331" s="65">
        <v>16684.5</v>
      </c>
      <c r="K331" s="65">
        <v>24198</v>
      </c>
      <c r="L331" s="65">
        <v>29043</v>
      </c>
      <c r="M331" s="66">
        <v>1260</v>
      </c>
      <c r="N331" s="67">
        <v>1006.5</v>
      </c>
      <c r="O331" s="60"/>
      <c r="P331" s="2"/>
      <c r="Q331" s="2"/>
      <c r="R331" s="2"/>
      <c r="S331" s="2"/>
      <c r="T331" s="2"/>
      <c r="U331" s="2"/>
      <c r="V331" s="2"/>
      <c r="W331" s="2"/>
      <c r="X331" s="2"/>
    </row>
    <row r="332" spans="2:24" ht="15.75" customHeight="1" x14ac:dyDescent="0.3">
      <c r="B332" s="2"/>
      <c r="C332" s="61" t="s">
        <v>701</v>
      </c>
      <c r="D332" s="62" t="s">
        <v>714</v>
      </c>
      <c r="E332" s="63" t="s">
        <v>715</v>
      </c>
      <c r="F332" s="64">
        <v>7846.5</v>
      </c>
      <c r="G332" s="65">
        <v>8641.5</v>
      </c>
      <c r="H332" s="65">
        <v>9583.5</v>
      </c>
      <c r="I332" s="65">
        <v>11764.5</v>
      </c>
      <c r="J332" s="65">
        <v>14856</v>
      </c>
      <c r="K332" s="65">
        <v>21586.5</v>
      </c>
      <c r="L332" s="65">
        <v>26064</v>
      </c>
      <c r="M332" s="66">
        <v>1206</v>
      </c>
      <c r="N332" s="67">
        <v>954</v>
      </c>
      <c r="O332" s="60"/>
      <c r="P332" s="2"/>
      <c r="Q332" s="2"/>
      <c r="R332" s="2"/>
      <c r="S332" s="2"/>
      <c r="T332" s="2"/>
      <c r="U332" s="2"/>
      <c r="V332" s="2"/>
      <c r="W332" s="2"/>
      <c r="X332" s="2"/>
    </row>
    <row r="333" spans="2:24" ht="15.75" customHeight="1" x14ac:dyDescent="0.3">
      <c r="B333" s="2"/>
      <c r="C333" s="68" t="s">
        <v>701</v>
      </c>
      <c r="D333" s="69" t="s">
        <v>716</v>
      </c>
      <c r="E333" s="70" t="s">
        <v>717</v>
      </c>
      <c r="F333" s="71">
        <v>7846.5</v>
      </c>
      <c r="G333" s="72">
        <v>8641.5</v>
      </c>
      <c r="H333" s="72">
        <v>9583.5</v>
      </c>
      <c r="I333" s="72">
        <v>11764.5</v>
      </c>
      <c r="J333" s="72">
        <v>14856</v>
      </c>
      <c r="K333" s="72">
        <v>21586.5</v>
      </c>
      <c r="L333" s="72">
        <v>26064</v>
      </c>
      <c r="M333" s="73">
        <v>1206</v>
      </c>
      <c r="N333" s="74">
        <v>954</v>
      </c>
      <c r="O333" s="60"/>
      <c r="P333" s="2"/>
      <c r="Q333" s="2"/>
      <c r="R333" s="2"/>
      <c r="S333" s="2"/>
      <c r="T333" s="2"/>
      <c r="U333" s="2"/>
      <c r="V333" s="2"/>
      <c r="W333" s="2"/>
      <c r="X333" s="2"/>
    </row>
    <row r="334" spans="2:24" ht="15.75" customHeight="1" x14ac:dyDescent="0.3">
      <c r="B334" s="2"/>
      <c r="C334" s="53" t="s">
        <v>718</v>
      </c>
      <c r="D334" s="54" t="s">
        <v>719</v>
      </c>
      <c r="E334" s="55" t="s">
        <v>62</v>
      </c>
      <c r="F334" s="56">
        <v>6214</v>
      </c>
      <c r="G334" s="57">
        <v>7157</v>
      </c>
      <c r="H334" s="57">
        <v>8179</v>
      </c>
      <c r="I334" s="57">
        <v>9930</v>
      </c>
      <c r="J334" s="57">
        <v>12488</v>
      </c>
      <c r="K334" s="57">
        <v>20118</v>
      </c>
      <c r="L334" s="57">
        <v>23992</v>
      </c>
      <c r="M334" s="58">
        <v>918</v>
      </c>
      <c r="N334" s="59">
        <v>683</v>
      </c>
      <c r="O334" s="60"/>
      <c r="P334" s="2"/>
      <c r="Q334" s="2"/>
      <c r="R334" s="2"/>
      <c r="S334" s="2"/>
      <c r="T334" s="2"/>
      <c r="U334" s="2"/>
      <c r="V334" s="2"/>
      <c r="W334" s="2"/>
      <c r="X334" s="2"/>
    </row>
    <row r="335" spans="2:24" ht="15.75" customHeight="1" x14ac:dyDescent="0.3">
      <c r="B335" s="2"/>
      <c r="C335" s="61" t="s">
        <v>718</v>
      </c>
      <c r="D335" s="62" t="s">
        <v>720</v>
      </c>
      <c r="E335" s="63" t="s">
        <v>721</v>
      </c>
      <c r="F335" s="64">
        <v>9321</v>
      </c>
      <c r="G335" s="65">
        <v>10735.5</v>
      </c>
      <c r="H335" s="65">
        <v>12268.5</v>
      </c>
      <c r="I335" s="65">
        <v>14895</v>
      </c>
      <c r="J335" s="65">
        <v>18732</v>
      </c>
      <c r="K335" s="65">
        <v>30177</v>
      </c>
      <c r="L335" s="65">
        <v>35988</v>
      </c>
      <c r="M335" s="66">
        <v>1377</v>
      </c>
      <c r="N335" s="67">
        <v>1024.5</v>
      </c>
      <c r="O335" s="60"/>
      <c r="P335" s="2"/>
      <c r="Q335" s="2"/>
      <c r="R335" s="2"/>
      <c r="S335" s="2"/>
      <c r="T335" s="2"/>
      <c r="U335" s="2"/>
      <c r="V335" s="2"/>
      <c r="W335" s="2"/>
      <c r="X335" s="2"/>
    </row>
    <row r="336" spans="2:24" ht="15.75" customHeight="1" x14ac:dyDescent="0.3">
      <c r="B336" s="2"/>
      <c r="C336" s="61" t="s">
        <v>718</v>
      </c>
      <c r="D336" s="62" t="s">
        <v>722</v>
      </c>
      <c r="E336" s="63" t="s">
        <v>723</v>
      </c>
      <c r="F336" s="64">
        <v>9321</v>
      </c>
      <c r="G336" s="65">
        <v>10735.5</v>
      </c>
      <c r="H336" s="65">
        <v>12268.5</v>
      </c>
      <c r="I336" s="65">
        <v>14895</v>
      </c>
      <c r="J336" s="65">
        <v>18732</v>
      </c>
      <c r="K336" s="65">
        <v>30177</v>
      </c>
      <c r="L336" s="65">
        <v>35988</v>
      </c>
      <c r="M336" s="66">
        <v>1377</v>
      </c>
      <c r="N336" s="67">
        <v>1024.5</v>
      </c>
      <c r="O336" s="60"/>
      <c r="P336" s="2"/>
      <c r="Q336" s="2"/>
      <c r="R336" s="2"/>
      <c r="S336" s="2"/>
      <c r="T336" s="2"/>
      <c r="U336" s="2"/>
      <c r="V336" s="2"/>
      <c r="W336" s="2"/>
      <c r="X336" s="2"/>
    </row>
    <row r="337" spans="2:24" ht="15.75" customHeight="1" x14ac:dyDescent="0.3">
      <c r="B337" s="2"/>
      <c r="C337" s="61" t="s">
        <v>718</v>
      </c>
      <c r="D337" s="62" t="s">
        <v>724</v>
      </c>
      <c r="E337" s="63" t="s">
        <v>725</v>
      </c>
      <c r="F337" s="64">
        <v>9321</v>
      </c>
      <c r="G337" s="65">
        <v>10735.5</v>
      </c>
      <c r="H337" s="65">
        <v>12268.5</v>
      </c>
      <c r="I337" s="65">
        <v>14895</v>
      </c>
      <c r="J337" s="65">
        <v>18732</v>
      </c>
      <c r="K337" s="65">
        <v>30177</v>
      </c>
      <c r="L337" s="65">
        <v>35988</v>
      </c>
      <c r="M337" s="66">
        <v>1377</v>
      </c>
      <c r="N337" s="67">
        <v>1024.5</v>
      </c>
      <c r="O337" s="60"/>
      <c r="P337" s="2"/>
      <c r="Q337" s="2"/>
      <c r="R337" s="2"/>
      <c r="S337" s="2"/>
      <c r="T337" s="2"/>
      <c r="U337" s="2"/>
      <c r="V337" s="2"/>
      <c r="W337" s="2"/>
      <c r="X337" s="2"/>
    </row>
    <row r="338" spans="2:24" ht="15.75" customHeight="1" x14ac:dyDescent="0.3">
      <c r="B338" s="2"/>
      <c r="C338" s="61" t="s">
        <v>718</v>
      </c>
      <c r="D338" s="62" t="s">
        <v>726</v>
      </c>
      <c r="E338" s="63" t="s">
        <v>727</v>
      </c>
      <c r="F338" s="64">
        <v>24321</v>
      </c>
      <c r="G338" s="65">
        <v>25735.5</v>
      </c>
      <c r="H338" s="65">
        <v>27268.5</v>
      </c>
      <c r="I338" s="65">
        <v>29895</v>
      </c>
      <c r="J338" s="65">
        <v>33732</v>
      </c>
      <c r="K338" s="65">
        <v>45177</v>
      </c>
      <c r="L338" s="65">
        <v>50988</v>
      </c>
      <c r="M338" s="66">
        <v>1377</v>
      </c>
      <c r="N338" s="67">
        <v>1024.5</v>
      </c>
      <c r="O338" s="60"/>
      <c r="P338" s="2"/>
      <c r="Q338" s="2"/>
      <c r="R338" s="2"/>
      <c r="S338" s="2"/>
      <c r="T338" s="2"/>
      <c r="U338" s="2"/>
      <c r="V338" s="2"/>
      <c r="W338" s="2"/>
      <c r="X338" s="2"/>
    </row>
    <row r="339" spans="2:24" ht="15.75" customHeight="1" x14ac:dyDescent="0.3">
      <c r="B339" s="2"/>
      <c r="C339" s="61" t="s">
        <v>718</v>
      </c>
      <c r="D339" s="62" t="s">
        <v>728</v>
      </c>
      <c r="E339" s="63" t="s">
        <v>729</v>
      </c>
      <c r="F339" s="64">
        <v>24321</v>
      </c>
      <c r="G339" s="65">
        <v>25735.5</v>
      </c>
      <c r="H339" s="65">
        <v>27268.5</v>
      </c>
      <c r="I339" s="65">
        <v>29895</v>
      </c>
      <c r="J339" s="65">
        <v>33732</v>
      </c>
      <c r="K339" s="65">
        <v>45177</v>
      </c>
      <c r="L339" s="65">
        <v>50988</v>
      </c>
      <c r="M339" s="66">
        <v>1377</v>
      </c>
      <c r="N339" s="67">
        <v>1024.5</v>
      </c>
      <c r="O339" s="60"/>
      <c r="P339" s="2"/>
      <c r="Q339" s="2"/>
      <c r="R339" s="2"/>
      <c r="S339" s="2"/>
      <c r="T339" s="2"/>
      <c r="U339" s="2"/>
      <c r="V339" s="2"/>
      <c r="W339" s="2"/>
      <c r="X339" s="2"/>
    </row>
    <row r="340" spans="2:24" ht="15.75" customHeight="1" x14ac:dyDescent="0.3">
      <c r="B340" s="2"/>
      <c r="C340" s="61" t="s">
        <v>718</v>
      </c>
      <c r="D340" s="62" t="s">
        <v>730</v>
      </c>
      <c r="E340" s="63" t="s">
        <v>731</v>
      </c>
      <c r="F340" s="64">
        <v>24321</v>
      </c>
      <c r="G340" s="65">
        <v>25735.5</v>
      </c>
      <c r="H340" s="65">
        <v>27268.5</v>
      </c>
      <c r="I340" s="65">
        <v>29895</v>
      </c>
      <c r="J340" s="65">
        <v>33732</v>
      </c>
      <c r="K340" s="65">
        <v>45177</v>
      </c>
      <c r="L340" s="65">
        <v>50988</v>
      </c>
      <c r="M340" s="66">
        <v>1377</v>
      </c>
      <c r="N340" s="67">
        <v>1024.5</v>
      </c>
      <c r="O340" s="60"/>
      <c r="P340" s="2"/>
      <c r="Q340" s="2"/>
      <c r="R340" s="2"/>
      <c r="S340" s="2"/>
      <c r="T340" s="2"/>
      <c r="U340" s="2"/>
      <c r="V340" s="2"/>
      <c r="W340" s="2"/>
      <c r="X340" s="2"/>
    </row>
    <row r="341" spans="2:24" ht="15.75" customHeight="1" x14ac:dyDescent="0.3">
      <c r="B341" s="2"/>
      <c r="C341" s="61" t="s">
        <v>718</v>
      </c>
      <c r="D341" s="62" t="s">
        <v>732</v>
      </c>
      <c r="E341" s="63" t="s">
        <v>733</v>
      </c>
      <c r="F341" s="64">
        <v>9321</v>
      </c>
      <c r="G341" s="65">
        <v>10735.5</v>
      </c>
      <c r="H341" s="65">
        <v>12268.5</v>
      </c>
      <c r="I341" s="65">
        <v>14895</v>
      </c>
      <c r="J341" s="65">
        <v>18732</v>
      </c>
      <c r="K341" s="65">
        <v>30177</v>
      </c>
      <c r="L341" s="65">
        <v>35988</v>
      </c>
      <c r="M341" s="66">
        <v>1377</v>
      </c>
      <c r="N341" s="67">
        <v>1024.5</v>
      </c>
      <c r="O341" s="60"/>
      <c r="P341" s="2"/>
      <c r="Q341" s="2"/>
      <c r="R341" s="2"/>
      <c r="S341" s="2"/>
      <c r="T341" s="2"/>
      <c r="U341" s="2"/>
      <c r="V341" s="2"/>
      <c r="W341" s="2"/>
      <c r="X341" s="2"/>
    </row>
    <row r="342" spans="2:24" ht="15.75" customHeight="1" x14ac:dyDescent="0.3">
      <c r="B342" s="2"/>
      <c r="C342" s="61" t="s">
        <v>718</v>
      </c>
      <c r="D342" s="62" t="s">
        <v>734</v>
      </c>
      <c r="E342" s="63" t="s">
        <v>735</v>
      </c>
      <c r="F342" s="64">
        <v>9321</v>
      </c>
      <c r="G342" s="65">
        <v>10735.5</v>
      </c>
      <c r="H342" s="65">
        <v>12268.5</v>
      </c>
      <c r="I342" s="65">
        <v>14895</v>
      </c>
      <c r="J342" s="65">
        <v>18732</v>
      </c>
      <c r="K342" s="65">
        <v>30177</v>
      </c>
      <c r="L342" s="65">
        <v>35988</v>
      </c>
      <c r="M342" s="66">
        <v>1377</v>
      </c>
      <c r="N342" s="67">
        <v>1024.5</v>
      </c>
      <c r="O342" s="60"/>
      <c r="P342" s="2"/>
      <c r="Q342" s="2"/>
      <c r="R342" s="2"/>
      <c r="S342" s="2"/>
      <c r="T342" s="2"/>
      <c r="U342" s="2"/>
      <c r="V342" s="2"/>
      <c r="W342" s="2"/>
      <c r="X342" s="2"/>
    </row>
    <row r="343" spans="2:24" ht="15.75" customHeight="1" x14ac:dyDescent="0.3">
      <c r="B343" s="2"/>
      <c r="C343" s="68" t="s">
        <v>718</v>
      </c>
      <c r="D343" s="69" t="s">
        <v>736</v>
      </c>
      <c r="E343" s="70" t="s">
        <v>737</v>
      </c>
      <c r="F343" s="71">
        <v>9321</v>
      </c>
      <c r="G343" s="72">
        <v>10735.5</v>
      </c>
      <c r="H343" s="72">
        <v>12268.5</v>
      </c>
      <c r="I343" s="72">
        <v>14895</v>
      </c>
      <c r="J343" s="72">
        <v>18732</v>
      </c>
      <c r="K343" s="72">
        <v>30177</v>
      </c>
      <c r="L343" s="72">
        <v>35988</v>
      </c>
      <c r="M343" s="73">
        <v>1377</v>
      </c>
      <c r="N343" s="74">
        <v>1024.5</v>
      </c>
      <c r="O343" s="60"/>
      <c r="P343" s="2"/>
      <c r="Q343" s="2"/>
      <c r="R343" s="2"/>
      <c r="S343" s="2"/>
      <c r="T343" s="2"/>
      <c r="U343" s="2"/>
      <c r="V343" s="2"/>
      <c r="W343" s="2"/>
      <c r="X343" s="2"/>
    </row>
    <row r="344" spans="2:24" ht="15.75" customHeight="1" x14ac:dyDescent="0.3">
      <c r="B344" s="2"/>
      <c r="C344" s="75" t="s">
        <v>738</v>
      </c>
      <c r="D344" s="76" t="s">
        <v>739</v>
      </c>
      <c r="E344" s="77" t="s">
        <v>64</v>
      </c>
      <c r="F344" s="64">
        <v>6214</v>
      </c>
      <c r="G344" s="65">
        <v>7157</v>
      </c>
      <c r="H344" s="65">
        <v>8179</v>
      </c>
      <c r="I344" s="65">
        <v>9930</v>
      </c>
      <c r="J344" s="65">
        <v>12488</v>
      </c>
      <c r="K344" s="65">
        <v>20118</v>
      </c>
      <c r="L344" s="65">
        <v>23992</v>
      </c>
      <c r="M344" s="66">
        <v>918</v>
      </c>
      <c r="N344" s="67">
        <v>683</v>
      </c>
      <c r="O344" s="60"/>
      <c r="P344" s="2"/>
      <c r="Q344" s="2"/>
      <c r="R344" s="2"/>
      <c r="S344" s="2"/>
      <c r="T344" s="2"/>
      <c r="U344" s="2"/>
      <c r="V344" s="2"/>
      <c r="W344" s="2"/>
      <c r="X344" s="2"/>
    </row>
    <row r="345" spans="2:24" ht="15.75" customHeight="1" x14ac:dyDescent="0.3">
      <c r="B345" s="2"/>
      <c r="C345" s="61" t="s">
        <v>738</v>
      </c>
      <c r="D345" s="62" t="s">
        <v>740</v>
      </c>
      <c r="E345" s="63" t="s">
        <v>741</v>
      </c>
      <c r="F345" s="64">
        <v>24321</v>
      </c>
      <c r="G345" s="65">
        <v>25735.5</v>
      </c>
      <c r="H345" s="65">
        <v>27268.5</v>
      </c>
      <c r="I345" s="65">
        <v>29895</v>
      </c>
      <c r="J345" s="65">
        <v>33732</v>
      </c>
      <c r="K345" s="65">
        <v>45177</v>
      </c>
      <c r="L345" s="65">
        <v>50988</v>
      </c>
      <c r="M345" s="66">
        <v>1377</v>
      </c>
      <c r="N345" s="67">
        <v>1024.5</v>
      </c>
      <c r="O345" s="60"/>
      <c r="P345" s="2"/>
      <c r="Q345" s="2"/>
      <c r="R345" s="2"/>
      <c r="S345" s="2"/>
      <c r="T345" s="2"/>
      <c r="U345" s="2"/>
      <c r="V345" s="2"/>
      <c r="W345" s="2"/>
      <c r="X345" s="2"/>
    </row>
    <row r="346" spans="2:24" ht="15.75" customHeight="1" x14ac:dyDescent="0.3">
      <c r="B346" s="2"/>
      <c r="C346" s="61" t="s">
        <v>738</v>
      </c>
      <c r="D346" s="62" t="s">
        <v>742</v>
      </c>
      <c r="E346" s="63" t="s">
        <v>743</v>
      </c>
      <c r="F346" s="64">
        <v>9321</v>
      </c>
      <c r="G346" s="65">
        <v>10735.5</v>
      </c>
      <c r="H346" s="65">
        <v>12268.5</v>
      </c>
      <c r="I346" s="65">
        <v>14895</v>
      </c>
      <c r="J346" s="65">
        <v>18732</v>
      </c>
      <c r="K346" s="65">
        <v>30177</v>
      </c>
      <c r="L346" s="65">
        <v>35988</v>
      </c>
      <c r="M346" s="66">
        <v>1377</v>
      </c>
      <c r="N346" s="67">
        <v>1024.5</v>
      </c>
      <c r="O346" s="60"/>
      <c r="P346" s="2"/>
      <c r="Q346" s="2"/>
      <c r="R346" s="2"/>
      <c r="S346" s="2"/>
      <c r="T346" s="2"/>
      <c r="U346" s="2"/>
      <c r="V346" s="2"/>
      <c r="W346" s="2"/>
      <c r="X346" s="2"/>
    </row>
    <row r="347" spans="2:24" ht="15.75" customHeight="1" x14ac:dyDescent="0.3">
      <c r="B347" s="2"/>
      <c r="C347" s="61" t="s">
        <v>738</v>
      </c>
      <c r="D347" s="62" t="s">
        <v>744</v>
      </c>
      <c r="E347" s="63" t="s">
        <v>745</v>
      </c>
      <c r="F347" s="64">
        <v>24321</v>
      </c>
      <c r="G347" s="65">
        <v>25735.5</v>
      </c>
      <c r="H347" s="65">
        <v>27268.5</v>
      </c>
      <c r="I347" s="65">
        <v>29895</v>
      </c>
      <c r="J347" s="65">
        <v>33732</v>
      </c>
      <c r="K347" s="65">
        <v>45177</v>
      </c>
      <c r="L347" s="65">
        <v>50988</v>
      </c>
      <c r="M347" s="66">
        <v>1377</v>
      </c>
      <c r="N347" s="67">
        <v>1024.5</v>
      </c>
      <c r="O347" s="60"/>
      <c r="P347" s="2"/>
      <c r="Q347" s="2"/>
      <c r="R347" s="2"/>
      <c r="S347" s="2"/>
      <c r="T347" s="2"/>
      <c r="U347" s="2"/>
      <c r="V347" s="2"/>
      <c r="W347" s="2"/>
      <c r="X347" s="2"/>
    </row>
    <row r="348" spans="2:24" ht="15.75" customHeight="1" x14ac:dyDescent="0.3">
      <c r="B348" s="2"/>
      <c r="C348" s="61" t="s">
        <v>738</v>
      </c>
      <c r="D348" s="62" t="s">
        <v>746</v>
      </c>
      <c r="E348" s="63" t="s">
        <v>747</v>
      </c>
      <c r="F348" s="64">
        <v>24321</v>
      </c>
      <c r="G348" s="65">
        <v>25735.5</v>
      </c>
      <c r="H348" s="65">
        <v>27268.5</v>
      </c>
      <c r="I348" s="65">
        <v>29895</v>
      </c>
      <c r="J348" s="65">
        <v>33732</v>
      </c>
      <c r="K348" s="65">
        <v>45177</v>
      </c>
      <c r="L348" s="65">
        <v>50988</v>
      </c>
      <c r="M348" s="66">
        <v>1377</v>
      </c>
      <c r="N348" s="67">
        <v>1024.5</v>
      </c>
      <c r="O348" s="60"/>
      <c r="P348" s="2"/>
      <c r="Q348" s="2"/>
      <c r="R348" s="2"/>
      <c r="S348" s="2"/>
      <c r="T348" s="2"/>
      <c r="U348" s="2"/>
      <c r="V348" s="2"/>
      <c r="W348" s="2"/>
      <c r="X348" s="2"/>
    </row>
    <row r="349" spans="2:24" ht="15.75" customHeight="1" x14ac:dyDescent="0.3">
      <c r="B349" s="2"/>
      <c r="C349" s="61" t="s">
        <v>738</v>
      </c>
      <c r="D349" s="62" t="s">
        <v>748</v>
      </c>
      <c r="E349" s="63" t="s">
        <v>749</v>
      </c>
      <c r="F349" s="64">
        <v>24321</v>
      </c>
      <c r="G349" s="65">
        <v>25735.5</v>
      </c>
      <c r="H349" s="65">
        <v>27268.5</v>
      </c>
      <c r="I349" s="65">
        <v>29895</v>
      </c>
      <c r="J349" s="65">
        <v>33732</v>
      </c>
      <c r="K349" s="65">
        <v>45177</v>
      </c>
      <c r="L349" s="65">
        <v>50988</v>
      </c>
      <c r="M349" s="66">
        <v>1377</v>
      </c>
      <c r="N349" s="67">
        <v>1024.5</v>
      </c>
      <c r="O349" s="60"/>
      <c r="P349" s="2"/>
      <c r="Q349" s="2"/>
      <c r="R349" s="2"/>
      <c r="S349" s="2"/>
      <c r="T349" s="2"/>
      <c r="U349" s="2"/>
      <c r="V349" s="2"/>
      <c r="W349" s="2"/>
      <c r="X349" s="2"/>
    </row>
    <row r="350" spans="2:24" ht="15.75" customHeight="1" x14ac:dyDescent="0.3">
      <c r="B350" s="2"/>
      <c r="C350" s="61" t="s">
        <v>738</v>
      </c>
      <c r="D350" s="62" t="s">
        <v>750</v>
      </c>
      <c r="E350" s="63" t="s">
        <v>751</v>
      </c>
      <c r="F350" s="64">
        <v>24321</v>
      </c>
      <c r="G350" s="65">
        <v>25735.5</v>
      </c>
      <c r="H350" s="65">
        <v>27268.5</v>
      </c>
      <c r="I350" s="65">
        <v>29895</v>
      </c>
      <c r="J350" s="65">
        <v>33732</v>
      </c>
      <c r="K350" s="65">
        <v>45177</v>
      </c>
      <c r="L350" s="65">
        <v>50988</v>
      </c>
      <c r="M350" s="66">
        <v>1377</v>
      </c>
      <c r="N350" s="67">
        <v>1024.5</v>
      </c>
      <c r="O350" s="60"/>
      <c r="P350" s="2"/>
      <c r="Q350" s="2"/>
      <c r="R350" s="2"/>
      <c r="S350" s="2"/>
      <c r="T350" s="2"/>
      <c r="U350" s="2"/>
      <c r="V350" s="2"/>
      <c r="W350" s="2"/>
      <c r="X350" s="2"/>
    </row>
    <row r="351" spans="2:24" ht="15.75" customHeight="1" x14ac:dyDescent="0.3">
      <c r="B351" s="2"/>
      <c r="C351" s="61" t="s">
        <v>738</v>
      </c>
      <c r="D351" s="62" t="s">
        <v>752</v>
      </c>
      <c r="E351" s="63" t="s">
        <v>753</v>
      </c>
      <c r="F351" s="64">
        <v>9321</v>
      </c>
      <c r="G351" s="65">
        <v>10735.5</v>
      </c>
      <c r="H351" s="65">
        <v>12268.5</v>
      </c>
      <c r="I351" s="65">
        <v>14895</v>
      </c>
      <c r="J351" s="65">
        <v>18732</v>
      </c>
      <c r="K351" s="65">
        <v>30177</v>
      </c>
      <c r="L351" s="65">
        <v>35988</v>
      </c>
      <c r="M351" s="66">
        <v>1377</v>
      </c>
      <c r="N351" s="67">
        <v>1024.5</v>
      </c>
      <c r="O351" s="60"/>
      <c r="P351" s="2"/>
      <c r="Q351" s="2"/>
      <c r="R351" s="2"/>
      <c r="S351" s="2"/>
      <c r="T351" s="2"/>
      <c r="U351" s="2"/>
      <c r="V351" s="2"/>
      <c r="W351" s="2"/>
      <c r="X351" s="2"/>
    </row>
    <row r="352" spans="2:24" ht="15.75" customHeight="1" x14ac:dyDescent="0.3">
      <c r="B352" s="2"/>
      <c r="C352" s="61" t="s">
        <v>738</v>
      </c>
      <c r="D352" s="62" t="s">
        <v>754</v>
      </c>
      <c r="E352" s="63" t="s">
        <v>755</v>
      </c>
      <c r="F352" s="64">
        <v>24321</v>
      </c>
      <c r="G352" s="65">
        <v>25735.5</v>
      </c>
      <c r="H352" s="65">
        <v>27268.5</v>
      </c>
      <c r="I352" s="65">
        <v>29895</v>
      </c>
      <c r="J352" s="65">
        <v>33732</v>
      </c>
      <c r="K352" s="65">
        <v>45177</v>
      </c>
      <c r="L352" s="65">
        <v>50988</v>
      </c>
      <c r="M352" s="66">
        <v>1377</v>
      </c>
      <c r="N352" s="67">
        <v>1024.5</v>
      </c>
      <c r="O352" s="60"/>
      <c r="P352" s="2"/>
      <c r="Q352" s="2"/>
      <c r="R352" s="2"/>
      <c r="S352" s="2"/>
      <c r="T352" s="2"/>
      <c r="U352" s="2"/>
      <c r="V352" s="2"/>
      <c r="W352" s="2"/>
      <c r="X352" s="2"/>
    </row>
    <row r="353" spans="2:24" ht="15.75" customHeight="1" x14ac:dyDescent="0.3">
      <c r="B353" s="2"/>
      <c r="C353" s="61" t="s">
        <v>738</v>
      </c>
      <c r="D353" s="62" t="s">
        <v>756</v>
      </c>
      <c r="E353" s="63" t="s">
        <v>757</v>
      </c>
      <c r="F353" s="64">
        <v>9321</v>
      </c>
      <c r="G353" s="65">
        <v>10735.5</v>
      </c>
      <c r="H353" s="65">
        <v>12268.5</v>
      </c>
      <c r="I353" s="65">
        <v>14895</v>
      </c>
      <c r="J353" s="65">
        <v>18732</v>
      </c>
      <c r="K353" s="65">
        <v>30177</v>
      </c>
      <c r="L353" s="65">
        <v>35988</v>
      </c>
      <c r="M353" s="66">
        <v>1377</v>
      </c>
      <c r="N353" s="67">
        <v>1024.5</v>
      </c>
      <c r="O353" s="60"/>
      <c r="P353" s="2"/>
      <c r="Q353" s="2"/>
      <c r="R353" s="2"/>
      <c r="S353" s="2"/>
      <c r="T353" s="2"/>
      <c r="U353" s="2"/>
      <c r="V353" s="2"/>
      <c r="W353" s="2"/>
      <c r="X353" s="2"/>
    </row>
    <row r="354" spans="2:24" ht="15.75" customHeight="1" x14ac:dyDescent="0.3">
      <c r="B354" s="2"/>
      <c r="C354" s="68" t="s">
        <v>738</v>
      </c>
      <c r="D354" s="69" t="s">
        <v>758</v>
      </c>
      <c r="E354" s="70" t="s">
        <v>759</v>
      </c>
      <c r="F354" s="71">
        <v>24321</v>
      </c>
      <c r="G354" s="72">
        <v>25735.5</v>
      </c>
      <c r="H354" s="72">
        <v>27268.5</v>
      </c>
      <c r="I354" s="72">
        <v>29895</v>
      </c>
      <c r="J354" s="72">
        <v>33732</v>
      </c>
      <c r="K354" s="72">
        <v>45177</v>
      </c>
      <c r="L354" s="72">
        <v>50988</v>
      </c>
      <c r="M354" s="73">
        <v>1377</v>
      </c>
      <c r="N354" s="74">
        <v>1024.5</v>
      </c>
      <c r="O354" s="60"/>
      <c r="P354" s="2"/>
      <c r="Q354" s="2"/>
      <c r="R354" s="2"/>
      <c r="S354" s="2"/>
      <c r="T354" s="2"/>
      <c r="U354" s="2"/>
      <c r="V354" s="2"/>
      <c r="W354" s="2"/>
      <c r="X354" s="2"/>
    </row>
    <row r="355" spans="2:24" ht="15.75" customHeight="1" x14ac:dyDescent="0.3">
      <c r="B355" s="2"/>
      <c r="C355" s="52"/>
      <c r="D355" s="52"/>
      <c r="E355" s="52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2"/>
      <c r="Q355" s="2"/>
      <c r="R355" s="2"/>
      <c r="S355" s="2"/>
      <c r="T355" s="2"/>
      <c r="U355" s="2"/>
      <c r="V355" s="2"/>
      <c r="W355" s="2"/>
      <c r="X355" s="2"/>
    </row>
    <row r="356" spans="2:24" ht="15.75" customHeight="1" x14ac:dyDescent="0.3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spans="2:24" ht="15.75" customHeight="1" x14ac:dyDescent="0.3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spans="2:24" ht="15.75" customHeight="1" x14ac:dyDescent="0.3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spans="2:24" ht="15.75" customHeight="1" x14ac:dyDescent="0.3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spans="2:24" ht="15.75" customHeight="1" x14ac:dyDescent="0.3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spans="2:24" ht="15.75" customHeight="1" x14ac:dyDescent="0.3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spans="2:24" ht="15.75" customHeight="1" x14ac:dyDescent="0.3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spans="2:24" ht="15.75" customHeight="1" x14ac:dyDescent="0.3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spans="2:24" ht="15.75" customHeight="1" x14ac:dyDescent="0.3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spans="2:24" ht="15.75" customHeight="1" x14ac:dyDescent="0.3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spans="2:24" ht="15.75" customHeight="1" x14ac:dyDescent="0.3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spans="2:24" ht="15.75" customHeight="1" x14ac:dyDescent="0.3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spans="2:24" ht="15.75" customHeight="1" x14ac:dyDescent="0.3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spans="2:24" ht="15.75" customHeight="1" x14ac:dyDescent="0.3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spans="2:24" ht="15.75" customHeight="1" x14ac:dyDescent="0.3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spans="2:24" ht="15.75" customHeight="1" x14ac:dyDescent="0.3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spans="2:24" ht="15.75" customHeight="1" x14ac:dyDescent="0.3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spans="2:24" ht="15.75" customHeight="1" x14ac:dyDescent="0.3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spans="2:24" ht="15.75" customHeight="1" x14ac:dyDescent="0.3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spans="2:24" ht="15.75" customHeight="1" x14ac:dyDescent="0.3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spans="2:24" ht="15.75" customHeight="1" x14ac:dyDescent="0.3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spans="2:24" ht="15.75" customHeight="1" x14ac:dyDescent="0.3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spans="2:24" ht="15.75" customHeight="1" x14ac:dyDescent="0.3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spans="2:24" ht="15.75" customHeight="1" x14ac:dyDescent="0.3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spans="2:24" ht="15.75" customHeight="1" x14ac:dyDescent="0.3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spans="2:24" ht="15.75" customHeight="1" x14ac:dyDescent="0.3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spans="2:24" ht="15.75" customHeight="1" x14ac:dyDescent="0.3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spans="2:24" ht="15.75" customHeight="1" x14ac:dyDescent="0.3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spans="2:24" ht="15.75" customHeight="1" x14ac:dyDescent="0.3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spans="2:24" ht="15.75" customHeight="1" x14ac:dyDescent="0.3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spans="2:24" ht="15.75" customHeight="1" x14ac:dyDescent="0.3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spans="2:24" ht="15.75" customHeight="1" x14ac:dyDescent="0.3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spans="2:24" ht="15.75" customHeight="1" x14ac:dyDescent="0.3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spans="2:24" ht="15.75" customHeight="1" x14ac:dyDescent="0.3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spans="2:24" ht="15.75" customHeight="1" x14ac:dyDescent="0.3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spans="2:24" ht="15.75" customHeight="1" x14ac:dyDescent="0.3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spans="2:24" ht="15.75" customHeight="1" x14ac:dyDescent="0.3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spans="2:24" ht="15.75" customHeight="1" x14ac:dyDescent="0.3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spans="2:24" ht="15.75" customHeight="1" x14ac:dyDescent="0.3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spans="2:24" ht="15.75" customHeight="1" x14ac:dyDescent="0.3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spans="2:24" ht="15.75" customHeight="1" x14ac:dyDescent="0.3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spans="2:24" ht="15.75" customHeight="1" x14ac:dyDescent="0.3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spans="2:24" ht="15.75" customHeight="1" x14ac:dyDescent="0.3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spans="2:24" ht="15.75" customHeight="1" x14ac:dyDescent="0.3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spans="2:24" ht="15.75" customHeight="1" x14ac:dyDescent="0.3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spans="2:24" ht="15.75" customHeight="1" x14ac:dyDescent="0.3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spans="2:24" ht="15.75" customHeight="1" x14ac:dyDescent="0.3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spans="2:24" ht="15.75" customHeight="1" x14ac:dyDescent="0.3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spans="2:24" ht="15.75" customHeight="1" x14ac:dyDescent="0.3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spans="2:24" ht="15.75" customHeight="1" x14ac:dyDescent="0.3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spans="2:24" ht="15.75" customHeight="1" x14ac:dyDescent="0.3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spans="2:24" ht="15.75" customHeight="1" x14ac:dyDescent="0.3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spans="2:24" ht="15.75" customHeight="1" x14ac:dyDescent="0.3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spans="2:24" ht="15.75" customHeight="1" x14ac:dyDescent="0.3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spans="2:24" ht="15.75" customHeight="1" x14ac:dyDescent="0.3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spans="2:24" ht="15.75" customHeight="1" x14ac:dyDescent="0.3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spans="2:24" ht="15.75" customHeight="1" x14ac:dyDescent="0.3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spans="2:24" ht="15.75" customHeight="1" x14ac:dyDescent="0.3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spans="2:24" ht="15.75" customHeight="1" x14ac:dyDescent="0.3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spans="2:24" ht="15.75" customHeight="1" x14ac:dyDescent="0.3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spans="2:24" ht="15.75" customHeight="1" x14ac:dyDescent="0.3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spans="2:24" ht="15.75" customHeight="1" x14ac:dyDescent="0.3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spans="2:24" ht="15.75" customHeight="1" x14ac:dyDescent="0.3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spans="2:24" ht="15.75" customHeight="1" x14ac:dyDescent="0.3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spans="2:24" ht="15.75" customHeight="1" x14ac:dyDescent="0.3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spans="2:24" ht="15.75" customHeight="1" x14ac:dyDescent="0.3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spans="2:24" ht="15.75" customHeight="1" x14ac:dyDescent="0.3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spans="2:24" ht="15.75" customHeight="1" x14ac:dyDescent="0.3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spans="2:24" ht="15.75" customHeight="1" x14ac:dyDescent="0.3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spans="2:24" ht="15.75" customHeight="1" x14ac:dyDescent="0.3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spans="2:24" ht="15.75" customHeight="1" x14ac:dyDescent="0.3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spans="2:24" ht="15.75" customHeight="1" x14ac:dyDescent="0.3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spans="2:24" ht="15.75" customHeight="1" x14ac:dyDescent="0.3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spans="2:24" ht="15.75" customHeight="1" x14ac:dyDescent="0.3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spans="2:24" ht="15.75" customHeight="1" x14ac:dyDescent="0.3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spans="2:24" ht="15.75" customHeight="1" x14ac:dyDescent="0.3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spans="2:24" ht="15.75" customHeight="1" x14ac:dyDescent="0.3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spans="2:24" ht="15.75" customHeight="1" x14ac:dyDescent="0.3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spans="2:24" ht="15.75" customHeight="1" x14ac:dyDescent="0.3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spans="2:24" ht="15.75" customHeight="1" x14ac:dyDescent="0.3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spans="2:24" ht="15.75" customHeight="1" x14ac:dyDescent="0.3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spans="2:24" ht="15.75" customHeight="1" x14ac:dyDescent="0.3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spans="2:24" ht="15.75" customHeight="1" x14ac:dyDescent="0.3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spans="2:24" ht="15.75" customHeight="1" x14ac:dyDescent="0.3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spans="2:24" ht="15.75" customHeight="1" x14ac:dyDescent="0.3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spans="2:24" ht="15.75" customHeight="1" x14ac:dyDescent="0.3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spans="2:24" ht="15.75" customHeight="1" x14ac:dyDescent="0.3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spans="2:24" ht="15.75" customHeight="1" x14ac:dyDescent="0.3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spans="2:24" ht="15.75" customHeight="1" x14ac:dyDescent="0.3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spans="2:24" ht="15.75" customHeight="1" x14ac:dyDescent="0.3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spans="2:24" ht="15.75" customHeight="1" x14ac:dyDescent="0.3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spans="2:24" ht="15.75" customHeight="1" x14ac:dyDescent="0.3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spans="2:24" ht="15.75" customHeight="1" x14ac:dyDescent="0.3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spans="2:24" ht="15.75" customHeight="1" x14ac:dyDescent="0.3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spans="2:24" ht="15.75" customHeight="1" x14ac:dyDescent="0.3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spans="2:24" ht="15.75" customHeight="1" x14ac:dyDescent="0.3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spans="2:24" ht="15.75" customHeight="1" x14ac:dyDescent="0.3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spans="2:24" ht="15.75" customHeight="1" x14ac:dyDescent="0.3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spans="2:24" ht="15.75" customHeight="1" x14ac:dyDescent="0.3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spans="2:24" ht="15.75" customHeight="1" x14ac:dyDescent="0.3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spans="2:24" ht="15.75" customHeight="1" x14ac:dyDescent="0.3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spans="2:24" ht="15.75" customHeight="1" x14ac:dyDescent="0.3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spans="2:24" ht="15.75" customHeight="1" x14ac:dyDescent="0.3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spans="2:24" ht="15.75" customHeight="1" x14ac:dyDescent="0.3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spans="2:24" ht="15.75" customHeight="1" x14ac:dyDescent="0.3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spans="2:24" ht="15.75" customHeight="1" x14ac:dyDescent="0.3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spans="2:24" ht="15.75" customHeight="1" x14ac:dyDescent="0.3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spans="2:24" ht="15.75" customHeight="1" x14ac:dyDescent="0.3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spans="2:24" ht="15.75" customHeight="1" x14ac:dyDescent="0.3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spans="2:24" ht="15.75" customHeight="1" x14ac:dyDescent="0.3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spans="2:24" ht="15.75" customHeight="1" x14ac:dyDescent="0.3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spans="2:24" ht="15.75" customHeight="1" x14ac:dyDescent="0.3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spans="2:24" ht="15.75" customHeight="1" x14ac:dyDescent="0.3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spans="2:24" ht="15.75" customHeight="1" x14ac:dyDescent="0.3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spans="2:24" ht="15.75" customHeight="1" x14ac:dyDescent="0.3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spans="2:24" ht="15.75" customHeight="1" x14ac:dyDescent="0.3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spans="2:24" ht="15.75" customHeight="1" x14ac:dyDescent="0.3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spans="2:24" ht="15.75" customHeight="1" x14ac:dyDescent="0.3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spans="2:24" ht="15.75" customHeight="1" x14ac:dyDescent="0.3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spans="2:24" ht="15.75" customHeight="1" x14ac:dyDescent="0.3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spans="2:24" ht="15.75" customHeight="1" x14ac:dyDescent="0.3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spans="2:24" ht="15.75" customHeight="1" x14ac:dyDescent="0.3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spans="2:24" ht="15.75" customHeight="1" x14ac:dyDescent="0.3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spans="2:24" ht="15.75" customHeight="1" x14ac:dyDescent="0.3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spans="2:24" ht="15.75" customHeight="1" x14ac:dyDescent="0.3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spans="2:24" ht="15.75" customHeight="1" x14ac:dyDescent="0.3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spans="2:24" ht="15.75" customHeight="1" x14ac:dyDescent="0.3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spans="2:24" ht="15.75" customHeight="1" x14ac:dyDescent="0.3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spans="2:24" ht="15.75" customHeight="1" x14ac:dyDescent="0.3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spans="2:24" ht="15.75" customHeight="1" x14ac:dyDescent="0.3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spans="2:24" ht="15.75" customHeight="1" x14ac:dyDescent="0.3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spans="2:24" ht="15.75" customHeight="1" x14ac:dyDescent="0.3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spans="2:24" ht="15.75" customHeight="1" x14ac:dyDescent="0.3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spans="2:24" ht="15.75" customHeight="1" x14ac:dyDescent="0.3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spans="2:24" ht="15.75" customHeight="1" x14ac:dyDescent="0.3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spans="2:24" ht="15.75" customHeight="1" x14ac:dyDescent="0.3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spans="2:24" ht="15.75" customHeight="1" x14ac:dyDescent="0.3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spans="2:24" ht="15.75" customHeight="1" x14ac:dyDescent="0.3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spans="2:24" ht="15.75" customHeight="1" x14ac:dyDescent="0.3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spans="2:24" ht="15.75" customHeight="1" x14ac:dyDescent="0.3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spans="2:24" ht="15.75" customHeight="1" x14ac:dyDescent="0.3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spans="2:24" ht="15.75" customHeight="1" x14ac:dyDescent="0.3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spans="2:24" ht="15.75" customHeight="1" x14ac:dyDescent="0.3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spans="2:24" ht="15.75" customHeight="1" x14ac:dyDescent="0.3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spans="2:24" ht="15.75" customHeight="1" x14ac:dyDescent="0.3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spans="2:24" ht="15.75" customHeight="1" x14ac:dyDescent="0.3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spans="2:24" ht="15.75" customHeight="1" x14ac:dyDescent="0.3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spans="2:24" ht="15.75" customHeight="1" x14ac:dyDescent="0.3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spans="2:24" ht="15.75" customHeight="1" x14ac:dyDescent="0.3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spans="2:24" ht="15.75" customHeight="1" x14ac:dyDescent="0.3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spans="2:24" ht="15.75" customHeight="1" x14ac:dyDescent="0.3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spans="2:24" ht="15.75" customHeight="1" x14ac:dyDescent="0.3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spans="2:24" ht="15.75" customHeight="1" x14ac:dyDescent="0.3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spans="2:24" ht="15.75" customHeight="1" x14ac:dyDescent="0.3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spans="2:24" ht="15.75" customHeight="1" x14ac:dyDescent="0.3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spans="2:24" ht="15.75" customHeight="1" x14ac:dyDescent="0.3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spans="2:24" ht="15.75" customHeight="1" x14ac:dyDescent="0.3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spans="2:24" ht="15.75" customHeight="1" x14ac:dyDescent="0.3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spans="2:24" ht="15.75" customHeight="1" x14ac:dyDescent="0.3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spans="2:24" ht="15.75" customHeight="1" x14ac:dyDescent="0.3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spans="2:24" ht="15.75" customHeight="1" x14ac:dyDescent="0.3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spans="2:24" ht="15.75" customHeight="1" x14ac:dyDescent="0.3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spans="2:24" ht="15.75" customHeight="1" x14ac:dyDescent="0.3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spans="2:24" ht="15.75" customHeight="1" x14ac:dyDescent="0.3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spans="2:24" ht="15.75" customHeight="1" x14ac:dyDescent="0.3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spans="2:24" ht="15.75" customHeight="1" x14ac:dyDescent="0.3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spans="2:24" ht="15.75" customHeight="1" x14ac:dyDescent="0.3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spans="2:24" ht="15.75" customHeight="1" x14ac:dyDescent="0.3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spans="2:24" ht="15.75" customHeight="1" x14ac:dyDescent="0.3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spans="2:24" ht="15.75" customHeight="1" x14ac:dyDescent="0.3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spans="2:24" ht="15.75" customHeight="1" x14ac:dyDescent="0.3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spans="2:24" ht="15.75" customHeight="1" x14ac:dyDescent="0.3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spans="2:24" ht="15.75" customHeight="1" x14ac:dyDescent="0.3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spans="2:24" ht="15.75" customHeight="1" x14ac:dyDescent="0.3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spans="2:24" ht="15.75" customHeight="1" x14ac:dyDescent="0.3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spans="2:24" ht="15.75" customHeight="1" x14ac:dyDescent="0.3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spans="2:24" ht="15.75" customHeight="1" x14ac:dyDescent="0.3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spans="2:24" ht="15.75" customHeight="1" x14ac:dyDescent="0.3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spans="2:24" ht="15.75" customHeight="1" x14ac:dyDescent="0.3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spans="2:24" ht="15.75" customHeight="1" x14ac:dyDescent="0.3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spans="2:24" ht="15.75" customHeight="1" x14ac:dyDescent="0.3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spans="2:24" ht="15.75" customHeight="1" x14ac:dyDescent="0.3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spans="2:24" ht="15.75" customHeight="1" x14ac:dyDescent="0.3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spans="2:24" ht="15.75" customHeight="1" x14ac:dyDescent="0.3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spans="2:24" ht="15.75" customHeight="1" x14ac:dyDescent="0.3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spans="2:24" ht="15.75" customHeight="1" x14ac:dyDescent="0.3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spans="2:24" ht="15.75" customHeight="1" x14ac:dyDescent="0.3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spans="2:24" ht="15.75" customHeight="1" x14ac:dyDescent="0.3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spans="2:24" ht="15.75" customHeight="1" x14ac:dyDescent="0.3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spans="2:24" ht="15.75" customHeight="1" x14ac:dyDescent="0.3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spans="2:24" ht="15.75" customHeight="1" x14ac:dyDescent="0.3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spans="2:24" ht="15.75" customHeight="1" x14ac:dyDescent="0.3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spans="2:24" ht="15.75" customHeight="1" x14ac:dyDescent="0.3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spans="2:24" ht="15.75" customHeight="1" x14ac:dyDescent="0.3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spans="2:24" ht="15.75" customHeight="1" x14ac:dyDescent="0.3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spans="2:24" ht="15.75" customHeight="1" x14ac:dyDescent="0.3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spans="2:24" ht="15.75" customHeight="1" x14ac:dyDescent="0.3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spans="2:24" ht="15.75" customHeight="1" x14ac:dyDescent="0.3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spans="2:24" ht="15.75" customHeight="1" x14ac:dyDescent="0.3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spans="2:24" ht="15.75" customHeight="1" x14ac:dyDescent="0.3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spans="2:24" ht="15.75" customHeight="1" x14ac:dyDescent="0.3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spans="2:24" ht="15.75" customHeight="1" x14ac:dyDescent="0.3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spans="2:24" ht="15.75" customHeight="1" x14ac:dyDescent="0.3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spans="2:24" ht="15.75" customHeight="1" x14ac:dyDescent="0.3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spans="2:24" ht="15.75" customHeight="1" x14ac:dyDescent="0.3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spans="2:24" ht="15.75" customHeight="1" x14ac:dyDescent="0.3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spans="2:24" ht="15.75" customHeight="1" x14ac:dyDescent="0.3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spans="2:24" ht="15.75" customHeight="1" x14ac:dyDescent="0.3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spans="2:24" ht="15.75" customHeight="1" x14ac:dyDescent="0.3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spans="2:24" ht="15.75" customHeight="1" x14ac:dyDescent="0.3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spans="2:24" ht="15.75" customHeight="1" x14ac:dyDescent="0.3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spans="2:24" ht="15.75" customHeight="1" x14ac:dyDescent="0.3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spans="2:24" ht="15.75" customHeight="1" x14ac:dyDescent="0.3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spans="2:24" ht="15.75" customHeight="1" x14ac:dyDescent="0.3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spans="2:24" ht="15.75" customHeight="1" x14ac:dyDescent="0.3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spans="2:24" ht="15.75" customHeight="1" x14ac:dyDescent="0.3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spans="2:24" ht="15.75" customHeight="1" x14ac:dyDescent="0.3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spans="2:24" ht="15.75" customHeight="1" x14ac:dyDescent="0.3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spans="2:24" ht="15.75" customHeight="1" x14ac:dyDescent="0.3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spans="2:24" ht="15.75" customHeight="1" x14ac:dyDescent="0.3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spans="2:24" ht="15.75" customHeight="1" x14ac:dyDescent="0.3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spans="2:24" ht="15.75" customHeight="1" x14ac:dyDescent="0.3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spans="2:24" ht="15.75" customHeight="1" x14ac:dyDescent="0.3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spans="2:24" ht="15.75" customHeight="1" x14ac:dyDescent="0.3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spans="2:24" ht="15.75" customHeight="1" x14ac:dyDescent="0.3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spans="2:24" ht="15.75" customHeight="1" x14ac:dyDescent="0.3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spans="2:24" ht="15.75" customHeight="1" x14ac:dyDescent="0.3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spans="2:24" ht="15.75" customHeight="1" x14ac:dyDescent="0.3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spans="2:24" ht="15.75" customHeight="1" x14ac:dyDescent="0.3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spans="2:24" ht="15.75" customHeight="1" x14ac:dyDescent="0.3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spans="2:24" ht="15.75" customHeight="1" x14ac:dyDescent="0.3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spans="2:24" ht="15.75" customHeight="1" x14ac:dyDescent="0.3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spans="2:24" ht="15.75" customHeight="1" x14ac:dyDescent="0.3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spans="2:24" ht="15.75" customHeight="1" x14ac:dyDescent="0.3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spans="2:24" ht="15.75" customHeight="1" x14ac:dyDescent="0.3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spans="2:24" ht="15.75" customHeight="1" x14ac:dyDescent="0.3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spans="2:24" ht="15.75" customHeight="1" x14ac:dyDescent="0.3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spans="2:24" ht="15.75" customHeight="1" x14ac:dyDescent="0.3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spans="2:24" ht="15.75" customHeight="1" x14ac:dyDescent="0.3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spans="2:24" ht="15.75" customHeight="1" x14ac:dyDescent="0.3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spans="2:24" ht="15.75" customHeight="1" x14ac:dyDescent="0.3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spans="2:24" ht="15.75" customHeight="1" x14ac:dyDescent="0.3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spans="2:24" ht="15.75" customHeight="1" x14ac:dyDescent="0.3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spans="2:24" ht="15.75" customHeight="1" x14ac:dyDescent="0.3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spans="2:24" ht="15.75" customHeight="1" x14ac:dyDescent="0.3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spans="2:24" ht="15.75" customHeight="1" x14ac:dyDescent="0.3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spans="2:24" ht="15.75" customHeight="1" x14ac:dyDescent="0.3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spans="2:24" ht="15.75" customHeight="1" x14ac:dyDescent="0.3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spans="2:24" ht="15.75" customHeight="1" x14ac:dyDescent="0.3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spans="2:24" ht="15.75" customHeight="1" x14ac:dyDescent="0.3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spans="2:24" ht="15.75" customHeight="1" x14ac:dyDescent="0.3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spans="2:24" ht="15.75" customHeight="1" x14ac:dyDescent="0.3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spans="2:24" ht="15.75" customHeight="1" x14ac:dyDescent="0.3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spans="2:24" ht="15.75" customHeight="1" x14ac:dyDescent="0.3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spans="2:24" ht="15.75" customHeight="1" x14ac:dyDescent="0.3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spans="2:24" ht="15.75" customHeight="1" x14ac:dyDescent="0.3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spans="2:24" ht="15.75" customHeight="1" x14ac:dyDescent="0.3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spans="2:24" ht="15.75" customHeight="1" x14ac:dyDescent="0.3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spans="2:24" ht="15.75" customHeight="1" x14ac:dyDescent="0.3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spans="2:24" ht="15.75" customHeight="1" x14ac:dyDescent="0.3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spans="2:24" ht="15.75" customHeight="1" x14ac:dyDescent="0.3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spans="2:24" ht="15.75" customHeight="1" x14ac:dyDescent="0.3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spans="2:24" ht="15.75" customHeight="1" x14ac:dyDescent="0.3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spans="2:24" ht="15.75" customHeight="1" x14ac:dyDescent="0.3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spans="2:24" ht="15.75" customHeight="1" x14ac:dyDescent="0.3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spans="2:24" ht="15.75" customHeight="1" x14ac:dyDescent="0.3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spans="2:24" ht="15.75" customHeight="1" x14ac:dyDescent="0.3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spans="2:24" ht="15.75" customHeight="1" x14ac:dyDescent="0.3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spans="2:24" ht="15.75" customHeight="1" x14ac:dyDescent="0.3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spans="2:24" ht="15.75" customHeight="1" x14ac:dyDescent="0.3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spans="2:24" ht="15.75" customHeight="1" x14ac:dyDescent="0.3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spans="2:24" ht="15.75" customHeight="1" x14ac:dyDescent="0.3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spans="2:24" ht="15.75" customHeight="1" x14ac:dyDescent="0.3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spans="2:24" ht="15.75" customHeight="1" x14ac:dyDescent="0.3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spans="2:24" ht="15.75" customHeight="1" x14ac:dyDescent="0.3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spans="2:24" ht="15.75" customHeight="1" x14ac:dyDescent="0.3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spans="2:24" ht="15.75" customHeight="1" x14ac:dyDescent="0.3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spans="2:24" ht="15.75" customHeight="1" x14ac:dyDescent="0.3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spans="2:24" ht="15.75" customHeight="1" x14ac:dyDescent="0.3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spans="2:24" ht="15.75" customHeight="1" x14ac:dyDescent="0.3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spans="2:24" ht="15.75" customHeight="1" x14ac:dyDescent="0.3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spans="2:24" ht="15.75" customHeight="1" x14ac:dyDescent="0.3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spans="2:24" ht="15.75" customHeight="1" x14ac:dyDescent="0.3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spans="2:24" ht="15.75" customHeight="1" x14ac:dyDescent="0.3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spans="2:24" ht="15.75" customHeight="1" x14ac:dyDescent="0.3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spans="2:24" ht="15.75" customHeight="1" x14ac:dyDescent="0.3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spans="2:24" ht="15.75" customHeight="1" x14ac:dyDescent="0.3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spans="2:24" ht="15.75" customHeight="1" x14ac:dyDescent="0.3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spans="2:24" ht="15.75" customHeight="1" x14ac:dyDescent="0.3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spans="2:24" ht="15.75" customHeight="1" x14ac:dyDescent="0.3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spans="2:24" ht="15.75" customHeight="1" x14ac:dyDescent="0.3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spans="2:24" ht="15.75" customHeight="1" x14ac:dyDescent="0.3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spans="2:24" ht="15.75" customHeight="1" x14ac:dyDescent="0.3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spans="2:24" ht="15.75" customHeight="1" x14ac:dyDescent="0.3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spans="2:24" ht="15.75" customHeight="1" x14ac:dyDescent="0.3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spans="2:24" ht="15.75" customHeight="1" x14ac:dyDescent="0.3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spans="2:24" ht="15.75" customHeight="1" x14ac:dyDescent="0.3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spans="2:24" ht="15.75" customHeight="1" x14ac:dyDescent="0.3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spans="2:24" ht="15.75" customHeight="1" x14ac:dyDescent="0.3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spans="2:24" ht="15.75" customHeight="1" x14ac:dyDescent="0.3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spans="2:24" ht="15.75" customHeight="1" x14ac:dyDescent="0.3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spans="2:24" ht="15.75" customHeight="1" x14ac:dyDescent="0.3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spans="2:24" ht="15.75" customHeight="1" x14ac:dyDescent="0.3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spans="2:24" ht="15.75" customHeight="1" x14ac:dyDescent="0.3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spans="2:24" ht="15.75" customHeight="1" x14ac:dyDescent="0.3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spans="2:24" ht="15.75" customHeight="1" x14ac:dyDescent="0.3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spans="2:24" ht="15.75" customHeight="1" x14ac:dyDescent="0.3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spans="2:24" ht="15.75" customHeight="1" x14ac:dyDescent="0.3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spans="2:24" ht="15.75" customHeight="1" x14ac:dyDescent="0.3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spans="2:24" ht="15.75" customHeight="1" x14ac:dyDescent="0.3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spans="2:24" ht="15.75" customHeight="1" x14ac:dyDescent="0.3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spans="2:24" ht="15.75" customHeight="1" x14ac:dyDescent="0.3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spans="2:24" ht="15.75" customHeight="1" x14ac:dyDescent="0.3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spans="2:24" ht="15.75" customHeight="1" x14ac:dyDescent="0.3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spans="2:24" ht="15.75" customHeight="1" x14ac:dyDescent="0.3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spans="2:24" ht="15.75" customHeight="1" x14ac:dyDescent="0.3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spans="2:24" ht="15.75" customHeight="1" x14ac:dyDescent="0.3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spans="2:24" ht="15.75" customHeight="1" x14ac:dyDescent="0.3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spans="2:24" ht="15.75" customHeight="1" x14ac:dyDescent="0.3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spans="2:24" ht="15.75" customHeight="1" x14ac:dyDescent="0.3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spans="2:24" ht="15.75" customHeight="1" x14ac:dyDescent="0.3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spans="2:24" ht="15.75" customHeight="1" x14ac:dyDescent="0.3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spans="2:24" ht="15.75" customHeight="1" x14ac:dyDescent="0.3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spans="2:24" ht="15.75" customHeight="1" x14ac:dyDescent="0.3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spans="2:24" ht="15.75" customHeight="1" x14ac:dyDescent="0.3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spans="2:24" ht="15.75" customHeight="1" x14ac:dyDescent="0.3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spans="2:24" ht="15.75" customHeight="1" x14ac:dyDescent="0.3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spans="2:24" ht="15.75" customHeight="1" x14ac:dyDescent="0.3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spans="2:24" ht="15.75" customHeight="1" x14ac:dyDescent="0.3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spans="2:24" ht="15.75" customHeight="1" x14ac:dyDescent="0.3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spans="2:24" ht="15.75" customHeight="1" x14ac:dyDescent="0.3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spans="2:24" ht="15.75" customHeight="1" x14ac:dyDescent="0.3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spans="2:24" ht="15.75" customHeight="1" x14ac:dyDescent="0.3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spans="2:24" ht="15.75" customHeight="1" x14ac:dyDescent="0.3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spans="2:24" ht="15.75" customHeight="1" x14ac:dyDescent="0.3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spans="2:24" ht="15.75" customHeight="1" x14ac:dyDescent="0.3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spans="2:24" ht="15.75" customHeight="1" x14ac:dyDescent="0.3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spans="2:24" ht="15.75" customHeight="1" x14ac:dyDescent="0.3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spans="2:24" ht="15.75" customHeight="1" x14ac:dyDescent="0.3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spans="2:24" ht="15.75" customHeight="1" x14ac:dyDescent="0.3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spans="2:24" ht="15.75" customHeight="1" x14ac:dyDescent="0.3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spans="2:24" ht="15.75" customHeight="1" x14ac:dyDescent="0.3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spans="2:24" ht="15.75" customHeight="1" x14ac:dyDescent="0.3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spans="2:24" ht="15.75" customHeight="1" x14ac:dyDescent="0.3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spans="2:24" ht="15.75" customHeight="1" x14ac:dyDescent="0.3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spans="2:24" ht="15.75" customHeight="1" x14ac:dyDescent="0.3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spans="2:24" ht="15.75" customHeight="1" x14ac:dyDescent="0.3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spans="2:24" ht="15.75" customHeight="1" x14ac:dyDescent="0.3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spans="2:24" ht="15.75" customHeight="1" x14ac:dyDescent="0.3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spans="2:24" ht="15.75" customHeight="1" x14ac:dyDescent="0.3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spans="2:24" ht="15.75" customHeight="1" x14ac:dyDescent="0.3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spans="2:24" ht="15.75" customHeight="1" x14ac:dyDescent="0.3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spans="2:24" ht="15.75" customHeight="1" x14ac:dyDescent="0.3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spans="2:24" ht="15.75" customHeight="1" x14ac:dyDescent="0.3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spans="2:24" ht="15.75" customHeight="1" x14ac:dyDescent="0.3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spans="2:24" ht="15.75" customHeight="1" x14ac:dyDescent="0.3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spans="2:24" ht="15.75" customHeight="1" x14ac:dyDescent="0.3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spans="2:24" ht="15.75" customHeight="1" x14ac:dyDescent="0.3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spans="2:24" ht="15.75" customHeight="1" x14ac:dyDescent="0.3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spans="2:24" ht="15.75" customHeight="1" x14ac:dyDescent="0.3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spans="2:24" ht="15.75" customHeight="1" x14ac:dyDescent="0.3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spans="2:24" ht="15.75" customHeight="1" x14ac:dyDescent="0.3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spans="2:24" ht="15.75" customHeight="1" x14ac:dyDescent="0.3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spans="2:24" ht="15.75" customHeight="1" x14ac:dyDescent="0.3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spans="2:24" ht="15.75" customHeight="1" x14ac:dyDescent="0.3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spans="2:24" ht="15.75" customHeight="1" x14ac:dyDescent="0.3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spans="2:24" ht="15.75" customHeight="1" x14ac:dyDescent="0.3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spans="2:24" ht="15.75" customHeight="1" x14ac:dyDescent="0.3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spans="2:24" ht="15.75" customHeight="1" x14ac:dyDescent="0.3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spans="2:24" ht="15.75" customHeight="1" x14ac:dyDescent="0.3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spans="2:24" ht="15.75" customHeight="1" x14ac:dyDescent="0.3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spans="2:24" ht="15.75" customHeight="1" x14ac:dyDescent="0.3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spans="2:24" ht="15.75" customHeight="1" x14ac:dyDescent="0.3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spans="2:24" ht="15.75" customHeight="1" x14ac:dyDescent="0.3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spans="2:24" ht="15.75" customHeight="1" x14ac:dyDescent="0.3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spans="2:24" ht="15.75" customHeight="1" x14ac:dyDescent="0.3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spans="2:24" ht="15.75" customHeight="1" x14ac:dyDescent="0.3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spans="2:24" ht="15.75" customHeight="1" x14ac:dyDescent="0.3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spans="2:24" ht="15.75" customHeight="1" x14ac:dyDescent="0.3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spans="2:24" ht="15.75" customHeight="1" x14ac:dyDescent="0.3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spans="2:24" ht="15.75" customHeight="1" x14ac:dyDescent="0.3"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spans="2:24" ht="15.75" customHeight="1" x14ac:dyDescent="0.3"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spans="2:24" ht="15.75" customHeight="1" x14ac:dyDescent="0.3"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spans="2:24" ht="15.75" customHeight="1" x14ac:dyDescent="0.3"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spans="2:24" ht="15.75" customHeight="1" x14ac:dyDescent="0.3"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spans="2:24" ht="15.75" customHeight="1" x14ac:dyDescent="0.3"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spans="2:24" ht="15.75" customHeight="1" x14ac:dyDescent="0.3"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spans="2:24" ht="15.75" customHeight="1" x14ac:dyDescent="0.3"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spans="2:24" ht="15.75" customHeight="1" x14ac:dyDescent="0.3"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spans="2:24" ht="15.75" customHeight="1" x14ac:dyDescent="0.3"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spans="2:24" ht="15.75" customHeight="1" x14ac:dyDescent="0.3"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spans="2:24" ht="15.75" customHeight="1" x14ac:dyDescent="0.3"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spans="2:24" ht="15.75" customHeight="1" x14ac:dyDescent="0.3"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spans="2:24" ht="15.75" customHeight="1" x14ac:dyDescent="0.3"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spans="2:24" ht="15.75" customHeight="1" x14ac:dyDescent="0.3"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spans="2:24" ht="15.75" customHeight="1" x14ac:dyDescent="0.3"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spans="2:24" ht="15.75" customHeight="1" x14ac:dyDescent="0.3"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spans="2:24" ht="15.75" customHeight="1" x14ac:dyDescent="0.3"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spans="2:24" ht="15.75" customHeight="1" x14ac:dyDescent="0.3"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spans="2:24" ht="15.75" customHeight="1" x14ac:dyDescent="0.3"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spans="2:24" ht="15.75" customHeight="1" x14ac:dyDescent="0.3"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spans="2:24" ht="15.75" customHeight="1" x14ac:dyDescent="0.3"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spans="2:24" ht="15.75" customHeight="1" x14ac:dyDescent="0.3"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spans="2:24" ht="15.75" customHeight="1" x14ac:dyDescent="0.3"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spans="2:24" ht="15.75" customHeight="1" x14ac:dyDescent="0.3"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spans="2:24" ht="15.75" customHeight="1" x14ac:dyDescent="0.3"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spans="2:24" ht="15.75" customHeight="1" x14ac:dyDescent="0.3"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spans="2:24" ht="15.75" customHeight="1" x14ac:dyDescent="0.3"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spans="2:24" ht="15.75" customHeight="1" x14ac:dyDescent="0.3"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spans="2:24" ht="15.75" customHeight="1" x14ac:dyDescent="0.3"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spans="2:24" ht="15.75" customHeight="1" x14ac:dyDescent="0.3"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spans="2:24" ht="15.75" customHeight="1" x14ac:dyDescent="0.3"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spans="2:24" ht="15.75" customHeight="1" x14ac:dyDescent="0.3"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spans="2:24" ht="15.75" customHeight="1" x14ac:dyDescent="0.3"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spans="2:24" ht="15.75" customHeight="1" x14ac:dyDescent="0.3"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spans="2:24" ht="15.75" customHeight="1" x14ac:dyDescent="0.3"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spans="2:24" ht="15.75" customHeight="1" x14ac:dyDescent="0.3"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spans="2:24" ht="15.75" customHeight="1" x14ac:dyDescent="0.3"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spans="2:24" ht="15.75" customHeight="1" x14ac:dyDescent="0.3"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spans="2:24" ht="15.75" customHeight="1" x14ac:dyDescent="0.3"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spans="2:24" ht="15.75" customHeight="1" x14ac:dyDescent="0.3"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spans="2:24" ht="15.75" customHeight="1" x14ac:dyDescent="0.3"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spans="2:24" ht="15.75" customHeight="1" x14ac:dyDescent="0.3"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spans="2:24" ht="15.75" customHeight="1" x14ac:dyDescent="0.3"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spans="2:24" ht="15.75" customHeight="1" x14ac:dyDescent="0.3"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spans="2:24" ht="15.75" customHeight="1" x14ac:dyDescent="0.3"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spans="2:24" ht="15.75" customHeight="1" x14ac:dyDescent="0.3"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spans="2:24" ht="15.75" customHeight="1" x14ac:dyDescent="0.3"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spans="2:24" ht="15.75" customHeight="1" x14ac:dyDescent="0.3"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spans="2:24" ht="15.75" customHeight="1" x14ac:dyDescent="0.3"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spans="2:24" ht="15.75" customHeight="1" x14ac:dyDescent="0.3"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spans="2:24" ht="15.75" customHeight="1" x14ac:dyDescent="0.3"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spans="2:24" ht="15.75" customHeight="1" x14ac:dyDescent="0.3"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spans="2:24" ht="15.75" customHeight="1" x14ac:dyDescent="0.3"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spans="2:24" ht="15.75" customHeight="1" x14ac:dyDescent="0.3"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spans="2:24" ht="15.75" customHeight="1" x14ac:dyDescent="0.3"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spans="2:24" ht="15.75" customHeight="1" x14ac:dyDescent="0.3"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spans="2:24" ht="15.75" customHeight="1" x14ac:dyDescent="0.3"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spans="2:24" ht="15.75" customHeight="1" x14ac:dyDescent="0.3"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spans="2:24" ht="15.75" customHeight="1" x14ac:dyDescent="0.3"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spans="2:24" ht="15.75" customHeight="1" x14ac:dyDescent="0.3"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spans="2:24" ht="15.75" customHeight="1" x14ac:dyDescent="0.3"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spans="2:24" ht="15.75" customHeight="1" x14ac:dyDescent="0.3"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spans="2:24" ht="15.75" customHeight="1" x14ac:dyDescent="0.3"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spans="2:24" ht="15.75" customHeight="1" x14ac:dyDescent="0.3"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spans="2:24" ht="15.75" customHeight="1" x14ac:dyDescent="0.3"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spans="2:24" ht="15.75" customHeight="1" x14ac:dyDescent="0.3"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spans="2:24" ht="15.75" customHeight="1" x14ac:dyDescent="0.3"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spans="2:24" ht="15.75" customHeight="1" x14ac:dyDescent="0.3"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spans="2:24" ht="15.75" customHeight="1" x14ac:dyDescent="0.3"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spans="2:24" ht="15.75" customHeight="1" x14ac:dyDescent="0.3"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spans="2:24" ht="15.75" customHeight="1" x14ac:dyDescent="0.3"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spans="2:24" ht="15.75" customHeight="1" x14ac:dyDescent="0.3"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spans="2:24" ht="15.75" customHeight="1" x14ac:dyDescent="0.3"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spans="2:24" ht="15.75" customHeight="1" x14ac:dyDescent="0.3"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spans="2:24" ht="15.75" customHeight="1" x14ac:dyDescent="0.3"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spans="2:24" ht="15.75" customHeight="1" x14ac:dyDescent="0.3"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spans="2:24" ht="15.75" customHeight="1" x14ac:dyDescent="0.3"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spans="2:24" ht="15.75" customHeight="1" x14ac:dyDescent="0.3"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spans="2:24" ht="15.75" customHeight="1" x14ac:dyDescent="0.3"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spans="2:24" ht="15.75" customHeight="1" x14ac:dyDescent="0.3"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spans="2:24" ht="15.75" customHeight="1" x14ac:dyDescent="0.3"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spans="2:24" ht="15.75" customHeight="1" x14ac:dyDescent="0.3"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spans="2:24" ht="15.75" customHeight="1" x14ac:dyDescent="0.3"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spans="2:24" ht="15.75" customHeight="1" x14ac:dyDescent="0.3"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spans="2:24" ht="15.75" customHeight="1" x14ac:dyDescent="0.3"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spans="2:24" ht="15.75" customHeight="1" x14ac:dyDescent="0.3"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spans="2:24" ht="15.75" customHeight="1" x14ac:dyDescent="0.3"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spans="2:24" ht="15.75" customHeight="1" x14ac:dyDescent="0.3"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spans="2:24" ht="15.75" customHeight="1" x14ac:dyDescent="0.3"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spans="2:24" ht="15.75" customHeight="1" x14ac:dyDescent="0.3"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spans="2:24" ht="15.75" customHeight="1" x14ac:dyDescent="0.3"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spans="2:24" ht="15.75" customHeight="1" x14ac:dyDescent="0.3"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spans="2:24" ht="15.75" customHeight="1" x14ac:dyDescent="0.3"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spans="2:24" ht="15.75" customHeight="1" x14ac:dyDescent="0.3"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spans="2:24" ht="15.75" customHeight="1" x14ac:dyDescent="0.3"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spans="2:24" ht="15.75" customHeight="1" x14ac:dyDescent="0.3"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spans="2:24" ht="15.75" customHeight="1" x14ac:dyDescent="0.3"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spans="2:24" ht="15.75" customHeight="1" x14ac:dyDescent="0.3"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spans="2:24" ht="15.75" customHeight="1" x14ac:dyDescent="0.3"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spans="2:24" ht="15.75" customHeight="1" x14ac:dyDescent="0.3"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spans="2:24" ht="15.75" customHeight="1" x14ac:dyDescent="0.3"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spans="2:24" ht="15.75" customHeight="1" x14ac:dyDescent="0.3"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spans="2:24" ht="15.75" customHeight="1" x14ac:dyDescent="0.3"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spans="2:24" ht="15.75" customHeight="1" x14ac:dyDescent="0.3"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spans="2:24" ht="15.75" customHeight="1" x14ac:dyDescent="0.3"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spans="2:24" ht="15.75" customHeight="1" x14ac:dyDescent="0.3"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spans="2:24" ht="15.75" customHeight="1" x14ac:dyDescent="0.3"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spans="2:24" ht="15.75" customHeight="1" x14ac:dyDescent="0.3"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spans="2:24" ht="15.75" customHeight="1" x14ac:dyDescent="0.3"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spans="2:24" ht="15.75" customHeight="1" x14ac:dyDescent="0.3"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spans="2:24" ht="15.75" customHeight="1" x14ac:dyDescent="0.3"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spans="2:24" ht="15.75" customHeight="1" x14ac:dyDescent="0.3"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spans="2:24" ht="15.75" customHeight="1" x14ac:dyDescent="0.3"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spans="2:24" ht="15.75" customHeight="1" x14ac:dyDescent="0.3"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spans="2:24" ht="15.75" customHeight="1" x14ac:dyDescent="0.3"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spans="2:24" ht="15.75" customHeight="1" x14ac:dyDescent="0.3"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spans="2:24" ht="15.75" customHeight="1" x14ac:dyDescent="0.3"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spans="2:24" ht="15.75" customHeight="1" x14ac:dyDescent="0.3"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spans="2:24" ht="15.75" customHeight="1" x14ac:dyDescent="0.3"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spans="2:24" ht="15.75" customHeight="1" x14ac:dyDescent="0.3"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spans="2:24" ht="15.75" customHeight="1" x14ac:dyDescent="0.3"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spans="2:24" ht="15.75" customHeight="1" x14ac:dyDescent="0.3"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spans="2:24" ht="15.75" customHeight="1" x14ac:dyDescent="0.3"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spans="2:24" ht="15.75" customHeight="1" x14ac:dyDescent="0.3"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spans="2:24" ht="15.75" customHeight="1" x14ac:dyDescent="0.3"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spans="2:24" ht="15.75" customHeight="1" x14ac:dyDescent="0.3"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spans="2:24" ht="15.75" customHeight="1" x14ac:dyDescent="0.3"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spans="2:24" ht="15.75" customHeight="1" x14ac:dyDescent="0.3"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spans="2:24" ht="15.75" customHeight="1" x14ac:dyDescent="0.3"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spans="2:24" ht="15.75" customHeight="1" x14ac:dyDescent="0.3"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spans="2:24" ht="15.75" customHeight="1" x14ac:dyDescent="0.3"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spans="2:24" ht="15.75" customHeight="1" x14ac:dyDescent="0.3"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spans="2:24" ht="15.75" customHeight="1" x14ac:dyDescent="0.3"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spans="2:24" ht="15.75" customHeight="1" x14ac:dyDescent="0.3"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spans="2:24" ht="15.75" customHeight="1" x14ac:dyDescent="0.3"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spans="2:24" ht="15.75" customHeight="1" x14ac:dyDescent="0.3"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spans="2:24" ht="15.75" customHeight="1" x14ac:dyDescent="0.3"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spans="2:24" ht="15.75" customHeight="1" x14ac:dyDescent="0.3"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spans="2:24" ht="15.75" customHeight="1" x14ac:dyDescent="0.3"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spans="2:24" ht="15.75" customHeight="1" x14ac:dyDescent="0.3"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spans="2:24" ht="15.75" customHeight="1" x14ac:dyDescent="0.3"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spans="2:24" ht="15.75" customHeight="1" x14ac:dyDescent="0.3"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spans="2:24" ht="15.75" customHeight="1" x14ac:dyDescent="0.3"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spans="2:24" ht="15.75" customHeight="1" x14ac:dyDescent="0.3"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spans="2:24" ht="15.75" customHeight="1" x14ac:dyDescent="0.3"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spans="2:24" ht="15.75" customHeight="1" x14ac:dyDescent="0.3"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spans="2:24" ht="15.75" customHeight="1" x14ac:dyDescent="0.3"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spans="2:24" ht="15.75" customHeight="1" x14ac:dyDescent="0.3"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spans="2:24" ht="15.75" customHeight="1" x14ac:dyDescent="0.3"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spans="2:24" ht="15.75" customHeight="1" x14ac:dyDescent="0.3"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spans="2:24" ht="15.75" customHeight="1" x14ac:dyDescent="0.3"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spans="2:24" ht="15.75" customHeight="1" x14ac:dyDescent="0.3"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spans="2:24" ht="15.75" customHeight="1" x14ac:dyDescent="0.3"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spans="2:24" ht="15.75" customHeight="1" x14ac:dyDescent="0.3"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spans="2:24" ht="15.75" customHeight="1" x14ac:dyDescent="0.3"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spans="2:24" ht="15.75" customHeight="1" x14ac:dyDescent="0.3"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spans="2:24" ht="15.75" customHeight="1" x14ac:dyDescent="0.3"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spans="2:24" ht="15.75" customHeight="1" x14ac:dyDescent="0.3"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spans="2:24" ht="15.75" customHeight="1" x14ac:dyDescent="0.3"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spans="2:24" ht="15.75" customHeight="1" x14ac:dyDescent="0.3"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spans="2:24" ht="15.75" customHeight="1" x14ac:dyDescent="0.3"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spans="2:24" ht="15.75" customHeight="1" x14ac:dyDescent="0.3"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spans="2:24" ht="15.75" customHeight="1" x14ac:dyDescent="0.3"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spans="2:24" ht="15.75" customHeight="1" x14ac:dyDescent="0.3"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spans="2:24" ht="15.75" customHeight="1" x14ac:dyDescent="0.3"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spans="2:24" ht="15.75" customHeight="1" x14ac:dyDescent="0.3"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spans="2:24" ht="15.75" customHeight="1" x14ac:dyDescent="0.3"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spans="2:24" ht="15.75" customHeight="1" x14ac:dyDescent="0.3"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spans="2:24" ht="15.75" customHeight="1" x14ac:dyDescent="0.3"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spans="2:24" ht="15.75" customHeight="1" x14ac:dyDescent="0.3"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spans="2:24" ht="15.75" customHeight="1" x14ac:dyDescent="0.3"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spans="2:24" ht="15.75" customHeight="1" x14ac:dyDescent="0.3"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spans="2:24" ht="15.75" customHeight="1" x14ac:dyDescent="0.3"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spans="2:24" ht="15.75" customHeight="1" x14ac:dyDescent="0.3"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spans="2:24" ht="15.75" customHeight="1" x14ac:dyDescent="0.3"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spans="2:24" ht="15.75" customHeight="1" x14ac:dyDescent="0.3"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spans="2:24" ht="15.75" customHeight="1" x14ac:dyDescent="0.3"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spans="2:24" ht="15.75" customHeight="1" x14ac:dyDescent="0.3"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spans="2:24" ht="15.75" customHeight="1" x14ac:dyDescent="0.3"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spans="2:24" ht="15.75" customHeight="1" x14ac:dyDescent="0.3"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spans="2:24" ht="15.75" customHeight="1" x14ac:dyDescent="0.3"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spans="2:24" ht="15.75" customHeight="1" x14ac:dyDescent="0.3"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spans="2:24" ht="15.75" customHeight="1" x14ac:dyDescent="0.3"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spans="2:24" ht="15.75" customHeight="1" x14ac:dyDescent="0.3"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spans="2:24" ht="15.75" customHeight="1" x14ac:dyDescent="0.3"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spans="2:24" ht="15.75" customHeight="1" x14ac:dyDescent="0.3"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spans="2:24" ht="15.75" customHeight="1" x14ac:dyDescent="0.3"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spans="2:24" ht="15.75" customHeight="1" x14ac:dyDescent="0.3"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spans="2:24" ht="15.75" customHeight="1" x14ac:dyDescent="0.3"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spans="2:24" ht="15.75" customHeight="1" x14ac:dyDescent="0.3"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spans="2:24" ht="15.75" customHeight="1" x14ac:dyDescent="0.3"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spans="2:24" ht="15.75" customHeight="1" x14ac:dyDescent="0.3"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spans="2:24" ht="15.75" customHeight="1" x14ac:dyDescent="0.3"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spans="2:24" ht="15.75" customHeight="1" x14ac:dyDescent="0.3"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spans="2:24" ht="15.75" customHeight="1" x14ac:dyDescent="0.3"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spans="2:24" ht="15.75" customHeight="1" x14ac:dyDescent="0.3"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spans="2:24" ht="15.75" customHeight="1" x14ac:dyDescent="0.3"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spans="2:24" ht="15.75" customHeight="1" x14ac:dyDescent="0.3"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spans="2:24" ht="15.75" customHeight="1" x14ac:dyDescent="0.3"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spans="2:24" ht="15.75" customHeight="1" x14ac:dyDescent="0.3"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spans="2:24" ht="15.75" customHeight="1" x14ac:dyDescent="0.3"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spans="2:24" ht="15.75" customHeight="1" x14ac:dyDescent="0.3"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spans="2:24" ht="15.75" customHeight="1" x14ac:dyDescent="0.3"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spans="2:24" ht="15.75" customHeight="1" x14ac:dyDescent="0.3"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spans="2:24" ht="15.75" customHeight="1" x14ac:dyDescent="0.3"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spans="2:24" ht="15.75" customHeight="1" x14ac:dyDescent="0.3"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spans="2:24" ht="15.75" customHeight="1" x14ac:dyDescent="0.3"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spans="2:24" ht="15.75" customHeight="1" x14ac:dyDescent="0.3"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spans="2:24" ht="15.75" customHeight="1" x14ac:dyDescent="0.3"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spans="2:24" ht="15.75" customHeight="1" x14ac:dyDescent="0.3"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spans="2:24" ht="15.75" customHeight="1" x14ac:dyDescent="0.3"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spans="2:24" ht="15.75" customHeight="1" x14ac:dyDescent="0.3"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spans="2:24" ht="15.75" customHeight="1" x14ac:dyDescent="0.3"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spans="2:24" ht="15.75" customHeight="1" x14ac:dyDescent="0.3"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spans="2:24" ht="15.75" customHeight="1" x14ac:dyDescent="0.3"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spans="2:24" ht="15.75" customHeight="1" x14ac:dyDescent="0.3"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spans="2:24" ht="15.75" customHeight="1" x14ac:dyDescent="0.3"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spans="2:24" ht="15.75" customHeight="1" x14ac:dyDescent="0.3"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spans="2:24" ht="15.75" customHeight="1" x14ac:dyDescent="0.3"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spans="2:24" ht="15.75" customHeight="1" x14ac:dyDescent="0.3"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spans="2:24" ht="15.75" customHeight="1" x14ac:dyDescent="0.3"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spans="2:24" ht="15.75" customHeight="1" x14ac:dyDescent="0.3"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spans="2:24" ht="15.75" customHeight="1" x14ac:dyDescent="0.3"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spans="2:24" ht="15.75" customHeight="1" x14ac:dyDescent="0.3"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spans="2:24" ht="15.75" customHeight="1" x14ac:dyDescent="0.3"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spans="2:24" ht="15.75" customHeight="1" x14ac:dyDescent="0.3"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spans="2:24" ht="15.75" customHeight="1" x14ac:dyDescent="0.3"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spans="2:24" ht="15.75" customHeight="1" x14ac:dyDescent="0.3"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spans="2:24" ht="15.75" customHeight="1" x14ac:dyDescent="0.3"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spans="2:24" ht="15.75" customHeight="1" x14ac:dyDescent="0.3"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spans="2:24" ht="15.75" customHeight="1" x14ac:dyDescent="0.3"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spans="2:24" ht="15.75" customHeight="1" x14ac:dyDescent="0.3"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spans="2:24" ht="15.75" customHeight="1" x14ac:dyDescent="0.3"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spans="2:24" ht="15.75" customHeight="1" x14ac:dyDescent="0.3"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spans="2:24" ht="15.75" customHeight="1" x14ac:dyDescent="0.3"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spans="2:24" ht="15.75" customHeight="1" x14ac:dyDescent="0.3"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spans="2:24" ht="15.75" customHeight="1" x14ac:dyDescent="0.3"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spans="2:24" ht="15.75" customHeight="1" x14ac:dyDescent="0.3"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spans="2:24" ht="15.75" customHeight="1" x14ac:dyDescent="0.3"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spans="2:24" ht="15.75" customHeight="1" x14ac:dyDescent="0.3"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spans="2:24" ht="15.75" customHeight="1" x14ac:dyDescent="0.3"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spans="2:24" ht="15.75" customHeight="1" x14ac:dyDescent="0.3"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spans="2:24" ht="15.75" customHeight="1" x14ac:dyDescent="0.3"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spans="2:24" ht="15.75" customHeight="1" x14ac:dyDescent="0.3"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spans="2:24" ht="15.75" customHeight="1" x14ac:dyDescent="0.3"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spans="2:24" ht="15.75" customHeight="1" x14ac:dyDescent="0.3"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spans="2:24" ht="15.75" customHeight="1" x14ac:dyDescent="0.3"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spans="2:24" ht="15.75" customHeight="1" x14ac:dyDescent="0.3"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spans="2:24" ht="15.75" customHeight="1" x14ac:dyDescent="0.3"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spans="2:24" ht="15.75" customHeight="1" x14ac:dyDescent="0.3"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spans="2:24" ht="15.75" customHeight="1" x14ac:dyDescent="0.3"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spans="2:24" ht="15.75" customHeight="1" x14ac:dyDescent="0.3"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spans="2:24" ht="15.75" customHeight="1" x14ac:dyDescent="0.3"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spans="2:24" ht="15.75" customHeight="1" x14ac:dyDescent="0.3"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spans="2:24" ht="15.75" customHeight="1" x14ac:dyDescent="0.3"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spans="2:24" ht="15.75" customHeight="1" x14ac:dyDescent="0.3"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spans="2:24" ht="15.75" customHeight="1" x14ac:dyDescent="0.3"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spans="2:24" ht="15.75" customHeight="1" x14ac:dyDescent="0.3"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spans="2:24" ht="15.75" customHeight="1" x14ac:dyDescent="0.3"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spans="2:24" ht="15.75" customHeight="1" x14ac:dyDescent="0.3"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spans="2:24" ht="15.75" customHeight="1" x14ac:dyDescent="0.3"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 spans="2:24" ht="15.75" customHeight="1" x14ac:dyDescent="0.3"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 spans="2:24" ht="15.75" customHeight="1" x14ac:dyDescent="0.3"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 spans="2:24" ht="15.75" customHeight="1" x14ac:dyDescent="0.3"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</sheetData>
  <mergeCells count="4">
    <mergeCell ref="C2:N2"/>
    <mergeCell ref="C3:N3"/>
    <mergeCell ref="P14:W16"/>
    <mergeCell ref="C312:N312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L1000"/>
  <sheetViews>
    <sheetView showGridLines="0" workbookViewId="0"/>
  </sheetViews>
  <sheetFormatPr baseColWidth="10" defaultColWidth="12.6640625" defaultRowHeight="15" customHeight="1" x14ac:dyDescent="0.3"/>
  <cols>
    <col min="1" max="1" width="5.6640625" customWidth="1"/>
    <col min="2" max="2" width="13" customWidth="1"/>
    <col min="3" max="3" width="37.77734375" customWidth="1"/>
    <col min="4" max="4" width="14.6640625" customWidth="1"/>
    <col min="5" max="5" width="30.77734375" customWidth="1"/>
    <col min="6" max="6" width="15.33203125" customWidth="1"/>
    <col min="7" max="7" width="16" customWidth="1"/>
    <col min="8" max="8" width="16.21875" customWidth="1"/>
    <col min="9" max="10" width="21.77734375" customWidth="1"/>
    <col min="11" max="11" width="24" customWidth="1"/>
    <col min="12" max="12" width="16" customWidth="1"/>
    <col min="13" max="26" width="10.6640625" customWidth="1"/>
  </cols>
  <sheetData>
    <row r="1" spans="2:12" ht="14.4" x14ac:dyDescent="0.3">
      <c r="I1" s="231" t="s">
        <v>776</v>
      </c>
      <c r="J1" s="177"/>
    </row>
    <row r="2" spans="2:12" ht="14.4" x14ac:dyDescent="0.3">
      <c r="H2" s="108" t="s">
        <v>32</v>
      </c>
      <c r="I2" s="231" t="s">
        <v>6</v>
      </c>
      <c r="J2" s="177"/>
      <c r="K2" s="109" t="s">
        <v>777</v>
      </c>
    </row>
    <row r="3" spans="2:12" ht="14.4" x14ac:dyDescent="0.3">
      <c r="B3" s="110" t="s">
        <v>778</v>
      </c>
      <c r="C3" s="110" t="s">
        <v>779</v>
      </c>
      <c r="D3" s="110" t="s">
        <v>780</v>
      </c>
      <c r="E3" s="110" t="s">
        <v>781</v>
      </c>
      <c r="F3" s="110" t="s">
        <v>782</v>
      </c>
      <c r="G3" s="111" t="s">
        <v>783</v>
      </c>
      <c r="H3" s="111" t="s">
        <v>784</v>
      </c>
      <c r="I3" s="112" t="s">
        <v>785</v>
      </c>
      <c r="J3" s="112" t="s">
        <v>786</v>
      </c>
      <c r="K3" s="113" t="s">
        <v>787</v>
      </c>
      <c r="L3" s="114" t="s">
        <v>788</v>
      </c>
    </row>
    <row r="4" spans="2:12" ht="14.4" x14ac:dyDescent="0.3">
      <c r="B4" s="115">
        <v>15</v>
      </c>
      <c r="C4" s="116" t="s">
        <v>789</v>
      </c>
      <c r="D4" s="116">
        <v>15101</v>
      </c>
      <c r="E4" s="116" t="s">
        <v>57</v>
      </c>
      <c r="F4" s="116" t="s">
        <v>680</v>
      </c>
      <c r="G4" s="117" t="s">
        <v>57</v>
      </c>
      <c r="H4" s="118" t="s">
        <v>790</v>
      </c>
      <c r="I4" s="119">
        <v>4</v>
      </c>
      <c r="J4" s="119">
        <v>2</v>
      </c>
      <c r="K4" s="120" t="s">
        <v>791</v>
      </c>
    </row>
    <row r="5" spans="2:12" ht="14.4" x14ac:dyDescent="0.3">
      <c r="B5" s="115">
        <v>15</v>
      </c>
      <c r="C5" s="116" t="s">
        <v>789</v>
      </c>
      <c r="D5" s="116">
        <v>15102</v>
      </c>
      <c r="E5" s="116" t="s">
        <v>682</v>
      </c>
      <c r="F5" s="116" t="s">
        <v>681</v>
      </c>
      <c r="G5" s="117" t="s">
        <v>57</v>
      </c>
      <c r="H5" s="118" t="s">
        <v>792</v>
      </c>
      <c r="I5" s="119">
        <v>7</v>
      </c>
      <c r="J5" s="119">
        <v>5</v>
      </c>
      <c r="K5" s="121" t="s">
        <v>791</v>
      </c>
    </row>
    <row r="6" spans="2:12" ht="14.4" x14ac:dyDescent="0.3">
      <c r="B6" s="115">
        <v>15</v>
      </c>
      <c r="C6" s="116" t="s">
        <v>789</v>
      </c>
      <c r="D6" s="116">
        <v>15202</v>
      </c>
      <c r="E6" s="116" t="s">
        <v>684</v>
      </c>
      <c r="F6" s="116" t="s">
        <v>683</v>
      </c>
      <c r="G6" s="117" t="s">
        <v>57</v>
      </c>
      <c r="H6" s="118" t="s">
        <v>792</v>
      </c>
      <c r="I6" s="119">
        <v>7</v>
      </c>
      <c r="J6" s="119">
        <v>5</v>
      </c>
      <c r="K6" s="121" t="s">
        <v>791</v>
      </c>
    </row>
    <row r="7" spans="2:12" ht="14.4" x14ac:dyDescent="0.3">
      <c r="B7" s="115">
        <v>15</v>
      </c>
      <c r="C7" s="116" t="s">
        <v>789</v>
      </c>
      <c r="D7" s="116">
        <v>15201</v>
      </c>
      <c r="E7" s="116" t="s">
        <v>686</v>
      </c>
      <c r="F7" s="116" t="s">
        <v>685</v>
      </c>
      <c r="G7" s="117" t="s">
        <v>57</v>
      </c>
      <c r="H7" s="118" t="s">
        <v>792</v>
      </c>
      <c r="I7" s="119">
        <v>7</v>
      </c>
      <c r="J7" s="119">
        <v>5</v>
      </c>
      <c r="K7" s="121" t="s">
        <v>791</v>
      </c>
    </row>
    <row r="8" spans="2:12" ht="14.4" x14ac:dyDescent="0.3">
      <c r="B8" s="115">
        <v>1</v>
      </c>
      <c r="C8" s="116" t="s">
        <v>793</v>
      </c>
      <c r="D8" s="116">
        <v>1107</v>
      </c>
      <c r="E8" s="116" t="s">
        <v>690</v>
      </c>
      <c r="F8" s="116" t="s">
        <v>689</v>
      </c>
      <c r="G8" s="117" t="s">
        <v>58</v>
      </c>
      <c r="H8" s="118" t="s">
        <v>794</v>
      </c>
      <c r="I8" s="119">
        <v>4</v>
      </c>
      <c r="J8" s="119">
        <v>3</v>
      </c>
      <c r="K8" s="121" t="s">
        <v>791</v>
      </c>
    </row>
    <row r="9" spans="2:12" ht="14.4" x14ac:dyDescent="0.3">
      <c r="B9" s="115">
        <v>1</v>
      </c>
      <c r="C9" s="116" t="s">
        <v>793</v>
      </c>
      <c r="D9" s="116">
        <v>1402</v>
      </c>
      <c r="E9" s="116" t="s">
        <v>692</v>
      </c>
      <c r="F9" s="116" t="s">
        <v>691</v>
      </c>
      <c r="G9" s="117" t="s">
        <v>58</v>
      </c>
      <c r="H9" s="118" t="s">
        <v>792</v>
      </c>
      <c r="I9" s="119">
        <v>6</v>
      </c>
      <c r="J9" s="119">
        <v>5</v>
      </c>
      <c r="K9" s="121" t="s">
        <v>791</v>
      </c>
    </row>
    <row r="10" spans="2:12" ht="14.4" x14ac:dyDescent="0.3">
      <c r="B10" s="115">
        <v>1</v>
      </c>
      <c r="C10" s="116" t="s">
        <v>793</v>
      </c>
      <c r="D10" s="116">
        <v>1403</v>
      </c>
      <c r="E10" s="116" t="s">
        <v>694</v>
      </c>
      <c r="F10" s="116" t="s">
        <v>693</v>
      </c>
      <c r="G10" s="117" t="s">
        <v>58</v>
      </c>
      <c r="H10" s="118" t="s">
        <v>792</v>
      </c>
      <c r="I10" s="119">
        <v>6</v>
      </c>
      <c r="J10" s="119">
        <v>5</v>
      </c>
      <c r="K10" s="121" t="s">
        <v>791</v>
      </c>
    </row>
    <row r="11" spans="2:12" ht="14.4" x14ac:dyDescent="0.3">
      <c r="B11" s="115">
        <v>1</v>
      </c>
      <c r="C11" s="116" t="s">
        <v>793</v>
      </c>
      <c r="D11" s="116">
        <v>1404</v>
      </c>
      <c r="E11" s="116" t="s">
        <v>696</v>
      </c>
      <c r="F11" s="116" t="s">
        <v>695</v>
      </c>
      <c r="G11" s="117" t="s">
        <v>58</v>
      </c>
      <c r="H11" s="118" t="s">
        <v>795</v>
      </c>
      <c r="I11" s="119">
        <v>5</v>
      </c>
      <c r="J11" s="119">
        <v>4</v>
      </c>
      <c r="K11" s="121" t="s">
        <v>791</v>
      </c>
    </row>
    <row r="12" spans="2:12" ht="14.4" x14ac:dyDescent="0.3">
      <c r="B12" s="115">
        <v>1</v>
      </c>
      <c r="C12" s="116" t="s">
        <v>793</v>
      </c>
      <c r="D12" s="116">
        <v>1101</v>
      </c>
      <c r="E12" s="116" t="s">
        <v>58</v>
      </c>
      <c r="F12" s="116" t="s">
        <v>688</v>
      </c>
      <c r="G12" s="117" t="s">
        <v>58</v>
      </c>
      <c r="H12" s="118" t="s">
        <v>790</v>
      </c>
      <c r="I12" s="119">
        <v>3</v>
      </c>
      <c r="J12" s="119">
        <v>2</v>
      </c>
      <c r="K12" s="121" t="s">
        <v>791</v>
      </c>
    </row>
    <row r="13" spans="2:12" ht="14.4" x14ac:dyDescent="0.3">
      <c r="B13" s="115">
        <v>1</v>
      </c>
      <c r="C13" s="116" t="s">
        <v>793</v>
      </c>
      <c r="D13" s="116">
        <v>1405</v>
      </c>
      <c r="E13" s="116" t="s">
        <v>698</v>
      </c>
      <c r="F13" s="116" t="s">
        <v>697</v>
      </c>
      <c r="G13" s="117" t="s">
        <v>58</v>
      </c>
      <c r="H13" s="118" t="s">
        <v>795</v>
      </c>
      <c r="I13" s="119">
        <v>5</v>
      </c>
      <c r="J13" s="119">
        <v>4</v>
      </c>
      <c r="K13" s="121" t="s">
        <v>791</v>
      </c>
    </row>
    <row r="14" spans="2:12" ht="14.4" x14ac:dyDescent="0.3">
      <c r="B14" s="115">
        <v>1</v>
      </c>
      <c r="C14" s="116" t="s">
        <v>793</v>
      </c>
      <c r="D14" s="116">
        <v>1401</v>
      </c>
      <c r="E14" s="116" t="s">
        <v>700</v>
      </c>
      <c r="F14" s="116" t="s">
        <v>699</v>
      </c>
      <c r="G14" s="117" t="s">
        <v>58</v>
      </c>
      <c r="H14" s="118" t="s">
        <v>795</v>
      </c>
      <c r="I14" s="119">
        <v>5</v>
      </c>
      <c r="J14" s="119">
        <v>4</v>
      </c>
      <c r="K14" s="121" t="s">
        <v>791</v>
      </c>
    </row>
    <row r="15" spans="2:12" ht="14.4" x14ac:dyDescent="0.3">
      <c r="B15" s="115">
        <v>2</v>
      </c>
      <c r="C15" s="116" t="s">
        <v>796</v>
      </c>
      <c r="D15" s="116">
        <v>2101</v>
      </c>
      <c r="E15" s="116" t="s">
        <v>60</v>
      </c>
      <c r="F15" s="116" t="s">
        <v>702</v>
      </c>
      <c r="G15" s="117" t="s">
        <v>60</v>
      </c>
      <c r="H15" s="118" t="s">
        <v>790</v>
      </c>
      <c r="I15" s="119">
        <v>3</v>
      </c>
      <c r="J15" s="119">
        <v>2</v>
      </c>
      <c r="K15" s="121" t="s">
        <v>791</v>
      </c>
    </row>
    <row r="16" spans="2:12" ht="14.4" x14ac:dyDescent="0.3">
      <c r="B16" s="115">
        <v>2</v>
      </c>
      <c r="C16" s="116" t="s">
        <v>796</v>
      </c>
      <c r="D16" s="116">
        <v>2201</v>
      </c>
      <c r="E16" s="116" t="s">
        <v>59</v>
      </c>
      <c r="F16" s="116" t="s">
        <v>703</v>
      </c>
      <c r="G16" s="117" t="s">
        <v>59</v>
      </c>
      <c r="H16" s="118" t="s">
        <v>790</v>
      </c>
      <c r="I16" s="119">
        <v>3</v>
      </c>
      <c r="J16" s="119">
        <v>2</v>
      </c>
      <c r="K16" s="121" t="s">
        <v>791</v>
      </c>
    </row>
    <row r="17" spans="2:11" ht="14.4" x14ac:dyDescent="0.3">
      <c r="B17" s="115">
        <v>2</v>
      </c>
      <c r="C17" s="116" t="s">
        <v>796</v>
      </c>
      <c r="D17" s="116">
        <v>2302</v>
      </c>
      <c r="E17" s="116" t="s">
        <v>705</v>
      </c>
      <c r="F17" s="116" t="s">
        <v>704</v>
      </c>
      <c r="G17" s="117" t="s">
        <v>60</v>
      </c>
      <c r="H17" s="118" t="s">
        <v>795</v>
      </c>
      <c r="I17" s="119">
        <v>5</v>
      </c>
      <c r="J17" s="119">
        <v>4</v>
      </c>
      <c r="K17" s="121" t="s">
        <v>791</v>
      </c>
    </row>
    <row r="18" spans="2:11" ht="14.4" x14ac:dyDescent="0.3">
      <c r="B18" s="115">
        <v>2</v>
      </c>
      <c r="C18" s="116" t="s">
        <v>796</v>
      </c>
      <c r="D18" s="116">
        <v>2102</v>
      </c>
      <c r="E18" s="116" t="s">
        <v>707</v>
      </c>
      <c r="F18" s="116" t="s">
        <v>706</v>
      </c>
      <c r="G18" s="117" t="s">
        <v>60</v>
      </c>
      <c r="H18" s="118" t="s">
        <v>795</v>
      </c>
      <c r="I18" s="119">
        <v>5</v>
      </c>
      <c r="J18" s="119">
        <v>4</v>
      </c>
      <c r="K18" s="121" t="s">
        <v>791</v>
      </c>
    </row>
    <row r="19" spans="2:11" ht="14.4" x14ac:dyDescent="0.3">
      <c r="B19" s="115">
        <v>2</v>
      </c>
      <c r="C19" s="116" t="s">
        <v>796</v>
      </c>
      <c r="D19" s="116">
        <v>2202</v>
      </c>
      <c r="E19" s="116" t="s">
        <v>709</v>
      </c>
      <c r="F19" s="116" t="s">
        <v>708</v>
      </c>
      <c r="G19" s="117" t="s">
        <v>59</v>
      </c>
      <c r="H19" s="118" t="s">
        <v>792</v>
      </c>
      <c r="I19" s="119">
        <v>6</v>
      </c>
      <c r="J19" s="119">
        <v>5</v>
      </c>
      <c r="K19" s="121" t="s">
        <v>791</v>
      </c>
    </row>
    <row r="20" spans="2:11" ht="14.4" x14ac:dyDescent="0.3">
      <c r="B20" s="115">
        <v>2</v>
      </c>
      <c r="C20" s="116" t="s">
        <v>796</v>
      </c>
      <c r="D20" s="116">
        <v>2203</v>
      </c>
      <c r="E20" s="116" t="s">
        <v>711</v>
      </c>
      <c r="F20" s="116" t="s">
        <v>710</v>
      </c>
      <c r="G20" s="117" t="s">
        <v>59</v>
      </c>
      <c r="H20" s="118" t="s">
        <v>795</v>
      </c>
      <c r="I20" s="119">
        <v>5</v>
      </c>
      <c r="J20" s="119">
        <v>4</v>
      </c>
      <c r="K20" s="121" t="s">
        <v>791</v>
      </c>
    </row>
    <row r="21" spans="2:11" ht="15.75" customHeight="1" x14ac:dyDescent="0.3">
      <c r="B21" s="115">
        <v>2</v>
      </c>
      <c r="C21" s="116" t="s">
        <v>796</v>
      </c>
      <c r="D21" s="116">
        <v>2103</v>
      </c>
      <c r="E21" s="116" t="s">
        <v>713</v>
      </c>
      <c r="F21" s="116" t="s">
        <v>712</v>
      </c>
      <c r="G21" s="117" t="s">
        <v>59</v>
      </c>
      <c r="H21" s="118" t="s">
        <v>795</v>
      </c>
      <c r="I21" s="119">
        <v>5</v>
      </c>
      <c r="J21" s="119">
        <v>4</v>
      </c>
      <c r="K21" s="121" t="s">
        <v>791</v>
      </c>
    </row>
    <row r="22" spans="2:11" ht="15.75" customHeight="1" x14ac:dyDescent="0.3">
      <c r="B22" s="115">
        <v>2</v>
      </c>
      <c r="C22" s="116" t="s">
        <v>796</v>
      </c>
      <c r="D22" s="116">
        <v>2104</v>
      </c>
      <c r="E22" s="116" t="s">
        <v>715</v>
      </c>
      <c r="F22" s="116" t="s">
        <v>714</v>
      </c>
      <c r="G22" s="117" t="s">
        <v>60</v>
      </c>
      <c r="H22" s="118" t="s">
        <v>795</v>
      </c>
      <c r="I22" s="119">
        <v>5</v>
      </c>
      <c r="J22" s="119">
        <v>4</v>
      </c>
      <c r="K22" s="121" t="s">
        <v>791</v>
      </c>
    </row>
    <row r="23" spans="2:11" ht="15.75" customHeight="1" x14ac:dyDescent="0.3">
      <c r="B23" s="115">
        <v>2</v>
      </c>
      <c r="C23" s="116" t="s">
        <v>796</v>
      </c>
      <c r="D23" s="116">
        <v>2301</v>
      </c>
      <c r="E23" s="116" t="s">
        <v>717</v>
      </c>
      <c r="F23" s="116" t="s">
        <v>716</v>
      </c>
      <c r="G23" s="117" t="s">
        <v>60</v>
      </c>
      <c r="H23" s="118" t="s">
        <v>795</v>
      </c>
      <c r="I23" s="119">
        <v>5</v>
      </c>
      <c r="J23" s="119">
        <v>4</v>
      </c>
      <c r="K23" s="121" t="s">
        <v>791</v>
      </c>
    </row>
    <row r="24" spans="2:11" ht="15.75" customHeight="1" x14ac:dyDescent="0.3">
      <c r="B24" s="115">
        <v>3</v>
      </c>
      <c r="C24" s="116" t="s">
        <v>797</v>
      </c>
      <c r="D24" s="116">
        <v>3302</v>
      </c>
      <c r="E24" s="116" t="s">
        <v>180</v>
      </c>
      <c r="F24" s="116" t="s">
        <v>179</v>
      </c>
      <c r="G24" s="117" t="s">
        <v>22</v>
      </c>
      <c r="H24" s="118" t="s">
        <v>794</v>
      </c>
      <c r="I24" s="119">
        <v>4</v>
      </c>
      <c r="J24" s="119">
        <v>3</v>
      </c>
      <c r="K24" s="121" t="s">
        <v>791</v>
      </c>
    </row>
    <row r="25" spans="2:11" ht="15.75" customHeight="1" x14ac:dyDescent="0.3">
      <c r="B25" s="115">
        <v>3</v>
      </c>
      <c r="C25" s="116" t="s">
        <v>797</v>
      </c>
      <c r="D25" s="116">
        <v>3102</v>
      </c>
      <c r="E25" s="116" t="s">
        <v>184</v>
      </c>
      <c r="F25" s="116" t="s">
        <v>183</v>
      </c>
      <c r="G25" s="117" t="s">
        <v>20</v>
      </c>
      <c r="H25" s="118" t="s">
        <v>794</v>
      </c>
      <c r="I25" s="119">
        <v>3</v>
      </c>
      <c r="J25" s="119">
        <v>2</v>
      </c>
      <c r="K25" s="121" t="s">
        <v>791</v>
      </c>
    </row>
    <row r="26" spans="2:11" ht="15.75" customHeight="1" x14ac:dyDescent="0.3">
      <c r="B26" s="115">
        <v>3</v>
      </c>
      <c r="C26" s="116" t="s">
        <v>797</v>
      </c>
      <c r="D26" s="116">
        <v>3201</v>
      </c>
      <c r="E26" s="116" t="s">
        <v>186</v>
      </c>
      <c r="F26" s="116" t="s">
        <v>185</v>
      </c>
      <c r="G26" s="117" t="s">
        <v>20</v>
      </c>
      <c r="H26" s="118" t="s">
        <v>798</v>
      </c>
      <c r="I26" s="119">
        <v>5</v>
      </c>
      <c r="J26" s="119">
        <v>4</v>
      </c>
      <c r="K26" s="121" t="s">
        <v>791</v>
      </c>
    </row>
    <row r="27" spans="2:11" ht="15.75" customHeight="1" x14ac:dyDescent="0.3">
      <c r="B27" s="115">
        <v>3</v>
      </c>
      <c r="C27" s="116" t="s">
        <v>797</v>
      </c>
      <c r="D27" s="116">
        <v>3101</v>
      </c>
      <c r="E27" s="116" t="s">
        <v>20</v>
      </c>
      <c r="F27" s="116" t="s">
        <v>178</v>
      </c>
      <c r="G27" s="117" t="s">
        <v>20</v>
      </c>
      <c r="H27" s="118" t="s">
        <v>790</v>
      </c>
      <c r="I27" s="119">
        <v>2</v>
      </c>
      <c r="J27" s="119">
        <v>1</v>
      </c>
      <c r="K27" s="121" t="s">
        <v>791</v>
      </c>
    </row>
    <row r="28" spans="2:11" ht="15.75" customHeight="1" x14ac:dyDescent="0.3">
      <c r="B28" s="115">
        <v>3</v>
      </c>
      <c r="C28" s="116" t="s">
        <v>797</v>
      </c>
      <c r="D28" s="116">
        <v>3202</v>
      </c>
      <c r="E28" s="116" t="s">
        <v>188</v>
      </c>
      <c r="F28" s="116" t="s">
        <v>187</v>
      </c>
      <c r="G28" s="117" t="s">
        <v>20</v>
      </c>
      <c r="H28" s="118" t="s">
        <v>798</v>
      </c>
      <c r="I28" s="119">
        <v>5</v>
      </c>
      <c r="J28" s="119">
        <v>4</v>
      </c>
      <c r="K28" s="121" t="s">
        <v>791</v>
      </c>
    </row>
    <row r="29" spans="2:11" ht="15.75" customHeight="1" x14ac:dyDescent="0.3">
      <c r="B29" s="115">
        <v>3</v>
      </c>
      <c r="C29" s="116" t="s">
        <v>797</v>
      </c>
      <c r="D29" s="116">
        <v>3303</v>
      </c>
      <c r="E29" s="116" t="s">
        <v>190</v>
      </c>
      <c r="F29" s="116" t="s">
        <v>189</v>
      </c>
      <c r="G29" s="117" t="s">
        <v>22</v>
      </c>
      <c r="H29" s="118" t="s">
        <v>795</v>
      </c>
      <c r="I29" s="119">
        <v>4</v>
      </c>
      <c r="J29" s="119">
        <v>3</v>
      </c>
      <c r="K29" s="121" t="s">
        <v>791</v>
      </c>
    </row>
    <row r="30" spans="2:11" ht="15.75" customHeight="1" x14ac:dyDescent="0.3">
      <c r="B30" s="115">
        <v>3</v>
      </c>
      <c r="C30" s="116" t="s">
        <v>797</v>
      </c>
      <c r="D30" s="116">
        <v>3304</v>
      </c>
      <c r="E30" s="116" t="s">
        <v>182</v>
      </c>
      <c r="F30" s="116" t="s">
        <v>181</v>
      </c>
      <c r="G30" s="117" t="s">
        <v>22</v>
      </c>
      <c r="H30" s="118" t="s">
        <v>794</v>
      </c>
      <c r="I30" s="119">
        <v>3</v>
      </c>
      <c r="J30" s="119">
        <v>2</v>
      </c>
      <c r="K30" s="121" t="s">
        <v>791</v>
      </c>
    </row>
    <row r="31" spans="2:11" ht="15.75" customHeight="1" x14ac:dyDescent="0.3">
      <c r="B31" s="115">
        <v>3</v>
      </c>
      <c r="C31" s="116" t="s">
        <v>797</v>
      </c>
      <c r="D31" s="116">
        <v>3103</v>
      </c>
      <c r="E31" s="116" t="s">
        <v>192</v>
      </c>
      <c r="F31" s="116" t="s">
        <v>191</v>
      </c>
      <c r="G31" s="117" t="s">
        <v>20</v>
      </c>
      <c r="H31" s="118" t="s">
        <v>794</v>
      </c>
      <c r="I31" s="119">
        <v>3</v>
      </c>
      <c r="J31" s="119">
        <v>2</v>
      </c>
      <c r="K31" s="121" t="s">
        <v>791</v>
      </c>
    </row>
    <row r="32" spans="2:11" ht="15.75" customHeight="1" x14ac:dyDescent="0.3">
      <c r="B32" s="115">
        <v>3</v>
      </c>
      <c r="C32" s="116" t="s">
        <v>797</v>
      </c>
      <c r="D32" s="116">
        <v>3301</v>
      </c>
      <c r="E32" s="116" t="s">
        <v>194</v>
      </c>
      <c r="F32" s="116" t="s">
        <v>193</v>
      </c>
      <c r="G32" s="117" t="s">
        <v>22</v>
      </c>
      <c r="H32" s="118" t="s">
        <v>790</v>
      </c>
      <c r="I32" s="119">
        <v>2</v>
      </c>
      <c r="J32" s="119">
        <v>1</v>
      </c>
      <c r="K32" s="121" t="s">
        <v>791</v>
      </c>
    </row>
    <row r="33" spans="2:11" ht="15.75" customHeight="1" x14ac:dyDescent="0.3">
      <c r="B33" s="115">
        <v>4</v>
      </c>
      <c r="C33" s="116" t="s">
        <v>799</v>
      </c>
      <c r="D33" s="116">
        <v>4103</v>
      </c>
      <c r="E33" s="116" t="s">
        <v>199</v>
      </c>
      <c r="F33" s="116" t="s">
        <v>198</v>
      </c>
      <c r="G33" s="117" t="s">
        <v>22</v>
      </c>
      <c r="H33" s="118" t="s">
        <v>795</v>
      </c>
      <c r="I33" s="119">
        <v>4</v>
      </c>
      <c r="J33" s="119">
        <v>3</v>
      </c>
      <c r="K33" s="121" t="s">
        <v>791</v>
      </c>
    </row>
    <row r="34" spans="2:11" ht="15.75" customHeight="1" x14ac:dyDescent="0.3">
      <c r="B34" s="115">
        <v>4</v>
      </c>
      <c r="C34" s="116" t="s">
        <v>799</v>
      </c>
      <c r="D34" s="116">
        <v>4202</v>
      </c>
      <c r="E34" s="116" t="s">
        <v>201</v>
      </c>
      <c r="F34" s="116" t="s">
        <v>200</v>
      </c>
      <c r="G34" s="117" t="s">
        <v>26</v>
      </c>
      <c r="H34" s="118" t="s">
        <v>795</v>
      </c>
      <c r="I34" s="119">
        <v>4</v>
      </c>
      <c r="J34" s="119">
        <v>3</v>
      </c>
      <c r="K34" s="121" t="s">
        <v>791</v>
      </c>
    </row>
    <row r="35" spans="2:11" ht="15.75" customHeight="1" x14ac:dyDescent="0.3">
      <c r="B35" s="115">
        <v>4</v>
      </c>
      <c r="C35" s="116" t="s">
        <v>799</v>
      </c>
      <c r="D35" s="116">
        <v>4302</v>
      </c>
      <c r="E35" s="116" t="s">
        <v>203</v>
      </c>
      <c r="F35" s="116" t="s">
        <v>202</v>
      </c>
      <c r="G35" s="117" t="s">
        <v>24</v>
      </c>
      <c r="H35" s="118" t="s">
        <v>795</v>
      </c>
      <c r="I35" s="119">
        <v>4</v>
      </c>
      <c r="J35" s="119">
        <v>3</v>
      </c>
      <c r="K35" s="121" t="s">
        <v>791</v>
      </c>
    </row>
    <row r="36" spans="2:11" ht="15.75" customHeight="1" x14ac:dyDescent="0.3">
      <c r="B36" s="115">
        <v>4</v>
      </c>
      <c r="C36" s="116" t="s">
        <v>799</v>
      </c>
      <c r="D36" s="116">
        <v>4102</v>
      </c>
      <c r="E36" s="116" t="s">
        <v>197</v>
      </c>
      <c r="F36" s="116" t="s">
        <v>196</v>
      </c>
      <c r="G36" s="117" t="s">
        <v>22</v>
      </c>
      <c r="H36" s="118" t="s">
        <v>790</v>
      </c>
      <c r="I36" s="119">
        <v>2</v>
      </c>
      <c r="J36" s="119">
        <v>1</v>
      </c>
      <c r="K36" s="121" t="s">
        <v>791</v>
      </c>
    </row>
    <row r="37" spans="2:11" ht="15.75" customHeight="1" x14ac:dyDescent="0.3">
      <c r="B37" s="115">
        <v>4</v>
      </c>
      <c r="C37" s="116" t="s">
        <v>799</v>
      </c>
      <c r="D37" s="116">
        <v>4201</v>
      </c>
      <c r="E37" s="116" t="s">
        <v>205</v>
      </c>
      <c r="F37" s="116" t="s">
        <v>204</v>
      </c>
      <c r="G37" s="117" t="s">
        <v>26</v>
      </c>
      <c r="H37" s="118" t="s">
        <v>794</v>
      </c>
      <c r="I37" s="119">
        <v>3</v>
      </c>
      <c r="J37" s="119">
        <v>2</v>
      </c>
      <c r="K37" s="121" t="s">
        <v>791</v>
      </c>
    </row>
    <row r="38" spans="2:11" ht="15.75" customHeight="1" x14ac:dyDescent="0.3">
      <c r="B38" s="115">
        <v>4</v>
      </c>
      <c r="C38" s="116" t="s">
        <v>799</v>
      </c>
      <c r="D38" s="116">
        <v>4104</v>
      </c>
      <c r="E38" s="116" t="s">
        <v>208</v>
      </c>
      <c r="F38" s="116" t="s">
        <v>207</v>
      </c>
      <c r="G38" s="117" t="s">
        <v>22</v>
      </c>
      <c r="H38" s="118" t="s">
        <v>794</v>
      </c>
      <c r="I38" s="119">
        <v>3</v>
      </c>
      <c r="J38" s="119">
        <v>2</v>
      </c>
      <c r="K38" s="121" t="s">
        <v>791</v>
      </c>
    </row>
    <row r="39" spans="2:11" ht="15.75" customHeight="1" x14ac:dyDescent="0.3">
      <c r="B39" s="115">
        <v>4</v>
      </c>
      <c r="C39" s="116" t="s">
        <v>799</v>
      </c>
      <c r="D39" s="116">
        <v>4101</v>
      </c>
      <c r="E39" s="116" t="s">
        <v>22</v>
      </c>
      <c r="F39" s="116" t="s">
        <v>206</v>
      </c>
      <c r="G39" s="117" t="s">
        <v>22</v>
      </c>
      <c r="H39" s="118" t="s">
        <v>790</v>
      </c>
      <c r="I39" s="119">
        <v>2</v>
      </c>
      <c r="J39" s="119">
        <v>1</v>
      </c>
      <c r="K39" s="121" t="s">
        <v>791</v>
      </c>
    </row>
    <row r="40" spans="2:11" ht="15.75" customHeight="1" x14ac:dyDescent="0.3">
      <c r="B40" s="115">
        <v>4</v>
      </c>
      <c r="C40" s="116" t="s">
        <v>799</v>
      </c>
      <c r="D40" s="116">
        <v>4203</v>
      </c>
      <c r="E40" s="116" t="s">
        <v>210</v>
      </c>
      <c r="F40" s="116" t="s">
        <v>209</v>
      </c>
      <c r="G40" s="117" t="s">
        <v>26</v>
      </c>
      <c r="H40" s="118" t="s">
        <v>794</v>
      </c>
      <c r="I40" s="119">
        <v>3</v>
      </c>
      <c r="J40" s="119">
        <v>2</v>
      </c>
      <c r="K40" s="121" t="s">
        <v>791</v>
      </c>
    </row>
    <row r="41" spans="2:11" ht="15.75" customHeight="1" x14ac:dyDescent="0.3">
      <c r="B41" s="115">
        <v>4</v>
      </c>
      <c r="C41" s="116" t="s">
        <v>799</v>
      </c>
      <c r="D41" s="116">
        <v>4303</v>
      </c>
      <c r="E41" s="116" t="s">
        <v>212</v>
      </c>
      <c r="F41" s="116" t="s">
        <v>211</v>
      </c>
      <c r="G41" s="117" t="s">
        <v>24</v>
      </c>
      <c r="H41" s="118" t="s">
        <v>795</v>
      </c>
      <c r="I41" s="119">
        <v>4</v>
      </c>
      <c r="J41" s="119">
        <v>3</v>
      </c>
      <c r="K41" s="121" t="s">
        <v>791</v>
      </c>
    </row>
    <row r="42" spans="2:11" ht="15.75" customHeight="1" x14ac:dyDescent="0.3">
      <c r="B42" s="115">
        <v>4</v>
      </c>
      <c r="C42" s="116" t="s">
        <v>799</v>
      </c>
      <c r="D42" s="116">
        <v>4301</v>
      </c>
      <c r="E42" s="116" t="s">
        <v>24</v>
      </c>
      <c r="F42" s="116" t="s">
        <v>213</v>
      </c>
      <c r="G42" s="117" t="s">
        <v>24</v>
      </c>
      <c r="H42" s="118" t="s">
        <v>790</v>
      </c>
      <c r="I42" s="119">
        <v>2</v>
      </c>
      <c r="J42" s="119">
        <v>1</v>
      </c>
      <c r="K42" s="121" t="s">
        <v>791</v>
      </c>
    </row>
    <row r="43" spans="2:11" ht="15.75" customHeight="1" x14ac:dyDescent="0.3">
      <c r="B43" s="115">
        <v>4</v>
      </c>
      <c r="C43" s="116" t="s">
        <v>799</v>
      </c>
      <c r="D43" s="116">
        <v>4105</v>
      </c>
      <c r="E43" s="116" t="s">
        <v>215</v>
      </c>
      <c r="F43" s="116" t="s">
        <v>214</v>
      </c>
      <c r="G43" s="117" t="s">
        <v>22</v>
      </c>
      <c r="H43" s="118" t="s">
        <v>798</v>
      </c>
      <c r="I43" s="119">
        <v>5</v>
      </c>
      <c r="J43" s="119">
        <v>4</v>
      </c>
      <c r="K43" s="121" t="s">
        <v>791</v>
      </c>
    </row>
    <row r="44" spans="2:11" ht="15.75" customHeight="1" x14ac:dyDescent="0.3">
      <c r="B44" s="115">
        <v>4</v>
      </c>
      <c r="C44" s="116" t="s">
        <v>799</v>
      </c>
      <c r="D44" s="116">
        <v>4304</v>
      </c>
      <c r="E44" s="116" t="s">
        <v>217</v>
      </c>
      <c r="F44" s="116" t="s">
        <v>216</v>
      </c>
      <c r="G44" s="117" t="s">
        <v>24</v>
      </c>
      <c r="H44" s="118" t="s">
        <v>794</v>
      </c>
      <c r="I44" s="119">
        <v>3</v>
      </c>
      <c r="J44" s="119">
        <v>2</v>
      </c>
      <c r="K44" s="121" t="s">
        <v>791</v>
      </c>
    </row>
    <row r="45" spans="2:11" ht="15.75" customHeight="1" x14ac:dyDescent="0.3">
      <c r="B45" s="115">
        <v>4</v>
      </c>
      <c r="C45" s="116" t="s">
        <v>799</v>
      </c>
      <c r="D45" s="116">
        <v>4305</v>
      </c>
      <c r="E45" s="116" t="s">
        <v>219</v>
      </c>
      <c r="F45" s="116" t="s">
        <v>218</v>
      </c>
      <c r="G45" s="117" t="s">
        <v>24</v>
      </c>
      <c r="H45" s="118" t="s">
        <v>795</v>
      </c>
      <c r="I45" s="119">
        <v>4</v>
      </c>
      <c r="J45" s="119">
        <v>3</v>
      </c>
      <c r="K45" s="121" t="s">
        <v>791</v>
      </c>
    </row>
    <row r="46" spans="2:11" ht="15.75" customHeight="1" x14ac:dyDescent="0.3">
      <c r="B46" s="115">
        <v>4</v>
      </c>
      <c r="C46" s="116" t="s">
        <v>799</v>
      </c>
      <c r="D46" s="116">
        <v>4204</v>
      </c>
      <c r="E46" s="116" t="s">
        <v>221</v>
      </c>
      <c r="F46" s="116" t="s">
        <v>220</v>
      </c>
      <c r="G46" s="117" t="s">
        <v>26</v>
      </c>
      <c r="H46" s="118" t="s">
        <v>795</v>
      </c>
      <c r="I46" s="119">
        <v>4</v>
      </c>
      <c r="J46" s="119">
        <v>3</v>
      </c>
      <c r="K46" s="121" t="s">
        <v>791</v>
      </c>
    </row>
    <row r="47" spans="2:11" ht="15.75" customHeight="1" x14ac:dyDescent="0.3">
      <c r="B47" s="115">
        <v>4</v>
      </c>
      <c r="C47" s="116" t="s">
        <v>799</v>
      </c>
      <c r="D47" s="116">
        <v>4106</v>
      </c>
      <c r="E47" s="116" t="s">
        <v>223</v>
      </c>
      <c r="F47" s="116" t="s">
        <v>222</v>
      </c>
      <c r="G47" s="117" t="s">
        <v>22</v>
      </c>
      <c r="H47" s="118" t="s">
        <v>794</v>
      </c>
      <c r="I47" s="119">
        <v>3</v>
      </c>
      <c r="J47" s="119">
        <v>2</v>
      </c>
      <c r="K47" s="121" t="s">
        <v>791</v>
      </c>
    </row>
    <row r="48" spans="2:11" ht="15.75" customHeight="1" x14ac:dyDescent="0.3">
      <c r="B48" s="115">
        <v>5</v>
      </c>
      <c r="C48" s="116" t="s">
        <v>800</v>
      </c>
      <c r="D48" s="116">
        <v>5602</v>
      </c>
      <c r="E48" s="116" t="s">
        <v>227</v>
      </c>
      <c r="F48" s="116" t="s">
        <v>226</v>
      </c>
      <c r="G48" s="117" t="s">
        <v>34</v>
      </c>
      <c r="H48" s="118" t="s">
        <v>794</v>
      </c>
      <c r="I48" s="119">
        <v>3</v>
      </c>
      <c r="J48" s="119">
        <v>2</v>
      </c>
      <c r="K48" s="121" t="s">
        <v>791</v>
      </c>
    </row>
    <row r="49" spans="2:11" ht="15.75" customHeight="1" x14ac:dyDescent="0.3">
      <c r="B49" s="115">
        <v>5</v>
      </c>
      <c r="C49" s="116" t="s">
        <v>800</v>
      </c>
      <c r="D49" s="116">
        <v>5402</v>
      </c>
      <c r="E49" s="116" t="s">
        <v>229</v>
      </c>
      <c r="F49" s="116" t="s">
        <v>228</v>
      </c>
      <c r="G49" s="117" t="s">
        <v>26</v>
      </c>
      <c r="H49" s="118" t="s">
        <v>794</v>
      </c>
      <c r="I49" s="119">
        <v>3</v>
      </c>
      <c r="J49" s="119">
        <v>2</v>
      </c>
      <c r="K49" s="121" t="s">
        <v>791</v>
      </c>
    </row>
    <row r="50" spans="2:11" ht="15.75" customHeight="1" x14ac:dyDescent="0.3">
      <c r="B50" s="115">
        <v>5</v>
      </c>
      <c r="C50" s="116" t="s">
        <v>800</v>
      </c>
      <c r="D50" s="116">
        <v>5502</v>
      </c>
      <c r="E50" s="116" t="s">
        <v>251</v>
      </c>
      <c r="F50" s="116" t="s">
        <v>250</v>
      </c>
      <c r="G50" s="117" t="s">
        <v>26</v>
      </c>
      <c r="H50" s="118" t="s">
        <v>790</v>
      </c>
      <c r="I50" s="119">
        <v>2</v>
      </c>
      <c r="J50" s="119">
        <v>1</v>
      </c>
      <c r="K50" s="121" t="s">
        <v>791</v>
      </c>
    </row>
    <row r="51" spans="2:11" ht="15.75" customHeight="1" x14ac:dyDescent="0.3">
      <c r="B51" s="115">
        <v>5</v>
      </c>
      <c r="C51" s="116" t="s">
        <v>800</v>
      </c>
      <c r="D51" s="116">
        <v>5302</v>
      </c>
      <c r="E51" s="116" t="s">
        <v>231</v>
      </c>
      <c r="F51" s="116" t="s">
        <v>230</v>
      </c>
      <c r="G51" s="117" t="s">
        <v>28</v>
      </c>
      <c r="H51" s="118" t="s">
        <v>794</v>
      </c>
      <c r="I51" s="119">
        <v>3</v>
      </c>
      <c r="J51" s="119">
        <v>2</v>
      </c>
      <c r="K51" s="121" t="s">
        <v>791</v>
      </c>
    </row>
    <row r="52" spans="2:11" ht="15.75" customHeight="1" x14ac:dyDescent="0.3">
      <c r="B52" s="115">
        <v>5</v>
      </c>
      <c r="C52" s="116" t="s">
        <v>800</v>
      </c>
      <c r="D52" s="116">
        <v>5603</v>
      </c>
      <c r="E52" s="116" t="s">
        <v>233</v>
      </c>
      <c r="F52" s="116" t="s">
        <v>232</v>
      </c>
      <c r="G52" s="117" t="s">
        <v>34</v>
      </c>
      <c r="H52" s="118" t="s">
        <v>794</v>
      </c>
      <c r="I52" s="119">
        <v>3</v>
      </c>
      <c r="J52" s="119">
        <v>2</v>
      </c>
      <c r="K52" s="121" t="s">
        <v>791</v>
      </c>
    </row>
    <row r="53" spans="2:11" ht="15.75" customHeight="1" x14ac:dyDescent="0.3">
      <c r="B53" s="115">
        <v>5</v>
      </c>
      <c r="C53" s="116" t="s">
        <v>800</v>
      </c>
      <c r="D53" s="116">
        <v>5102</v>
      </c>
      <c r="E53" s="116" t="s">
        <v>235</v>
      </c>
      <c r="F53" s="116" t="s">
        <v>234</v>
      </c>
      <c r="G53" s="117" t="s">
        <v>34</v>
      </c>
      <c r="H53" s="118" t="s">
        <v>794</v>
      </c>
      <c r="I53" s="119">
        <v>3</v>
      </c>
      <c r="J53" s="119">
        <v>2</v>
      </c>
      <c r="K53" s="121" t="s">
        <v>791</v>
      </c>
    </row>
    <row r="54" spans="2:11" ht="15.75" customHeight="1" x14ac:dyDescent="0.3">
      <c r="B54" s="115">
        <v>5</v>
      </c>
      <c r="C54" s="116" t="s">
        <v>800</v>
      </c>
      <c r="D54" s="116">
        <v>5702</v>
      </c>
      <c r="E54" s="116" t="s">
        <v>237</v>
      </c>
      <c r="F54" s="116" t="s">
        <v>236</v>
      </c>
      <c r="G54" s="117" t="s">
        <v>28</v>
      </c>
      <c r="H54" s="118" t="s">
        <v>794</v>
      </c>
      <c r="I54" s="119">
        <v>3</v>
      </c>
      <c r="J54" s="119">
        <v>2</v>
      </c>
      <c r="K54" s="121" t="s">
        <v>791</v>
      </c>
    </row>
    <row r="55" spans="2:11" ht="15.75" customHeight="1" x14ac:dyDescent="0.3">
      <c r="B55" s="115">
        <v>5</v>
      </c>
      <c r="C55" s="116" t="s">
        <v>800</v>
      </c>
      <c r="D55" s="116">
        <v>5103</v>
      </c>
      <c r="E55" s="116" t="s">
        <v>239</v>
      </c>
      <c r="F55" s="116" t="s">
        <v>238</v>
      </c>
      <c r="G55" s="117" t="s">
        <v>30</v>
      </c>
      <c r="H55" s="118" t="s">
        <v>790</v>
      </c>
      <c r="I55" s="119">
        <v>2</v>
      </c>
      <c r="J55" s="119">
        <v>1</v>
      </c>
      <c r="K55" s="121" t="s">
        <v>791</v>
      </c>
    </row>
    <row r="56" spans="2:11" ht="15.75" customHeight="1" x14ac:dyDescent="0.3">
      <c r="B56" s="115">
        <v>5</v>
      </c>
      <c r="C56" s="116" t="s">
        <v>800</v>
      </c>
      <c r="D56" s="116">
        <v>5604</v>
      </c>
      <c r="E56" s="116" t="s">
        <v>241</v>
      </c>
      <c r="F56" s="116" t="s">
        <v>240</v>
      </c>
      <c r="G56" s="117" t="s">
        <v>34</v>
      </c>
      <c r="H56" s="118" t="s">
        <v>794</v>
      </c>
      <c r="I56" s="119">
        <v>3</v>
      </c>
      <c r="J56" s="119">
        <v>2</v>
      </c>
      <c r="K56" s="121" t="s">
        <v>791</v>
      </c>
    </row>
    <row r="57" spans="2:11" ht="15.75" customHeight="1" x14ac:dyDescent="0.3">
      <c r="B57" s="115">
        <v>5</v>
      </c>
      <c r="C57" s="116" t="s">
        <v>800</v>
      </c>
      <c r="D57" s="116">
        <v>5605</v>
      </c>
      <c r="E57" s="116" t="s">
        <v>243</v>
      </c>
      <c r="F57" s="116" t="s">
        <v>242</v>
      </c>
      <c r="G57" s="117" t="s">
        <v>34</v>
      </c>
      <c r="H57" s="118" t="s">
        <v>794</v>
      </c>
      <c r="I57" s="119">
        <v>3</v>
      </c>
      <c r="J57" s="119">
        <v>2</v>
      </c>
      <c r="K57" s="121" t="s">
        <v>791</v>
      </c>
    </row>
    <row r="58" spans="2:11" ht="15.75" customHeight="1" x14ac:dyDescent="0.3">
      <c r="B58" s="115">
        <v>5</v>
      </c>
      <c r="C58" s="116" t="s">
        <v>800</v>
      </c>
      <c r="D58" s="116">
        <v>5503</v>
      </c>
      <c r="E58" s="116" t="s">
        <v>245</v>
      </c>
      <c r="F58" s="116" t="s">
        <v>244</v>
      </c>
      <c r="G58" s="117" t="s">
        <v>26</v>
      </c>
      <c r="H58" s="118" t="s">
        <v>794</v>
      </c>
      <c r="I58" s="119">
        <v>3</v>
      </c>
      <c r="J58" s="119">
        <v>2</v>
      </c>
      <c r="K58" s="121" t="s">
        <v>791</v>
      </c>
    </row>
    <row r="59" spans="2:11" ht="15.75" customHeight="1" x14ac:dyDescent="0.3">
      <c r="B59" s="115">
        <v>5</v>
      </c>
      <c r="C59" s="116" t="s">
        <v>800</v>
      </c>
      <c r="D59" s="116">
        <v>5201</v>
      </c>
      <c r="E59" s="116" t="s">
        <v>249</v>
      </c>
      <c r="F59" s="116" t="s">
        <v>248</v>
      </c>
      <c r="G59" s="117" t="s">
        <v>32</v>
      </c>
      <c r="H59" s="118" t="s">
        <v>792</v>
      </c>
      <c r="I59" s="119">
        <v>5</v>
      </c>
      <c r="J59" s="119">
        <v>4</v>
      </c>
      <c r="K59" s="121" t="s">
        <v>791</v>
      </c>
    </row>
    <row r="60" spans="2:11" ht="15.75" customHeight="1" x14ac:dyDescent="0.3">
      <c r="B60" s="115">
        <v>5</v>
      </c>
      <c r="C60" s="116" t="s">
        <v>800</v>
      </c>
      <c r="D60" s="116">
        <v>5104</v>
      </c>
      <c r="E60" s="116" t="s">
        <v>247</v>
      </c>
      <c r="F60" s="116" t="s">
        <v>246</v>
      </c>
      <c r="G60" s="117" t="s">
        <v>32</v>
      </c>
      <c r="H60" s="118" t="s">
        <v>792</v>
      </c>
      <c r="I60" s="119">
        <v>5</v>
      </c>
      <c r="J60" s="119">
        <v>4</v>
      </c>
      <c r="K60" s="121" t="s">
        <v>791</v>
      </c>
    </row>
    <row r="61" spans="2:11" ht="15.75" customHeight="1" x14ac:dyDescent="0.3">
      <c r="B61" s="115">
        <v>5</v>
      </c>
      <c r="C61" s="116" t="s">
        <v>800</v>
      </c>
      <c r="D61" s="116">
        <v>5504</v>
      </c>
      <c r="E61" s="116" t="s">
        <v>253</v>
      </c>
      <c r="F61" s="116" t="s">
        <v>252</v>
      </c>
      <c r="G61" s="117" t="s">
        <v>26</v>
      </c>
      <c r="H61" s="118" t="s">
        <v>790</v>
      </c>
      <c r="I61" s="119">
        <v>2</v>
      </c>
      <c r="J61" s="119">
        <v>1</v>
      </c>
      <c r="K61" s="121" t="s">
        <v>791</v>
      </c>
    </row>
    <row r="62" spans="2:11" ht="15.75" customHeight="1" x14ac:dyDescent="0.3">
      <c r="B62" s="115">
        <v>5</v>
      </c>
      <c r="C62" s="116" t="s">
        <v>800</v>
      </c>
      <c r="D62" s="116">
        <v>5401</v>
      </c>
      <c r="E62" s="116" t="s">
        <v>255</v>
      </c>
      <c r="F62" s="116" t="s">
        <v>254</v>
      </c>
      <c r="G62" s="117" t="s">
        <v>26</v>
      </c>
      <c r="H62" s="118" t="s">
        <v>794</v>
      </c>
      <c r="I62" s="119">
        <v>3</v>
      </c>
      <c r="J62" s="119">
        <v>2</v>
      </c>
      <c r="K62" s="121" t="s">
        <v>791</v>
      </c>
    </row>
    <row r="63" spans="2:11" ht="15.75" customHeight="1" x14ac:dyDescent="0.3">
      <c r="B63" s="115">
        <v>5</v>
      </c>
      <c r="C63" s="116" t="s">
        <v>800</v>
      </c>
      <c r="D63" s="116">
        <v>5505</v>
      </c>
      <c r="E63" s="116" t="s">
        <v>257</v>
      </c>
      <c r="F63" s="116" t="s">
        <v>256</v>
      </c>
      <c r="G63" s="117" t="s">
        <v>26</v>
      </c>
      <c r="H63" s="118" t="s">
        <v>794</v>
      </c>
      <c r="I63" s="119">
        <v>3</v>
      </c>
      <c r="J63" s="119">
        <v>2</v>
      </c>
      <c r="K63" s="121" t="s">
        <v>791</v>
      </c>
    </row>
    <row r="64" spans="2:11" ht="15.75" customHeight="1" x14ac:dyDescent="0.3">
      <c r="B64" s="115">
        <v>5</v>
      </c>
      <c r="C64" s="116" t="s">
        <v>800</v>
      </c>
      <c r="D64" s="116">
        <v>5703</v>
      </c>
      <c r="E64" s="116" t="s">
        <v>259</v>
      </c>
      <c r="F64" s="116" t="s">
        <v>258</v>
      </c>
      <c r="G64" s="117" t="s">
        <v>28</v>
      </c>
      <c r="H64" s="118" t="s">
        <v>794</v>
      </c>
      <c r="I64" s="119">
        <v>3</v>
      </c>
      <c r="J64" s="119">
        <v>2</v>
      </c>
      <c r="K64" s="121" t="s">
        <v>791</v>
      </c>
    </row>
    <row r="65" spans="2:11" ht="15.75" customHeight="1" x14ac:dyDescent="0.3">
      <c r="B65" s="115">
        <v>5</v>
      </c>
      <c r="C65" s="116" t="s">
        <v>800</v>
      </c>
      <c r="D65" s="116">
        <v>5301</v>
      </c>
      <c r="E65" s="116" t="s">
        <v>28</v>
      </c>
      <c r="F65" s="116" t="s">
        <v>260</v>
      </c>
      <c r="G65" s="117" t="s">
        <v>28</v>
      </c>
      <c r="H65" s="118" t="s">
        <v>790</v>
      </c>
      <c r="I65" s="119">
        <v>2</v>
      </c>
      <c r="J65" s="119">
        <v>1</v>
      </c>
      <c r="K65" s="121" t="s">
        <v>791</v>
      </c>
    </row>
    <row r="66" spans="2:11" ht="15.75" customHeight="1" x14ac:dyDescent="0.3">
      <c r="B66" s="115">
        <v>5</v>
      </c>
      <c r="C66" s="116" t="s">
        <v>800</v>
      </c>
      <c r="D66" s="116">
        <v>5506</v>
      </c>
      <c r="E66" s="116" t="s">
        <v>262</v>
      </c>
      <c r="F66" s="116" t="s">
        <v>261</v>
      </c>
      <c r="G66" s="117" t="s">
        <v>26</v>
      </c>
      <c r="H66" s="118" t="s">
        <v>794</v>
      </c>
      <c r="I66" s="119">
        <v>3</v>
      </c>
      <c r="J66" s="119">
        <v>2</v>
      </c>
      <c r="K66" s="121" t="s">
        <v>791</v>
      </c>
    </row>
    <row r="67" spans="2:11" ht="15.75" customHeight="1" x14ac:dyDescent="0.3">
      <c r="B67" s="115">
        <v>5</v>
      </c>
      <c r="C67" s="116" t="s">
        <v>800</v>
      </c>
      <c r="D67" s="116">
        <v>5507</v>
      </c>
      <c r="E67" s="116" t="s">
        <v>264</v>
      </c>
      <c r="F67" s="116" t="s">
        <v>263</v>
      </c>
      <c r="G67" s="117" t="s">
        <v>26</v>
      </c>
      <c r="H67" s="118" t="s">
        <v>794</v>
      </c>
      <c r="I67" s="119">
        <v>3</v>
      </c>
      <c r="J67" s="119">
        <v>2</v>
      </c>
      <c r="K67" s="121" t="s">
        <v>791</v>
      </c>
    </row>
    <row r="68" spans="2:11" ht="15.75" customHeight="1" x14ac:dyDescent="0.3">
      <c r="B68" s="115">
        <v>5</v>
      </c>
      <c r="C68" s="116" t="s">
        <v>800</v>
      </c>
      <c r="D68" s="116">
        <v>5704</v>
      </c>
      <c r="E68" s="116" t="s">
        <v>266</v>
      </c>
      <c r="F68" s="116" t="s">
        <v>265</v>
      </c>
      <c r="G68" s="117" t="s">
        <v>28</v>
      </c>
      <c r="H68" s="118" t="s">
        <v>794</v>
      </c>
      <c r="I68" s="119">
        <v>3</v>
      </c>
      <c r="J68" s="119">
        <v>2</v>
      </c>
      <c r="K68" s="121" t="s">
        <v>791</v>
      </c>
    </row>
    <row r="69" spans="2:11" ht="15.75" customHeight="1" x14ac:dyDescent="0.3">
      <c r="B69" s="115">
        <v>5</v>
      </c>
      <c r="C69" s="116" t="s">
        <v>800</v>
      </c>
      <c r="D69" s="116">
        <v>5403</v>
      </c>
      <c r="E69" s="116" t="s">
        <v>268</v>
      </c>
      <c r="F69" s="116" t="s">
        <v>267</v>
      </c>
      <c r="G69" s="117" t="s">
        <v>26</v>
      </c>
      <c r="H69" s="118" t="s">
        <v>794</v>
      </c>
      <c r="I69" s="119">
        <v>3</v>
      </c>
      <c r="J69" s="119">
        <v>2</v>
      </c>
      <c r="K69" s="121" t="s">
        <v>791</v>
      </c>
    </row>
    <row r="70" spans="2:11" ht="15.75" customHeight="1" x14ac:dyDescent="0.3">
      <c r="B70" s="115">
        <v>5</v>
      </c>
      <c r="C70" s="116" t="s">
        <v>800</v>
      </c>
      <c r="D70" s="116">
        <v>5404</v>
      </c>
      <c r="E70" s="116" t="s">
        <v>270</v>
      </c>
      <c r="F70" s="116" t="s">
        <v>269</v>
      </c>
      <c r="G70" s="117" t="s">
        <v>26</v>
      </c>
      <c r="H70" s="118" t="s">
        <v>795</v>
      </c>
      <c r="I70" s="119">
        <v>4</v>
      </c>
      <c r="J70" s="119">
        <v>3</v>
      </c>
      <c r="K70" s="121" t="s">
        <v>791</v>
      </c>
    </row>
    <row r="71" spans="2:11" ht="15.75" customHeight="1" x14ac:dyDescent="0.3">
      <c r="B71" s="115">
        <v>5</v>
      </c>
      <c r="C71" s="116" t="s">
        <v>800</v>
      </c>
      <c r="D71" s="116">
        <v>5105</v>
      </c>
      <c r="E71" s="116" t="s">
        <v>272</v>
      </c>
      <c r="F71" s="116" t="s">
        <v>271</v>
      </c>
      <c r="G71" s="117" t="s">
        <v>26</v>
      </c>
      <c r="H71" s="118" t="s">
        <v>794</v>
      </c>
      <c r="I71" s="119">
        <v>3</v>
      </c>
      <c r="J71" s="119">
        <v>2</v>
      </c>
      <c r="K71" s="121" t="s">
        <v>791</v>
      </c>
    </row>
    <row r="72" spans="2:11" ht="15.75" customHeight="1" x14ac:dyDescent="0.3">
      <c r="B72" s="115">
        <v>5</v>
      </c>
      <c r="C72" s="116" t="s">
        <v>800</v>
      </c>
      <c r="D72" s="116">
        <v>5705</v>
      </c>
      <c r="E72" s="116" t="s">
        <v>274</v>
      </c>
      <c r="F72" s="116" t="s">
        <v>273</v>
      </c>
      <c r="G72" s="117" t="s">
        <v>28</v>
      </c>
      <c r="H72" s="118" t="s">
        <v>794</v>
      </c>
      <c r="I72" s="119">
        <v>3</v>
      </c>
      <c r="J72" s="119">
        <v>2</v>
      </c>
      <c r="K72" s="121" t="s">
        <v>791</v>
      </c>
    </row>
    <row r="73" spans="2:11" ht="15.75" customHeight="1" x14ac:dyDescent="0.3">
      <c r="B73" s="115">
        <v>5</v>
      </c>
      <c r="C73" s="116" t="s">
        <v>800</v>
      </c>
      <c r="D73" s="116">
        <v>5501</v>
      </c>
      <c r="E73" s="116" t="s">
        <v>276</v>
      </c>
      <c r="F73" s="116" t="s">
        <v>275</v>
      </c>
      <c r="G73" s="117" t="s">
        <v>26</v>
      </c>
      <c r="H73" s="118" t="s">
        <v>790</v>
      </c>
      <c r="I73" s="119">
        <v>2</v>
      </c>
      <c r="J73" s="119">
        <v>1</v>
      </c>
      <c r="K73" s="121" t="s">
        <v>791</v>
      </c>
    </row>
    <row r="74" spans="2:11" ht="15.75" customHeight="1" x14ac:dyDescent="0.3">
      <c r="B74" s="115">
        <v>5</v>
      </c>
      <c r="C74" s="116" t="s">
        <v>800</v>
      </c>
      <c r="D74" s="116">
        <v>5106</v>
      </c>
      <c r="E74" s="116" t="s">
        <v>278</v>
      </c>
      <c r="F74" s="116" t="s">
        <v>277</v>
      </c>
      <c r="G74" s="117" t="s">
        <v>30</v>
      </c>
      <c r="H74" s="118" t="s">
        <v>794</v>
      </c>
      <c r="I74" s="119">
        <v>2</v>
      </c>
      <c r="J74" s="119">
        <v>1</v>
      </c>
      <c r="K74" s="121" t="s">
        <v>791</v>
      </c>
    </row>
    <row r="75" spans="2:11" ht="15.75" customHeight="1" x14ac:dyDescent="0.3">
      <c r="B75" s="115">
        <v>5</v>
      </c>
      <c r="C75" s="116" t="s">
        <v>800</v>
      </c>
      <c r="D75" s="116">
        <v>5107</v>
      </c>
      <c r="E75" s="116" t="s">
        <v>280</v>
      </c>
      <c r="F75" s="116" t="s">
        <v>279</v>
      </c>
      <c r="G75" s="117" t="s">
        <v>30</v>
      </c>
      <c r="H75" s="118" t="s">
        <v>794</v>
      </c>
      <c r="I75" s="119">
        <v>3</v>
      </c>
      <c r="J75" s="119">
        <v>2</v>
      </c>
      <c r="K75" s="121" t="s">
        <v>791</v>
      </c>
    </row>
    <row r="76" spans="2:11" ht="15.75" customHeight="1" x14ac:dyDescent="0.3">
      <c r="B76" s="115">
        <v>5</v>
      </c>
      <c r="C76" s="116" t="s">
        <v>800</v>
      </c>
      <c r="D76" s="116">
        <v>5303</v>
      </c>
      <c r="E76" s="116" t="s">
        <v>282</v>
      </c>
      <c r="F76" s="116" t="s">
        <v>281</v>
      </c>
      <c r="G76" s="117" t="s">
        <v>28</v>
      </c>
      <c r="H76" s="118" t="s">
        <v>794</v>
      </c>
      <c r="I76" s="119">
        <v>3</v>
      </c>
      <c r="J76" s="119">
        <v>2</v>
      </c>
      <c r="K76" s="121" t="s">
        <v>791</v>
      </c>
    </row>
    <row r="77" spans="2:11" ht="15.75" customHeight="1" x14ac:dyDescent="0.3">
      <c r="B77" s="115">
        <v>5</v>
      </c>
      <c r="C77" s="116" t="s">
        <v>800</v>
      </c>
      <c r="D77" s="116">
        <v>5601</v>
      </c>
      <c r="E77" s="116" t="s">
        <v>286</v>
      </c>
      <c r="F77" s="116" t="s">
        <v>285</v>
      </c>
      <c r="G77" s="117" t="s">
        <v>34</v>
      </c>
      <c r="H77" s="118" t="s">
        <v>794</v>
      </c>
      <c r="I77" s="119">
        <v>3</v>
      </c>
      <c r="J77" s="119">
        <v>2</v>
      </c>
      <c r="K77" s="121" t="s">
        <v>791</v>
      </c>
    </row>
    <row r="78" spans="2:11" ht="15.75" customHeight="1" x14ac:dyDescent="0.3">
      <c r="B78" s="115">
        <v>5</v>
      </c>
      <c r="C78" s="116" t="s">
        <v>800</v>
      </c>
      <c r="D78" s="116">
        <v>5304</v>
      </c>
      <c r="E78" s="116" t="s">
        <v>288</v>
      </c>
      <c r="F78" s="116" t="s">
        <v>287</v>
      </c>
      <c r="G78" s="117" t="s">
        <v>28</v>
      </c>
      <c r="H78" s="118" t="s">
        <v>794</v>
      </c>
      <c r="I78" s="119">
        <v>3</v>
      </c>
      <c r="J78" s="119">
        <v>2</v>
      </c>
      <c r="K78" s="121" t="s">
        <v>791</v>
      </c>
    </row>
    <row r="79" spans="2:11" ht="15.75" customHeight="1" x14ac:dyDescent="0.3">
      <c r="B79" s="115">
        <v>5</v>
      </c>
      <c r="C79" s="116" t="s">
        <v>800</v>
      </c>
      <c r="D79" s="116">
        <v>5701</v>
      </c>
      <c r="E79" s="116" t="s">
        <v>290</v>
      </c>
      <c r="F79" s="116" t="s">
        <v>289</v>
      </c>
      <c r="G79" s="117" t="s">
        <v>28</v>
      </c>
      <c r="H79" s="118" t="s">
        <v>794</v>
      </c>
      <c r="I79" s="119">
        <v>3</v>
      </c>
      <c r="J79" s="119">
        <v>2</v>
      </c>
      <c r="K79" s="121" t="s">
        <v>791</v>
      </c>
    </row>
    <row r="80" spans="2:11" ht="15.75" customHeight="1" x14ac:dyDescent="0.3">
      <c r="B80" s="115">
        <v>5</v>
      </c>
      <c r="C80" s="116" t="s">
        <v>800</v>
      </c>
      <c r="D80" s="116">
        <v>5706</v>
      </c>
      <c r="E80" s="116" t="s">
        <v>292</v>
      </c>
      <c r="F80" s="116" t="s">
        <v>291</v>
      </c>
      <c r="G80" s="117" t="s">
        <v>28</v>
      </c>
      <c r="H80" s="118" t="s">
        <v>794</v>
      </c>
      <c r="I80" s="119">
        <v>3</v>
      </c>
      <c r="J80" s="119">
        <v>2</v>
      </c>
      <c r="K80" s="121" t="s">
        <v>791</v>
      </c>
    </row>
    <row r="81" spans="2:11" ht="15.75" customHeight="1" x14ac:dyDescent="0.3">
      <c r="B81" s="115">
        <v>5</v>
      </c>
      <c r="C81" s="116" t="s">
        <v>800</v>
      </c>
      <c r="D81" s="116">
        <v>5606</v>
      </c>
      <c r="E81" s="116" t="s">
        <v>284</v>
      </c>
      <c r="F81" s="116" t="s">
        <v>283</v>
      </c>
      <c r="G81" s="117" t="s">
        <v>34</v>
      </c>
      <c r="H81" s="118" t="s">
        <v>794</v>
      </c>
      <c r="I81" s="119">
        <v>3</v>
      </c>
      <c r="J81" s="119">
        <v>2</v>
      </c>
      <c r="K81" s="121" t="s">
        <v>791</v>
      </c>
    </row>
    <row r="82" spans="2:11" ht="15.75" customHeight="1" x14ac:dyDescent="0.3">
      <c r="B82" s="115">
        <v>5</v>
      </c>
      <c r="C82" s="116" t="s">
        <v>800</v>
      </c>
      <c r="D82" s="116">
        <v>5101</v>
      </c>
      <c r="E82" s="116" t="s">
        <v>294</v>
      </c>
      <c r="F82" s="116" t="s">
        <v>293</v>
      </c>
      <c r="G82" s="117" t="s">
        <v>30</v>
      </c>
      <c r="H82" s="118" t="s">
        <v>790</v>
      </c>
      <c r="I82" s="119">
        <v>2</v>
      </c>
      <c r="J82" s="119">
        <v>1</v>
      </c>
      <c r="K82" s="121" t="s">
        <v>791</v>
      </c>
    </row>
    <row r="83" spans="2:11" ht="15.75" customHeight="1" x14ac:dyDescent="0.3">
      <c r="B83" s="115">
        <v>5</v>
      </c>
      <c r="C83" s="116" t="s">
        <v>800</v>
      </c>
      <c r="D83" s="116">
        <v>5108</v>
      </c>
      <c r="E83" s="116" t="s">
        <v>296</v>
      </c>
      <c r="F83" s="116" t="s">
        <v>295</v>
      </c>
      <c r="G83" s="117" t="s">
        <v>30</v>
      </c>
      <c r="H83" s="118" t="s">
        <v>794</v>
      </c>
      <c r="I83" s="119">
        <v>2</v>
      </c>
      <c r="J83" s="119">
        <v>1</v>
      </c>
      <c r="K83" s="121" t="s">
        <v>791</v>
      </c>
    </row>
    <row r="84" spans="2:11" ht="15.75" customHeight="1" x14ac:dyDescent="0.3">
      <c r="B84" s="115">
        <v>5</v>
      </c>
      <c r="C84" s="116" t="s">
        <v>800</v>
      </c>
      <c r="D84" s="116">
        <v>5109</v>
      </c>
      <c r="E84" s="116" t="s">
        <v>30</v>
      </c>
      <c r="F84" s="116" t="s">
        <v>225</v>
      </c>
      <c r="G84" s="117" t="s">
        <v>30</v>
      </c>
      <c r="H84" s="118" t="s">
        <v>790</v>
      </c>
      <c r="I84" s="119">
        <v>2</v>
      </c>
      <c r="J84" s="119">
        <v>1</v>
      </c>
      <c r="K84" s="121" t="s">
        <v>791</v>
      </c>
    </row>
    <row r="85" spans="2:11" ht="15.75" customHeight="1" x14ac:dyDescent="0.3">
      <c r="B85" s="115">
        <v>5</v>
      </c>
      <c r="C85" s="116" t="s">
        <v>800</v>
      </c>
      <c r="D85" s="116">
        <v>5405</v>
      </c>
      <c r="E85" s="116" t="s">
        <v>298</v>
      </c>
      <c r="F85" s="116" t="s">
        <v>297</v>
      </c>
      <c r="G85" s="117" t="s">
        <v>26</v>
      </c>
      <c r="H85" s="118" t="s">
        <v>794</v>
      </c>
      <c r="I85" s="119">
        <v>3</v>
      </c>
      <c r="J85" s="119">
        <v>2</v>
      </c>
      <c r="K85" s="121" t="s">
        <v>791</v>
      </c>
    </row>
    <row r="86" spans="2:11" ht="15.75" customHeight="1" x14ac:dyDescent="0.3">
      <c r="B86" s="115">
        <v>13</v>
      </c>
      <c r="C86" s="116" t="s">
        <v>801</v>
      </c>
      <c r="D86" s="116">
        <v>13502</v>
      </c>
      <c r="E86" s="116" t="s">
        <v>145</v>
      </c>
      <c r="F86" s="116" t="s">
        <v>144</v>
      </c>
      <c r="G86" s="117" t="s">
        <v>34</v>
      </c>
      <c r="H86" s="118" t="s">
        <v>794</v>
      </c>
      <c r="I86" s="119">
        <v>3</v>
      </c>
      <c r="J86" s="119">
        <v>2</v>
      </c>
      <c r="K86" s="121" t="s">
        <v>791</v>
      </c>
    </row>
    <row r="87" spans="2:11" ht="15.75" customHeight="1" x14ac:dyDescent="0.3">
      <c r="B87" s="115">
        <v>13</v>
      </c>
      <c r="C87" s="116" t="s">
        <v>801</v>
      </c>
      <c r="D87" s="116">
        <v>13402</v>
      </c>
      <c r="E87" s="116" t="s">
        <v>147</v>
      </c>
      <c r="F87" s="116" t="s">
        <v>146</v>
      </c>
      <c r="G87" s="117" t="s">
        <v>32</v>
      </c>
      <c r="H87" s="118" t="s">
        <v>794</v>
      </c>
      <c r="I87" s="119">
        <v>3</v>
      </c>
      <c r="J87" s="119">
        <v>2</v>
      </c>
      <c r="K87" s="121" t="s">
        <v>791</v>
      </c>
    </row>
    <row r="88" spans="2:11" ht="15.75" customHeight="1" x14ac:dyDescent="0.3">
      <c r="B88" s="115">
        <v>13</v>
      </c>
      <c r="C88" s="116" t="s">
        <v>801</v>
      </c>
      <c r="D88" s="116">
        <v>13403</v>
      </c>
      <c r="E88" s="116" t="s">
        <v>149</v>
      </c>
      <c r="F88" s="116" t="s">
        <v>148</v>
      </c>
      <c r="G88" s="117" t="s">
        <v>32</v>
      </c>
      <c r="H88" s="118" t="s">
        <v>794</v>
      </c>
      <c r="I88" s="119">
        <v>3</v>
      </c>
      <c r="J88" s="119">
        <v>2</v>
      </c>
      <c r="K88" s="121" t="s">
        <v>791</v>
      </c>
    </row>
    <row r="89" spans="2:11" ht="15.75" customHeight="1" x14ac:dyDescent="0.3">
      <c r="B89" s="115">
        <v>13</v>
      </c>
      <c r="C89" s="116" t="s">
        <v>801</v>
      </c>
      <c r="D89" s="116">
        <v>13102</v>
      </c>
      <c r="E89" s="116" t="s">
        <v>101</v>
      </c>
      <c r="F89" s="116" t="s">
        <v>100</v>
      </c>
      <c r="G89" s="117" t="s">
        <v>32</v>
      </c>
      <c r="H89" s="118" t="s">
        <v>790</v>
      </c>
      <c r="I89" s="119">
        <v>2</v>
      </c>
      <c r="J89" s="119">
        <v>1</v>
      </c>
      <c r="K89" s="121" t="s">
        <v>802</v>
      </c>
    </row>
    <row r="90" spans="2:11" ht="15.75" customHeight="1" x14ac:dyDescent="0.3">
      <c r="B90" s="115">
        <v>13</v>
      </c>
      <c r="C90" s="116" t="s">
        <v>801</v>
      </c>
      <c r="D90" s="116">
        <v>13103</v>
      </c>
      <c r="E90" s="116" t="s">
        <v>95</v>
      </c>
      <c r="F90" s="116" t="s">
        <v>94</v>
      </c>
      <c r="G90" s="117" t="s">
        <v>32</v>
      </c>
      <c r="H90" s="118" t="s">
        <v>790</v>
      </c>
      <c r="I90" s="119">
        <v>2</v>
      </c>
      <c r="J90" s="119">
        <v>1</v>
      </c>
      <c r="K90" s="121" t="s">
        <v>802</v>
      </c>
    </row>
    <row r="91" spans="2:11" ht="15.75" customHeight="1" x14ac:dyDescent="0.3">
      <c r="B91" s="115">
        <v>13</v>
      </c>
      <c r="C91" s="116" t="s">
        <v>801</v>
      </c>
      <c r="D91" s="116">
        <v>13301</v>
      </c>
      <c r="E91" s="116" t="s">
        <v>151</v>
      </c>
      <c r="F91" s="116" t="s">
        <v>150</v>
      </c>
      <c r="G91" s="117" t="s">
        <v>32</v>
      </c>
      <c r="H91" s="118" t="s">
        <v>794</v>
      </c>
      <c r="I91" s="119">
        <v>2</v>
      </c>
      <c r="J91" s="119">
        <v>1</v>
      </c>
      <c r="K91" s="121" t="s">
        <v>802</v>
      </c>
    </row>
    <row r="92" spans="2:11" ht="15.75" customHeight="1" x14ac:dyDescent="0.3">
      <c r="B92" s="115">
        <v>13</v>
      </c>
      <c r="C92" s="116" t="s">
        <v>801</v>
      </c>
      <c r="D92" s="116">
        <v>13104</v>
      </c>
      <c r="E92" s="116" t="s">
        <v>91</v>
      </c>
      <c r="F92" s="116" t="s">
        <v>90</v>
      </c>
      <c r="G92" s="117" t="s">
        <v>32</v>
      </c>
      <c r="H92" s="118" t="s">
        <v>790</v>
      </c>
      <c r="I92" s="119">
        <v>2</v>
      </c>
      <c r="J92" s="119">
        <v>1</v>
      </c>
      <c r="K92" s="121" t="s">
        <v>802</v>
      </c>
    </row>
    <row r="93" spans="2:11" ht="15.75" customHeight="1" x14ac:dyDescent="0.3">
      <c r="B93" s="115">
        <v>13</v>
      </c>
      <c r="C93" s="116" t="s">
        <v>801</v>
      </c>
      <c r="D93" s="116">
        <v>13503</v>
      </c>
      <c r="E93" s="116" t="s">
        <v>153</v>
      </c>
      <c r="F93" s="116" t="s">
        <v>152</v>
      </c>
      <c r="G93" s="117" t="s">
        <v>34</v>
      </c>
      <c r="H93" s="118" t="s">
        <v>794</v>
      </c>
      <c r="I93" s="119">
        <v>3</v>
      </c>
      <c r="J93" s="119">
        <v>2</v>
      </c>
      <c r="K93" s="121" t="s">
        <v>791</v>
      </c>
    </row>
    <row r="94" spans="2:11" ht="15.75" customHeight="1" x14ac:dyDescent="0.3">
      <c r="B94" s="115">
        <v>13</v>
      </c>
      <c r="C94" s="116" t="s">
        <v>801</v>
      </c>
      <c r="D94" s="116">
        <v>13105</v>
      </c>
      <c r="E94" s="116" t="s">
        <v>139</v>
      </c>
      <c r="F94" s="116" t="s">
        <v>138</v>
      </c>
      <c r="G94" s="117" t="s">
        <v>32</v>
      </c>
      <c r="H94" s="118" t="s">
        <v>790</v>
      </c>
      <c r="I94" s="119">
        <v>2</v>
      </c>
      <c r="J94" s="119">
        <v>1</v>
      </c>
      <c r="K94" s="121" t="s">
        <v>802</v>
      </c>
    </row>
    <row r="95" spans="2:11" ht="15.75" customHeight="1" x14ac:dyDescent="0.3">
      <c r="B95" s="115">
        <v>13</v>
      </c>
      <c r="C95" s="116" t="s">
        <v>801</v>
      </c>
      <c r="D95" s="116">
        <v>13602</v>
      </c>
      <c r="E95" s="116" t="s">
        <v>155</v>
      </c>
      <c r="F95" s="116" t="s">
        <v>154</v>
      </c>
      <c r="G95" s="117" t="s">
        <v>34</v>
      </c>
      <c r="H95" s="118" t="s">
        <v>794</v>
      </c>
      <c r="I95" s="119">
        <v>3</v>
      </c>
      <c r="J95" s="119">
        <v>2</v>
      </c>
      <c r="K95" s="121" t="s">
        <v>791</v>
      </c>
    </row>
    <row r="96" spans="2:11" ht="15.75" customHeight="1" x14ac:dyDescent="0.3">
      <c r="B96" s="115">
        <v>13</v>
      </c>
      <c r="C96" s="116" t="s">
        <v>801</v>
      </c>
      <c r="D96" s="116">
        <v>13106</v>
      </c>
      <c r="E96" s="116" t="s">
        <v>97</v>
      </c>
      <c r="F96" s="116" t="s">
        <v>96</v>
      </c>
      <c r="G96" s="117" t="s">
        <v>32</v>
      </c>
      <c r="H96" s="118" t="s">
        <v>790</v>
      </c>
      <c r="I96" s="119">
        <v>2</v>
      </c>
      <c r="J96" s="119">
        <v>1</v>
      </c>
      <c r="K96" s="121" t="s">
        <v>802</v>
      </c>
    </row>
    <row r="97" spans="2:11" ht="15.75" customHeight="1" x14ac:dyDescent="0.3">
      <c r="B97" s="115">
        <v>13</v>
      </c>
      <c r="C97" s="116" t="s">
        <v>801</v>
      </c>
      <c r="D97" s="116">
        <v>13107</v>
      </c>
      <c r="E97" s="116" t="s">
        <v>99</v>
      </c>
      <c r="F97" s="116" t="s">
        <v>98</v>
      </c>
      <c r="G97" s="117" t="s">
        <v>32</v>
      </c>
      <c r="H97" s="118" t="s">
        <v>790</v>
      </c>
      <c r="I97" s="119">
        <v>2</v>
      </c>
      <c r="J97" s="119">
        <v>1</v>
      </c>
      <c r="K97" s="121" t="s">
        <v>802</v>
      </c>
    </row>
    <row r="98" spans="2:11" ht="15.75" customHeight="1" x14ac:dyDescent="0.3">
      <c r="B98" s="115">
        <v>13</v>
      </c>
      <c r="C98" s="116" t="s">
        <v>801</v>
      </c>
      <c r="D98" s="116">
        <v>13108</v>
      </c>
      <c r="E98" s="116" t="s">
        <v>79</v>
      </c>
      <c r="F98" s="116" t="s">
        <v>78</v>
      </c>
      <c r="G98" s="117" t="s">
        <v>32</v>
      </c>
      <c r="H98" s="118" t="s">
        <v>790</v>
      </c>
      <c r="I98" s="119">
        <v>2</v>
      </c>
      <c r="J98" s="119">
        <v>1</v>
      </c>
      <c r="K98" s="121" t="s">
        <v>802</v>
      </c>
    </row>
    <row r="99" spans="2:11" ht="15.75" customHeight="1" x14ac:dyDescent="0.3">
      <c r="B99" s="115">
        <v>13</v>
      </c>
      <c r="C99" s="116" t="s">
        <v>801</v>
      </c>
      <c r="D99" s="116">
        <v>13603</v>
      </c>
      <c r="E99" s="116" t="s">
        <v>157</v>
      </c>
      <c r="F99" s="116" t="s">
        <v>156</v>
      </c>
      <c r="G99" s="117" t="s">
        <v>32</v>
      </c>
      <c r="H99" s="118" t="s">
        <v>794</v>
      </c>
      <c r="I99" s="119">
        <v>3</v>
      </c>
      <c r="J99" s="119">
        <v>2</v>
      </c>
      <c r="K99" s="121" t="s">
        <v>791</v>
      </c>
    </row>
    <row r="100" spans="2:11" ht="15.75" customHeight="1" x14ac:dyDescent="0.3">
      <c r="B100" s="115">
        <v>13</v>
      </c>
      <c r="C100" s="116" t="s">
        <v>801</v>
      </c>
      <c r="D100" s="116">
        <v>13109</v>
      </c>
      <c r="E100" s="116" t="s">
        <v>125</v>
      </c>
      <c r="F100" s="116" t="s">
        <v>124</v>
      </c>
      <c r="G100" s="117" t="s">
        <v>32</v>
      </c>
      <c r="H100" s="118" t="s">
        <v>790</v>
      </c>
      <c r="I100" s="119">
        <v>2</v>
      </c>
      <c r="J100" s="119">
        <v>1</v>
      </c>
      <c r="K100" s="121" t="s">
        <v>802</v>
      </c>
    </row>
    <row r="101" spans="2:11" ht="15.75" customHeight="1" x14ac:dyDescent="0.3">
      <c r="B101" s="115">
        <v>13</v>
      </c>
      <c r="C101" s="116" t="s">
        <v>801</v>
      </c>
      <c r="D101" s="116">
        <v>13110</v>
      </c>
      <c r="E101" s="116" t="s">
        <v>111</v>
      </c>
      <c r="F101" s="116" t="s">
        <v>110</v>
      </c>
      <c r="G101" s="117" t="s">
        <v>32</v>
      </c>
      <c r="H101" s="118" t="s">
        <v>790</v>
      </c>
      <c r="I101" s="119">
        <v>2</v>
      </c>
      <c r="J101" s="119">
        <v>1</v>
      </c>
      <c r="K101" s="121" t="s">
        <v>802</v>
      </c>
    </row>
    <row r="102" spans="2:11" ht="15.75" customHeight="1" x14ac:dyDescent="0.3">
      <c r="B102" s="115">
        <v>13</v>
      </c>
      <c r="C102" s="116" t="s">
        <v>801</v>
      </c>
      <c r="D102" s="116">
        <v>13111</v>
      </c>
      <c r="E102" s="116" t="s">
        <v>127</v>
      </c>
      <c r="F102" s="116" t="s">
        <v>126</v>
      </c>
      <c r="G102" s="117" t="s">
        <v>32</v>
      </c>
      <c r="H102" s="118" t="s">
        <v>790</v>
      </c>
      <c r="I102" s="119">
        <v>2</v>
      </c>
      <c r="J102" s="119">
        <v>1</v>
      </c>
      <c r="K102" s="121" t="s">
        <v>802</v>
      </c>
    </row>
    <row r="103" spans="2:11" ht="15.75" customHeight="1" x14ac:dyDescent="0.3">
      <c r="B103" s="115">
        <v>13</v>
      </c>
      <c r="C103" s="116" t="s">
        <v>801</v>
      </c>
      <c r="D103" s="116">
        <v>13112</v>
      </c>
      <c r="E103" s="116" t="s">
        <v>131</v>
      </c>
      <c r="F103" s="116" t="s">
        <v>130</v>
      </c>
      <c r="G103" s="117" t="s">
        <v>32</v>
      </c>
      <c r="H103" s="118" t="s">
        <v>790</v>
      </c>
      <c r="I103" s="119">
        <v>2</v>
      </c>
      <c r="J103" s="119">
        <v>1</v>
      </c>
      <c r="K103" s="121" t="s">
        <v>791</v>
      </c>
    </row>
    <row r="104" spans="2:11" ht="15.75" customHeight="1" x14ac:dyDescent="0.3">
      <c r="B104" s="115">
        <v>13</v>
      </c>
      <c r="C104" s="116" t="s">
        <v>801</v>
      </c>
      <c r="D104" s="116">
        <v>13113</v>
      </c>
      <c r="E104" s="116" t="s">
        <v>113</v>
      </c>
      <c r="F104" s="116" t="s">
        <v>112</v>
      </c>
      <c r="G104" s="117" t="s">
        <v>32</v>
      </c>
      <c r="H104" s="118" t="s">
        <v>790</v>
      </c>
      <c r="I104" s="119">
        <v>2</v>
      </c>
      <c r="J104" s="119">
        <v>1</v>
      </c>
      <c r="K104" s="121" t="s">
        <v>802</v>
      </c>
    </row>
    <row r="105" spans="2:11" ht="15.75" customHeight="1" x14ac:dyDescent="0.3">
      <c r="B105" s="115">
        <v>13</v>
      </c>
      <c r="C105" s="116" t="s">
        <v>801</v>
      </c>
      <c r="D105" s="116">
        <v>13302</v>
      </c>
      <c r="E105" s="116" t="s">
        <v>159</v>
      </c>
      <c r="F105" s="116" t="s">
        <v>158</v>
      </c>
      <c r="G105" s="117" t="s">
        <v>32</v>
      </c>
      <c r="H105" s="118" t="s">
        <v>794</v>
      </c>
      <c r="I105" s="119">
        <v>3</v>
      </c>
      <c r="J105" s="119">
        <v>2</v>
      </c>
      <c r="K105" s="121" t="s">
        <v>791</v>
      </c>
    </row>
    <row r="106" spans="2:11" ht="15.75" customHeight="1" x14ac:dyDescent="0.3">
      <c r="B106" s="115">
        <v>13</v>
      </c>
      <c r="C106" s="116" t="s">
        <v>801</v>
      </c>
      <c r="D106" s="116">
        <v>13114</v>
      </c>
      <c r="E106" s="116" t="s">
        <v>109</v>
      </c>
      <c r="F106" s="116" t="s">
        <v>108</v>
      </c>
      <c r="G106" s="117" t="s">
        <v>32</v>
      </c>
      <c r="H106" s="118" t="s">
        <v>790</v>
      </c>
      <c r="I106" s="119">
        <v>2</v>
      </c>
      <c r="J106" s="119">
        <v>1</v>
      </c>
      <c r="K106" s="121" t="s">
        <v>802</v>
      </c>
    </row>
    <row r="107" spans="2:11" ht="15.75" customHeight="1" x14ac:dyDescent="0.3">
      <c r="B107" s="115">
        <v>13</v>
      </c>
      <c r="C107" s="116" t="s">
        <v>801</v>
      </c>
      <c r="D107" s="116">
        <v>13115</v>
      </c>
      <c r="E107" s="116" t="s">
        <v>121</v>
      </c>
      <c r="F107" s="116" t="s">
        <v>120</v>
      </c>
      <c r="G107" s="117" t="s">
        <v>32</v>
      </c>
      <c r="H107" s="118" t="s">
        <v>790</v>
      </c>
      <c r="I107" s="119">
        <v>2</v>
      </c>
      <c r="J107" s="119">
        <v>1</v>
      </c>
      <c r="K107" s="121" t="s">
        <v>802</v>
      </c>
    </row>
    <row r="108" spans="2:11" ht="15.75" customHeight="1" x14ac:dyDescent="0.3">
      <c r="B108" s="115">
        <v>13</v>
      </c>
      <c r="C108" s="116" t="s">
        <v>801</v>
      </c>
      <c r="D108" s="116">
        <v>13116</v>
      </c>
      <c r="E108" s="116" t="s">
        <v>137</v>
      </c>
      <c r="F108" s="116" t="s">
        <v>136</v>
      </c>
      <c r="G108" s="117" t="s">
        <v>32</v>
      </c>
      <c r="H108" s="118" t="s">
        <v>790</v>
      </c>
      <c r="I108" s="119">
        <v>2</v>
      </c>
      <c r="J108" s="119">
        <v>1</v>
      </c>
      <c r="K108" s="121" t="s">
        <v>791</v>
      </c>
    </row>
    <row r="109" spans="2:11" ht="15.75" customHeight="1" x14ac:dyDescent="0.3">
      <c r="B109" s="115">
        <v>13</v>
      </c>
      <c r="C109" s="116" t="s">
        <v>801</v>
      </c>
      <c r="D109" s="116">
        <v>13117</v>
      </c>
      <c r="E109" s="116" t="s">
        <v>93</v>
      </c>
      <c r="F109" s="116" t="s">
        <v>92</v>
      </c>
      <c r="G109" s="117" t="s">
        <v>32</v>
      </c>
      <c r="H109" s="118" t="s">
        <v>790</v>
      </c>
      <c r="I109" s="119">
        <v>2</v>
      </c>
      <c r="J109" s="119">
        <v>1</v>
      </c>
      <c r="K109" s="121" t="s">
        <v>802</v>
      </c>
    </row>
    <row r="110" spans="2:11" ht="15.75" customHeight="1" x14ac:dyDescent="0.3">
      <c r="B110" s="115">
        <v>13</v>
      </c>
      <c r="C110" s="116" t="s">
        <v>801</v>
      </c>
      <c r="D110" s="116">
        <v>13118</v>
      </c>
      <c r="E110" s="116" t="s">
        <v>115</v>
      </c>
      <c r="F110" s="116" t="s">
        <v>114</v>
      </c>
      <c r="G110" s="117" t="s">
        <v>32</v>
      </c>
      <c r="H110" s="118" t="s">
        <v>790</v>
      </c>
      <c r="I110" s="119">
        <v>2</v>
      </c>
      <c r="J110" s="119">
        <v>1</v>
      </c>
      <c r="K110" s="121" t="s">
        <v>802</v>
      </c>
    </row>
    <row r="111" spans="2:11" ht="15.75" customHeight="1" x14ac:dyDescent="0.3">
      <c r="B111" s="115">
        <v>13</v>
      </c>
      <c r="C111" s="116" t="s">
        <v>801</v>
      </c>
      <c r="D111" s="116">
        <v>13119</v>
      </c>
      <c r="E111" s="116" t="s">
        <v>83</v>
      </c>
      <c r="F111" s="116" t="s">
        <v>82</v>
      </c>
      <c r="G111" s="117" t="s">
        <v>32</v>
      </c>
      <c r="H111" s="118" t="s">
        <v>790</v>
      </c>
      <c r="I111" s="119">
        <v>2</v>
      </c>
      <c r="J111" s="119">
        <v>1</v>
      </c>
      <c r="K111" s="121" t="s">
        <v>802</v>
      </c>
    </row>
    <row r="112" spans="2:11" ht="15.75" customHeight="1" x14ac:dyDescent="0.3">
      <c r="B112" s="115">
        <v>13</v>
      </c>
      <c r="C112" s="116" t="s">
        <v>801</v>
      </c>
      <c r="D112" s="116">
        <v>13504</v>
      </c>
      <c r="E112" s="116" t="s">
        <v>161</v>
      </c>
      <c r="F112" s="116" t="s">
        <v>160</v>
      </c>
      <c r="G112" s="117" t="s">
        <v>34</v>
      </c>
      <c r="H112" s="118" t="s">
        <v>794</v>
      </c>
      <c r="I112" s="119">
        <v>3</v>
      </c>
      <c r="J112" s="119">
        <v>2</v>
      </c>
      <c r="K112" s="121" t="s">
        <v>791</v>
      </c>
    </row>
    <row r="113" spans="2:11" ht="15.75" customHeight="1" x14ac:dyDescent="0.3">
      <c r="B113" s="115">
        <v>13</v>
      </c>
      <c r="C113" s="116" t="s">
        <v>801</v>
      </c>
      <c r="D113" s="116">
        <v>13501</v>
      </c>
      <c r="E113" s="116" t="s">
        <v>34</v>
      </c>
      <c r="F113" s="116" t="s">
        <v>162</v>
      </c>
      <c r="G113" s="117" t="s">
        <v>34</v>
      </c>
      <c r="H113" s="118" t="s">
        <v>790</v>
      </c>
      <c r="I113" s="119">
        <v>2</v>
      </c>
      <c r="J113" s="119">
        <v>1</v>
      </c>
      <c r="K113" s="121" t="s">
        <v>791</v>
      </c>
    </row>
    <row r="114" spans="2:11" ht="15.75" customHeight="1" x14ac:dyDescent="0.3">
      <c r="B114" s="115">
        <v>13</v>
      </c>
      <c r="C114" s="116" t="s">
        <v>801</v>
      </c>
      <c r="D114" s="116">
        <v>13120</v>
      </c>
      <c r="E114" s="116" t="s">
        <v>107</v>
      </c>
      <c r="F114" s="116" t="s">
        <v>106</v>
      </c>
      <c r="G114" s="117" t="s">
        <v>32</v>
      </c>
      <c r="H114" s="118" t="s">
        <v>790</v>
      </c>
      <c r="I114" s="119">
        <v>2</v>
      </c>
      <c r="J114" s="119">
        <v>1</v>
      </c>
      <c r="K114" s="121" t="s">
        <v>802</v>
      </c>
    </row>
    <row r="115" spans="2:11" ht="15.75" customHeight="1" x14ac:dyDescent="0.3">
      <c r="B115" s="115">
        <v>13</v>
      </c>
      <c r="C115" s="116" t="s">
        <v>801</v>
      </c>
      <c r="D115" s="116">
        <v>13604</v>
      </c>
      <c r="E115" s="116" t="s">
        <v>164</v>
      </c>
      <c r="F115" s="116" t="s">
        <v>163</v>
      </c>
      <c r="G115" s="117" t="s">
        <v>32</v>
      </c>
      <c r="H115" s="118" t="s">
        <v>794</v>
      </c>
      <c r="I115" s="119">
        <v>3</v>
      </c>
      <c r="J115" s="119">
        <v>2</v>
      </c>
      <c r="K115" s="121" t="s">
        <v>791</v>
      </c>
    </row>
    <row r="116" spans="2:11" ht="15.75" customHeight="1" x14ac:dyDescent="0.3">
      <c r="B116" s="115">
        <v>13</v>
      </c>
      <c r="C116" s="116" t="s">
        <v>801</v>
      </c>
      <c r="D116" s="116">
        <v>13404</v>
      </c>
      <c r="E116" s="116" t="s">
        <v>166</v>
      </c>
      <c r="F116" s="116" t="s">
        <v>165</v>
      </c>
      <c r="G116" s="117" t="s">
        <v>32</v>
      </c>
      <c r="H116" s="118" t="s">
        <v>794</v>
      </c>
      <c r="I116" s="119">
        <v>3</v>
      </c>
      <c r="J116" s="119">
        <v>2</v>
      </c>
      <c r="K116" s="121" t="s">
        <v>791</v>
      </c>
    </row>
    <row r="117" spans="2:11" ht="15.75" customHeight="1" x14ac:dyDescent="0.3">
      <c r="B117" s="115">
        <v>13</v>
      </c>
      <c r="C117" s="116" t="s">
        <v>801</v>
      </c>
      <c r="D117" s="116">
        <v>13121</v>
      </c>
      <c r="E117" s="116" t="s">
        <v>133</v>
      </c>
      <c r="F117" s="116" t="s">
        <v>132</v>
      </c>
      <c r="G117" s="117" t="s">
        <v>32</v>
      </c>
      <c r="H117" s="118" t="s">
        <v>790</v>
      </c>
      <c r="I117" s="119">
        <v>2</v>
      </c>
      <c r="J117" s="119">
        <v>1</v>
      </c>
      <c r="K117" s="121" t="s">
        <v>802</v>
      </c>
    </row>
    <row r="118" spans="2:11" ht="15.75" customHeight="1" x14ac:dyDescent="0.3">
      <c r="B118" s="115">
        <v>13</v>
      </c>
      <c r="C118" s="116" t="s">
        <v>801</v>
      </c>
      <c r="D118" s="116">
        <v>13605</v>
      </c>
      <c r="E118" s="116" t="s">
        <v>168</v>
      </c>
      <c r="F118" s="116" t="s">
        <v>167</v>
      </c>
      <c r="G118" s="117" t="s">
        <v>32</v>
      </c>
      <c r="H118" s="118" t="s">
        <v>794</v>
      </c>
      <c r="I118" s="119">
        <v>3</v>
      </c>
      <c r="J118" s="119">
        <v>2</v>
      </c>
      <c r="K118" s="121" t="s">
        <v>791</v>
      </c>
    </row>
    <row r="119" spans="2:11" ht="15.75" customHeight="1" x14ac:dyDescent="0.3">
      <c r="B119" s="115">
        <v>13</v>
      </c>
      <c r="C119" s="116" t="s">
        <v>801</v>
      </c>
      <c r="D119" s="116">
        <v>13122</v>
      </c>
      <c r="E119" s="116" t="s">
        <v>117</v>
      </c>
      <c r="F119" s="116" t="s">
        <v>116</v>
      </c>
      <c r="G119" s="117" t="s">
        <v>32</v>
      </c>
      <c r="H119" s="118" t="s">
        <v>790</v>
      </c>
      <c r="I119" s="119">
        <v>2</v>
      </c>
      <c r="J119" s="119">
        <v>1</v>
      </c>
      <c r="K119" s="121" t="s">
        <v>802</v>
      </c>
    </row>
    <row r="120" spans="2:11" ht="15.75" customHeight="1" x14ac:dyDescent="0.3">
      <c r="B120" s="115">
        <v>13</v>
      </c>
      <c r="C120" s="116" t="s">
        <v>801</v>
      </c>
      <c r="D120" s="116">
        <v>13202</v>
      </c>
      <c r="E120" s="116" t="s">
        <v>170</v>
      </c>
      <c r="F120" s="116" t="s">
        <v>169</v>
      </c>
      <c r="G120" s="117" t="s">
        <v>32</v>
      </c>
      <c r="H120" s="118" t="s">
        <v>794</v>
      </c>
      <c r="I120" s="119">
        <v>3</v>
      </c>
      <c r="J120" s="119">
        <v>2</v>
      </c>
      <c r="K120" s="121" t="s">
        <v>791</v>
      </c>
    </row>
    <row r="121" spans="2:11" ht="15.75" customHeight="1" x14ac:dyDescent="0.3">
      <c r="B121" s="115">
        <v>13</v>
      </c>
      <c r="C121" s="116" t="s">
        <v>801</v>
      </c>
      <c r="D121" s="116">
        <v>13123</v>
      </c>
      <c r="E121" s="116" t="s">
        <v>105</v>
      </c>
      <c r="F121" s="116" t="s">
        <v>104</v>
      </c>
      <c r="G121" s="117" t="s">
        <v>32</v>
      </c>
      <c r="H121" s="118" t="s">
        <v>790</v>
      </c>
      <c r="I121" s="119">
        <v>2</v>
      </c>
      <c r="J121" s="119">
        <v>1</v>
      </c>
      <c r="K121" s="121" t="s">
        <v>802</v>
      </c>
    </row>
    <row r="122" spans="2:11" ht="15.75" customHeight="1" x14ac:dyDescent="0.3">
      <c r="B122" s="115">
        <v>13</v>
      </c>
      <c r="C122" s="116" t="s">
        <v>801</v>
      </c>
      <c r="D122" s="116">
        <v>13124</v>
      </c>
      <c r="E122" s="116" t="s">
        <v>85</v>
      </c>
      <c r="F122" s="116" t="s">
        <v>84</v>
      </c>
      <c r="G122" s="117" t="s">
        <v>32</v>
      </c>
      <c r="H122" s="118" t="s">
        <v>790</v>
      </c>
      <c r="I122" s="119">
        <v>2</v>
      </c>
      <c r="J122" s="119">
        <v>1</v>
      </c>
      <c r="K122" s="121" t="s">
        <v>802</v>
      </c>
    </row>
    <row r="123" spans="2:11" ht="15.75" customHeight="1" x14ac:dyDescent="0.3">
      <c r="B123" s="115">
        <v>13</v>
      </c>
      <c r="C123" s="116" t="s">
        <v>801</v>
      </c>
      <c r="D123" s="116">
        <v>13201</v>
      </c>
      <c r="E123" s="116" t="s">
        <v>141</v>
      </c>
      <c r="F123" s="116" t="s">
        <v>140</v>
      </c>
      <c r="G123" s="117" t="s">
        <v>32</v>
      </c>
      <c r="H123" s="118" t="s">
        <v>790</v>
      </c>
      <c r="I123" s="119">
        <v>2</v>
      </c>
      <c r="J123" s="119">
        <v>1</v>
      </c>
      <c r="K123" s="121" t="s">
        <v>802</v>
      </c>
    </row>
    <row r="124" spans="2:11" ht="15.75" customHeight="1" x14ac:dyDescent="0.3">
      <c r="B124" s="115">
        <v>13</v>
      </c>
      <c r="C124" s="116" t="s">
        <v>801</v>
      </c>
      <c r="D124" s="116">
        <v>13125</v>
      </c>
      <c r="E124" s="116" t="s">
        <v>89</v>
      </c>
      <c r="F124" s="116" t="s">
        <v>88</v>
      </c>
      <c r="G124" s="117" t="s">
        <v>32</v>
      </c>
      <c r="H124" s="118" t="s">
        <v>790</v>
      </c>
      <c r="I124" s="119">
        <v>2</v>
      </c>
      <c r="J124" s="119">
        <v>1</v>
      </c>
      <c r="K124" s="121" t="s">
        <v>802</v>
      </c>
    </row>
    <row r="125" spans="2:11" ht="15.75" customHeight="1" x14ac:dyDescent="0.3">
      <c r="B125" s="115">
        <v>13</v>
      </c>
      <c r="C125" s="116" t="s">
        <v>801</v>
      </c>
      <c r="D125" s="116">
        <v>13126</v>
      </c>
      <c r="E125" s="116" t="s">
        <v>81</v>
      </c>
      <c r="F125" s="116" t="s">
        <v>80</v>
      </c>
      <c r="G125" s="117" t="s">
        <v>32</v>
      </c>
      <c r="H125" s="118" t="s">
        <v>790</v>
      </c>
      <c r="I125" s="119">
        <v>2</v>
      </c>
      <c r="J125" s="119">
        <v>1</v>
      </c>
      <c r="K125" s="121" t="s">
        <v>802</v>
      </c>
    </row>
    <row r="126" spans="2:11" ht="15.75" customHeight="1" x14ac:dyDescent="0.3">
      <c r="B126" s="115">
        <v>13</v>
      </c>
      <c r="C126" s="116" t="s">
        <v>801</v>
      </c>
      <c r="D126" s="116">
        <v>13127</v>
      </c>
      <c r="E126" s="116" t="s">
        <v>77</v>
      </c>
      <c r="F126" s="116" t="s">
        <v>76</v>
      </c>
      <c r="G126" s="117" t="s">
        <v>32</v>
      </c>
      <c r="H126" s="118" t="s">
        <v>790</v>
      </c>
      <c r="I126" s="119">
        <v>2</v>
      </c>
      <c r="J126" s="119">
        <v>1</v>
      </c>
      <c r="K126" s="121" t="s">
        <v>802</v>
      </c>
    </row>
    <row r="127" spans="2:11" ht="15.75" customHeight="1" x14ac:dyDescent="0.3">
      <c r="B127" s="115">
        <v>13</v>
      </c>
      <c r="C127" s="116" t="s">
        <v>801</v>
      </c>
      <c r="D127" s="116">
        <v>13128</v>
      </c>
      <c r="E127" s="116" t="s">
        <v>87</v>
      </c>
      <c r="F127" s="116" t="s">
        <v>86</v>
      </c>
      <c r="G127" s="117" t="s">
        <v>32</v>
      </c>
      <c r="H127" s="118" t="s">
        <v>790</v>
      </c>
      <c r="I127" s="119">
        <v>2</v>
      </c>
      <c r="J127" s="119">
        <v>1</v>
      </c>
      <c r="K127" s="121" t="s">
        <v>802</v>
      </c>
    </row>
    <row r="128" spans="2:11" ht="15.75" customHeight="1" x14ac:dyDescent="0.3">
      <c r="B128" s="115">
        <v>13</v>
      </c>
      <c r="C128" s="116" t="s">
        <v>801</v>
      </c>
      <c r="D128" s="116">
        <v>13401</v>
      </c>
      <c r="E128" s="116" t="s">
        <v>143</v>
      </c>
      <c r="F128" s="116" t="s">
        <v>142</v>
      </c>
      <c r="G128" s="117" t="s">
        <v>32</v>
      </c>
      <c r="H128" s="118" t="s">
        <v>794</v>
      </c>
      <c r="I128" s="119">
        <v>2</v>
      </c>
      <c r="J128" s="119">
        <v>1</v>
      </c>
      <c r="K128" s="121" t="s">
        <v>802</v>
      </c>
    </row>
    <row r="129" spans="2:11" ht="15.75" customHeight="1" x14ac:dyDescent="0.3">
      <c r="B129" s="115">
        <v>13</v>
      </c>
      <c r="C129" s="116" t="s">
        <v>801</v>
      </c>
      <c r="D129" s="116">
        <v>13129</v>
      </c>
      <c r="E129" s="116" t="s">
        <v>135</v>
      </c>
      <c r="F129" s="116" t="s">
        <v>134</v>
      </c>
      <c r="G129" s="117" t="s">
        <v>32</v>
      </c>
      <c r="H129" s="118" t="s">
        <v>790</v>
      </c>
      <c r="I129" s="119">
        <v>2</v>
      </c>
      <c r="J129" s="119">
        <v>1</v>
      </c>
      <c r="K129" s="121" t="s">
        <v>802</v>
      </c>
    </row>
    <row r="130" spans="2:11" ht="15.75" customHeight="1" x14ac:dyDescent="0.3">
      <c r="B130" s="115">
        <v>13</v>
      </c>
      <c r="C130" s="116" t="s">
        <v>801</v>
      </c>
      <c r="D130" s="116">
        <v>13203</v>
      </c>
      <c r="E130" s="116" t="s">
        <v>172</v>
      </c>
      <c r="F130" s="116" t="s">
        <v>171</v>
      </c>
      <c r="G130" s="117" t="s">
        <v>32</v>
      </c>
      <c r="H130" s="118" t="s">
        <v>794</v>
      </c>
      <c r="I130" s="119">
        <v>3</v>
      </c>
      <c r="J130" s="119">
        <v>2</v>
      </c>
      <c r="K130" s="121" t="s">
        <v>791</v>
      </c>
    </row>
    <row r="131" spans="2:11" ht="15.75" customHeight="1" x14ac:dyDescent="0.3">
      <c r="B131" s="115">
        <v>13</v>
      </c>
      <c r="C131" s="116" t="s">
        <v>801</v>
      </c>
      <c r="D131" s="116">
        <v>13130</v>
      </c>
      <c r="E131" s="116" t="s">
        <v>123</v>
      </c>
      <c r="F131" s="116" t="s">
        <v>122</v>
      </c>
      <c r="G131" s="117" t="s">
        <v>32</v>
      </c>
      <c r="H131" s="118" t="s">
        <v>790</v>
      </c>
      <c r="I131" s="119">
        <v>2</v>
      </c>
      <c r="J131" s="119">
        <v>1</v>
      </c>
      <c r="K131" s="121" t="s">
        <v>802</v>
      </c>
    </row>
    <row r="132" spans="2:11" ht="15.75" customHeight="1" x14ac:dyDescent="0.3">
      <c r="B132" s="115">
        <v>13</v>
      </c>
      <c r="C132" s="116" t="s">
        <v>801</v>
      </c>
      <c r="D132" s="116">
        <v>13505</v>
      </c>
      <c r="E132" s="116" t="s">
        <v>103</v>
      </c>
      <c r="F132" s="116" t="s">
        <v>102</v>
      </c>
      <c r="G132" s="117" t="s">
        <v>34</v>
      </c>
      <c r="H132" s="118" t="s">
        <v>794</v>
      </c>
      <c r="I132" s="119">
        <v>3</v>
      </c>
      <c r="J132" s="119">
        <v>2</v>
      </c>
      <c r="K132" s="121" t="s">
        <v>791</v>
      </c>
    </row>
    <row r="133" spans="2:11" ht="15.75" customHeight="1" x14ac:dyDescent="0.3">
      <c r="B133" s="115">
        <v>13</v>
      </c>
      <c r="C133" s="116" t="s">
        <v>801</v>
      </c>
      <c r="D133" s="116">
        <v>13131</v>
      </c>
      <c r="E133" s="116" t="s">
        <v>129</v>
      </c>
      <c r="F133" s="116" t="s">
        <v>128</v>
      </c>
      <c r="G133" s="117" t="s">
        <v>32</v>
      </c>
      <c r="H133" s="118" t="s">
        <v>790</v>
      </c>
      <c r="I133" s="119">
        <v>2</v>
      </c>
      <c r="J133" s="119">
        <v>1</v>
      </c>
      <c r="K133" s="121" t="s">
        <v>802</v>
      </c>
    </row>
    <row r="134" spans="2:11" ht="15.75" customHeight="1" x14ac:dyDescent="0.3">
      <c r="B134" s="115">
        <v>13</v>
      </c>
      <c r="C134" s="116" t="s">
        <v>801</v>
      </c>
      <c r="D134" s="116">
        <v>13101</v>
      </c>
      <c r="E134" s="116" t="s">
        <v>32</v>
      </c>
      <c r="F134" s="116" t="s">
        <v>75</v>
      </c>
      <c r="G134" s="117" t="s">
        <v>32</v>
      </c>
      <c r="H134" s="118" t="s">
        <v>790</v>
      </c>
      <c r="I134" s="119">
        <v>2</v>
      </c>
      <c r="J134" s="119">
        <v>1</v>
      </c>
      <c r="K134" s="121" t="s">
        <v>802</v>
      </c>
    </row>
    <row r="135" spans="2:11" ht="15.75" customHeight="1" x14ac:dyDescent="0.3">
      <c r="B135" s="115">
        <v>13</v>
      </c>
      <c r="C135" s="116" t="s">
        <v>801</v>
      </c>
      <c r="D135" s="116">
        <v>13601</v>
      </c>
      <c r="E135" s="116" t="s">
        <v>174</v>
      </c>
      <c r="F135" s="116" t="s">
        <v>173</v>
      </c>
      <c r="G135" s="117" t="s">
        <v>34</v>
      </c>
      <c r="H135" s="118" t="s">
        <v>794</v>
      </c>
      <c r="I135" s="119">
        <v>3</v>
      </c>
      <c r="J135" s="119">
        <v>2</v>
      </c>
      <c r="K135" s="121" t="s">
        <v>791</v>
      </c>
    </row>
    <row r="136" spans="2:11" ht="15.75" customHeight="1" x14ac:dyDescent="0.3">
      <c r="B136" s="115">
        <v>13</v>
      </c>
      <c r="C136" s="116" t="s">
        <v>801</v>
      </c>
      <c r="D136" s="116">
        <v>13303</v>
      </c>
      <c r="E136" s="116" t="s">
        <v>176</v>
      </c>
      <c r="F136" s="116" t="s">
        <v>175</v>
      </c>
      <c r="G136" s="117" t="s">
        <v>32</v>
      </c>
      <c r="H136" s="118" t="s">
        <v>794</v>
      </c>
      <c r="I136" s="119">
        <v>3</v>
      </c>
      <c r="J136" s="119">
        <v>2</v>
      </c>
      <c r="K136" s="121" t="s">
        <v>791</v>
      </c>
    </row>
    <row r="137" spans="2:11" ht="15.75" customHeight="1" x14ac:dyDescent="0.3">
      <c r="B137" s="115">
        <v>13</v>
      </c>
      <c r="C137" s="116" t="s">
        <v>801</v>
      </c>
      <c r="D137" s="116">
        <v>13132</v>
      </c>
      <c r="E137" s="116" t="s">
        <v>119</v>
      </c>
      <c r="F137" s="116" t="s">
        <v>118</v>
      </c>
      <c r="G137" s="117" t="s">
        <v>32</v>
      </c>
      <c r="H137" s="118" t="s">
        <v>790</v>
      </c>
      <c r="I137" s="119">
        <v>2</v>
      </c>
      <c r="J137" s="119">
        <v>1</v>
      </c>
      <c r="K137" s="121" t="s">
        <v>802</v>
      </c>
    </row>
    <row r="138" spans="2:11" ht="15.75" customHeight="1" x14ac:dyDescent="0.3">
      <c r="B138" s="115">
        <v>6</v>
      </c>
      <c r="C138" s="116" t="s">
        <v>803</v>
      </c>
      <c r="D138" s="116">
        <v>6302</v>
      </c>
      <c r="E138" s="116" t="s">
        <v>302</v>
      </c>
      <c r="F138" s="116" t="s">
        <v>301</v>
      </c>
      <c r="G138" s="117" t="s">
        <v>38</v>
      </c>
      <c r="H138" s="118" t="s">
        <v>794</v>
      </c>
      <c r="I138" s="119">
        <v>3</v>
      </c>
      <c r="J138" s="119">
        <v>2</v>
      </c>
      <c r="K138" s="121" t="s">
        <v>791</v>
      </c>
    </row>
    <row r="139" spans="2:11" ht="15.75" customHeight="1" x14ac:dyDescent="0.3">
      <c r="B139" s="115">
        <v>6</v>
      </c>
      <c r="C139" s="116" t="s">
        <v>803</v>
      </c>
      <c r="D139" s="116">
        <v>6303</v>
      </c>
      <c r="E139" s="116" t="s">
        <v>304</v>
      </c>
      <c r="F139" s="116" t="s">
        <v>303</v>
      </c>
      <c r="G139" s="117" t="s">
        <v>36</v>
      </c>
      <c r="H139" s="118" t="s">
        <v>795</v>
      </c>
      <c r="I139" s="119">
        <v>4</v>
      </c>
      <c r="J139" s="119">
        <v>3</v>
      </c>
      <c r="K139" s="121" t="s">
        <v>791</v>
      </c>
    </row>
    <row r="140" spans="2:11" ht="15.75" customHeight="1" x14ac:dyDescent="0.3">
      <c r="B140" s="115">
        <v>6</v>
      </c>
      <c r="C140" s="116" t="s">
        <v>803</v>
      </c>
      <c r="D140" s="116">
        <v>6102</v>
      </c>
      <c r="E140" s="116" t="s">
        <v>306</v>
      </c>
      <c r="F140" s="116" t="s">
        <v>305</v>
      </c>
      <c r="G140" s="117" t="s">
        <v>36</v>
      </c>
      <c r="H140" s="118" t="s">
        <v>794</v>
      </c>
      <c r="I140" s="119">
        <v>3</v>
      </c>
      <c r="J140" s="119">
        <v>2</v>
      </c>
      <c r="K140" s="121" t="s">
        <v>791</v>
      </c>
    </row>
    <row r="141" spans="2:11" ht="15.75" customHeight="1" x14ac:dyDescent="0.3">
      <c r="B141" s="115">
        <v>6</v>
      </c>
      <c r="C141" s="116" t="s">
        <v>803</v>
      </c>
      <c r="D141" s="116">
        <v>6103</v>
      </c>
      <c r="E141" s="116" t="s">
        <v>308</v>
      </c>
      <c r="F141" s="116" t="s">
        <v>307</v>
      </c>
      <c r="G141" s="117" t="s">
        <v>36</v>
      </c>
      <c r="H141" s="118" t="s">
        <v>794</v>
      </c>
      <c r="I141" s="119">
        <v>3</v>
      </c>
      <c r="J141" s="119">
        <v>2</v>
      </c>
      <c r="K141" s="121" t="s">
        <v>791</v>
      </c>
    </row>
    <row r="142" spans="2:11" ht="15.75" customHeight="1" x14ac:dyDescent="0.3">
      <c r="B142" s="115">
        <v>6</v>
      </c>
      <c r="C142" s="116" t="s">
        <v>803</v>
      </c>
      <c r="D142" s="116">
        <v>6104</v>
      </c>
      <c r="E142" s="116" t="s">
        <v>310</v>
      </c>
      <c r="F142" s="116" t="s">
        <v>309</v>
      </c>
      <c r="G142" s="117" t="s">
        <v>36</v>
      </c>
      <c r="H142" s="118" t="s">
        <v>794</v>
      </c>
      <c r="I142" s="119">
        <v>3</v>
      </c>
      <c r="J142" s="119">
        <v>2</v>
      </c>
      <c r="K142" s="121" t="s">
        <v>791</v>
      </c>
    </row>
    <row r="143" spans="2:11" ht="15.75" customHeight="1" x14ac:dyDescent="0.3">
      <c r="B143" s="115">
        <v>6</v>
      </c>
      <c r="C143" s="116" t="s">
        <v>803</v>
      </c>
      <c r="D143" s="116">
        <v>6105</v>
      </c>
      <c r="E143" s="116" t="s">
        <v>312</v>
      </c>
      <c r="F143" s="116" t="s">
        <v>311</v>
      </c>
      <c r="G143" s="117" t="s">
        <v>36</v>
      </c>
      <c r="H143" s="118" t="s">
        <v>794</v>
      </c>
      <c r="I143" s="119">
        <v>3</v>
      </c>
      <c r="J143" s="119">
        <v>2</v>
      </c>
      <c r="K143" s="121" t="s">
        <v>791</v>
      </c>
    </row>
    <row r="144" spans="2:11" ht="15.75" customHeight="1" x14ac:dyDescent="0.3">
      <c r="B144" s="115">
        <v>6</v>
      </c>
      <c r="C144" s="116" t="s">
        <v>803</v>
      </c>
      <c r="D144" s="116">
        <v>6106</v>
      </c>
      <c r="E144" s="116" t="s">
        <v>314</v>
      </c>
      <c r="F144" s="116" t="s">
        <v>313</v>
      </c>
      <c r="G144" s="117" t="s">
        <v>36</v>
      </c>
      <c r="H144" s="118" t="s">
        <v>794</v>
      </c>
      <c r="I144" s="119">
        <v>3</v>
      </c>
      <c r="J144" s="119">
        <v>2</v>
      </c>
      <c r="K144" s="121" t="s">
        <v>791</v>
      </c>
    </row>
    <row r="145" spans="2:11" ht="15.75" customHeight="1" x14ac:dyDescent="0.3">
      <c r="B145" s="115">
        <v>6</v>
      </c>
      <c r="C145" s="116" t="s">
        <v>803</v>
      </c>
      <c r="D145" s="116">
        <v>6202</v>
      </c>
      <c r="E145" s="116" t="s">
        <v>316</v>
      </c>
      <c r="F145" s="116" t="s">
        <v>315</v>
      </c>
      <c r="G145" s="117" t="s">
        <v>34</v>
      </c>
      <c r="H145" s="118" t="s">
        <v>798</v>
      </c>
      <c r="I145" s="119">
        <v>5</v>
      </c>
      <c r="J145" s="119">
        <v>4</v>
      </c>
      <c r="K145" s="121" t="s">
        <v>791</v>
      </c>
    </row>
    <row r="146" spans="2:11" ht="15.75" customHeight="1" x14ac:dyDescent="0.3">
      <c r="B146" s="115">
        <v>6</v>
      </c>
      <c r="C146" s="116" t="s">
        <v>803</v>
      </c>
      <c r="D146" s="116">
        <v>6107</v>
      </c>
      <c r="E146" s="116" t="s">
        <v>318</v>
      </c>
      <c r="F146" s="116" t="s">
        <v>317</v>
      </c>
      <c r="G146" s="117" t="s">
        <v>36</v>
      </c>
      <c r="H146" s="118" t="s">
        <v>794</v>
      </c>
      <c r="I146" s="119">
        <v>3</v>
      </c>
      <c r="J146" s="119">
        <v>2</v>
      </c>
      <c r="K146" s="121" t="s">
        <v>791</v>
      </c>
    </row>
    <row r="147" spans="2:11" ht="15.75" customHeight="1" x14ac:dyDescent="0.3">
      <c r="B147" s="115">
        <v>6</v>
      </c>
      <c r="C147" s="116" t="s">
        <v>803</v>
      </c>
      <c r="D147" s="116">
        <v>6203</v>
      </c>
      <c r="E147" s="116" t="s">
        <v>320</v>
      </c>
      <c r="F147" s="116" t="s">
        <v>319</v>
      </c>
      <c r="G147" s="117" t="s">
        <v>34</v>
      </c>
      <c r="H147" s="118" t="s">
        <v>798</v>
      </c>
      <c r="I147" s="119">
        <v>5</v>
      </c>
      <c r="J147" s="119">
        <v>4</v>
      </c>
      <c r="K147" s="121" t="s">
        <v>791</v>
      </c>
    </row>
    <row r="148" spans="2:11" ht="15.75" customHeight="1" x14ac:dyDescent="0.3">
      <c r="B148" s="115">
        <v>6</v>
      </c>
      <c r="C148" s="116" t="s">
        <v>803</v>
      </c>
      <c r="D148" s="116">
        <v>6304</v>
      </c>
      <c r="E148" s="116" t="s">
        <v>322</v>
      </c>
      <c r="F148" s="116" t="s">
        <v>321</v>
      </c>
      <c r="G148" s="117" t="s">
        <v>36</v>
      </c>
      <c r="H148" s="118" t="s">
        <v>795</v>
      </c>
      <c r="I148" s="119">
        <v>4</v>
      </c>
      <c r="J148" s="119">
        <v>3</v>
      </c>
      <c r="K148" s="121" t="s">
        <v>791</v>
      </c>
    </row>
    <row r="149" spans="2:11" ht="15.75" customHeight="1" x14ac:dyDescent="0.3">
      <c r="B149" s="115">
        <v>6</v>
      </c>
      <c r="C149" s="116" t="s">
        <v>803</v>
      </c>
      <c r="D149" s="116">
        <v>6108</v>
      </c>
      <c r="E149" s="116" t="s">
        <v>324</v>
      </c>
      <c r="F149" s="116" t="s">
        <v>323</v>
      </c>
      <c r="G149" s="117" t="s">
        <v>36</v>
      </c>
      <c r="H149" s="118" t="s">
        <v>794</v>
      </c>
      <c r="I149" s="119">
        <v>3</v>
      </c>
      <c r="J149" s="119">
        <v>2</v>
      </c>
      <c r="K149" s="121" t="s">
        <v>791</v>
      </c>
    </row>
    <row r="150" spans="2:11" ht="15.75" customHeight="1" x14ac:dyDescent="0.3">
      <c r="B150" s="115">
        <v>6</v>
      </c>
      <c r="C150" s="116" t="s">
        <v>803</v>
      </c>
      <c r="D150" s="116">
        <v>6109</v>
      </c>
      <c r="E150" s="116" t="s">
        <v>326</v>
      </c>
      <c r="F150" s="116" t="s">
        <v>325</v>
      </c>
      <c r="G150" s="117" t="s">
        <v>36</v>
      </c>
      <c r="H150" s="118" t="s">
        <v>794</v>
      </c>
      <c r="I150" s="119">
        <v>3</v>
      </c>
      <c r="J150" s="119">
        <v>2</v>
      </c>
      <c r="K150" s="121" t="s">
        <v>791</v>
      </c>
    </row>
    <row r="151" spans="2:11" ht="15.75" customHeight="1" x14ac:dyDescent="0.3">
      <c r="B151" s="115">
        <v>6</v>
      </c>
      <c r="C151" s="116" t="s">
        <v>803</v>
      </c>
      <c r="D151" s="116">
        <v>6204</v>
      </c>
      <c r="E151" s="116" t="s">
        <v>328</v>
      </c>
      <c r="F151" s="116" t="s">
        <v>327</v>
      </c>
      <c r="G151" s="117" t="s">
        <v>36</v>
      </c>
      <c r="H151" s="118" t="s">
        <v>794</v>
      </c>
      <c r="I151" s="119">
        <v>3</v>
      </c>
      <c r="J151" s="119">
        <v>2</v>
      </c>
      <c r="K151" s="121" t="s">
        <v>791</v>
      </c>
    </row>
    <row r="152" spans="2:11" ht="15.75" customHeight="1" x14ac:dyDescent="0.3">
      <c r="B152" s="115">
        <v>6</v>
      </c>
      <c r="C152" s="116" t="s">
        <v>803</v>
      </c>
      <c r="D152" s="116">
        <v>6110</v>
      </c>
      <c r="E152" s="116" t="s">
        <v>364</v>
      </c>
      <c r="F152" s="116" t="s">
        <v>363</v>
      </c>
      <c r="G152" s="117" t="s">
        <v>36</v>
      </c>
      <c r="H152" s="118" t="s">
        <v>794</v>
      </c>
      <c r="I152" s="119">
        <v>3</v>
      </c>
      <c r="J152" s="119">
        <v>2</v>
      </c>
      <c r="K152" s="121" t="s">
        <v>791</v>
      </c>
    </row>
    <row r="153" spans="2:11" ht="15.75" customHeight="1" x14ac:dyDescent="0.3">
      <c r="B153" s="115">
        <v>6</v>
      </c>
      <c r="C153" s="116" t="s">
        <v>803</v>
      </c>
      <c r="D153" s="116">
        <v>6305</v>
      </c>
      <c r="E153" s="116" t="s">
        <v>330</v>
      </c>
      <c r="F153" s="116" t="s">
        <v>329</v>
      </c>
      <c r="G153" s="117" t="s">
        <v>36</v>
      </c>
      <c r="H153" s="118" t="s">
        <v>794</v>
      </c>
      <c r="I153" s="119">
        <v>3</v>
      </c>
      <c r="J153" s="119">
        <v>2</v>
      </c>
      <c r="K153" s="121" t="s">
        <v>791</v>
      </c>
    </row>
    <row r="154" spans="2:11" ht="15.75" customHeight="1" x14ac:dyDescent="0.3">
      <c r="B154" s="115">
        <v>6</v>
      </c>
      <c r="C154" s="116" t="s">
        <v>803</v>
      </c>
      <c r="D154" s="116">
        <v>6205</v>
      </c>
      <c r="E154" s="116" t="s">
        <v>332</v>
      </c>
      <c r="F154" s="116" t="s">
        <v>331</v>
      </c>
      <c r="G154" s="117" t="s">
        <v>34</v>
      </c>
      <c r="H154" s="118" t="s">
        <v>798</v>
      </c>
      <c r="I154" s="119">
        <v>5</v>
      </c>
      <c r="J154" s="119">
        <v>4</v>
      </c>
      <c r="K154" s="121" t="s">
        <v>791</v>
      </c>
    </row>
    <row r="155" spans="2:11" ht="15.75" customHeight="1" x14ac:dyDescent="0.3">
      <c r="B155" s="115">
        <v>6</v>
      </c>
      <c r="C155" s="116" t="s">
        <v>803</v>
      </c>
      <c r="D155" s="116">
        <v>6111</v>
      </c>
      <c r="E155" s="116" t="s">
        <v>334</v>
      </c>
      <c r="F155" s="116" t="s">
        <v>333</v>
      </c>
      <c r="G155" s="117" t="s">
        <v>36</v>
      </c>
      <c r="H155" s="118" t="s">
        <v>794</v>
      </c>
      <c r="I155" s="119">
        <v>3</v>
      </c>
      <c r="J155" s="119">
        <v>2</v>
      </c>
      <c r="K155" s="121" t="s">
        <v>791</v>
      </c>
    </row>
    <row r="156" spans="2:11" ht="15.75" customHeight="1" x14ac:dyDescent="0.3">
      <c r="B156" s="115">
        <v>6</v>
      </c>
      <c r="C156" s="116" t="s">
        <v>803</v>
      </c>
      <c r="D156" s="116">
        <v>6306</v>
      </c>
      <c r="E156" s="116" t="s">
        <v>336</v>
      </c>
      <c r="F156" s="116" t="s">
        <v>335</v>
      </c>
      <c r="G156" s="117" t="s">
        <v>36</v>
      </c>
      <c r="H156" s="118" t="s">
        <v>794</v>
      </c>
      <c r="I156" s="119">
        <v>3</v>
      </c>
      <c r="J156" s="119">
        <v>2</v>
      </c>
      <c r="K156" s="121" t="s">
        <v>791</v>
      </c>
    </row>
    <row r="157" spans="2:11" ht="15.75" customHeight="1" x14ac:dyDescent="0.3">
      <c r="B157" s="115">
        <v>6</v>
      </c>
      <c r="C157" s="116" t="s">
        <v>803</v>
      </c>
      <c r="D157" s="116">
        <v>6206</v>
      </c>
      <c r="E157" s="116" t="s">
        <v>338</v>
      </c>
      <c r="F157" s="116" t="s">
        <v>337</v>
      </c>
      <c r="G157" s="117" t="s">
        <v>36</v>
      </c>
      <c r="H157" s="118" t="s">
        <v>795</v>
      </c>
      <c r="I157" s="119">
        <v>4</v>
      </c>
      <c r="J157" s="119">
        <v>3</v>
      </c>
      <c r="K157" s="121" t="s">
        <v>791</v>
      </c>
    </row>
    <row r="158" spans="2:11" ht="15.75" customHeight="1" x14ac:dyDescent="0.3">
      <c r="B158" s="115">
        <v>6</v>
      </c>
      <c r="C158" s="116" t="s">
        <v>803</v>
      </c>
      <c r="D158" s="116">
        <v>6307</v>
      </c>
      <c r="E158" s="116" t="s">
        <v>346</v>
      </c>
      <c r="F158" s="116" t="s">
        <v>345</v>
      </c>
      <c r="G158" s="117" t="s">
        <v>36</v>
      </c>
      <c r="H158" s="118" t="s">
        <v>794</v>
      </c>
      <c r="I158" s="119">
        <v>3</v>
      </c>
      <c r="J158" s="119">
        <v>2</v>
      </c>
      <c r="K158" s="121" t="s">
        <v>791</v>
      </c>
    </row>
    <row r="159" spans="2:11" ht="15.75" customHeight="1" x14ac:dyDescent="0.3">
      <c r="B159" s="115">
        <v>6</v>
      </c>
      <c r="C159" s="116" t="s">
        <v>803</v>
      </c>
      <c r="D159" s="116">
        <v>6112</v>
      </c>
      <c r="E159" s="116" t="s">
        <v>340</v>
      </c>
      <c r="F159" s="116" t="s">
        <v>339</v>
      </c>
      <c r="G159" s="117" t="s">
        <v>36</v>
      </c>
      <c r="H159" s="118" t="s">
        <v>794</v>
      </c>
      <c r="I159" s="119">
        <v>3</v>
      </c>
      <c r="J159" s="119">
        <v>2</v>
      </c>
      <c r="K159" s="121" t="s">
        <v>791</v>
      </c>
    </row>
    <row r="160" spans="2:11" ht="15.75" customHeight="1" x14ac:dyDescent="0.3">
      <c r="B160" s="115">
        <v>6</v>
      </c>
      <c r="C160" s="116" t="s">
        <v>803</v>
      </c>
      <c r="D160" s="116">
        <v>6113</v>
      </c>
      <c r="E160" s="116" t="s">
        <v>342</v>
      </c>
      <c r="F160" s="116" t="s">
        <v>341</v>
      </c>
      <c r="G160" s="117" t="s">
        <v>36</v>
      </c>
      <c r="H160" s="118" t="s">
        <v>794</v>
      </c>
      <c r="I160" s="119">
        <v>3</v>
      </c>
      <c r="J160" s="119">
        <v>2</v>
      </c>
      <c r="K160" s="121" t="s">
        <v>791</v>
      </c>
    </row>
    <row r="161" spans="2:11" ht="15.75" customHeight="1" x14ac:dyDescent="0.3">
      <c r="B161" s="115">
        <v>6</v>
      </c>
      <c r="C161" s="116" t="s">
        <v>803</v>
      </c>
      <c r="D161" s="116">
        <v>6201</v>
      </c>
      <c r="E161" s="116" t="s">
        <v>344</v>
      </c>
      <c r="F161" s="116" t="s">
        <v>343</v>
      </c>
      <c r="G161" s="117" t="s">
        <v>36</v>
      </c>
      <c r="H161" s="118" t="s">
        <v>798</v>
      </c>
      <c r="I161" s="119">
        <v>5</v>
      </c>
      <c r="J161" s="119">
        <v>4</v>
      </c>
      <c r="K161" s="121" t="s">
        <v>791</v>
      </c>
    </row>
    <row r="162" spans="2:11" ht="15.75" customHeight="1" x14ac:dyDescent="0.3">
      <c r="B162" s="115">
        <v>6</v>
      </c>
      <c r="C162" s="116" t="s">
        <v>803</v>
      </c>
      <c r="D162" s="116">
        <v>6308</v>
      </c>
      <c r="E162" s="116" t="s">
        <v>348</v>
      </c>
      <c r="F162" s="116" t="s">
        <v>347</v>
      </c>
      <c r="G162" s="117" t="s">
        <v>36</v>
      </c>
      <c r="H162" s="118" t="s">
        <v>794</v>
      </c>
      <c r="I162" s="119">
        <v>3</v>
      </c>
      <c r="J162" s="119">
        <v>2</v>
      </c>
      <c r="K162" s="121" t="s">
        <v>791</v>
      </c>
    </row>
    <row r="163" spans="2:11" ht="15.75" customHeight="1" x14ac:dyDescent="0.3">
      <c r="B163" s="115">
        <v>6</v>
      </c>
      <c r="C163" s="116" t="s">
        <v>803</v>
      </c>
      <c r="D163" s="116">
        <v>6309</v>
      </c>
      <c r="E163" s="116" t="s">
        <v>350</v>
      </c>
      <c r="F163" s="116" t="s">
        <v>349</v>
      </c>
      <c r="G163" s="117" t="s">
        <v>36</v>
      </c>
      <c r="H163" s="118" t="s">
        <v>795</v>
      </c>
      <c r="I163" s="119">
        <v>4</v>
      </c>
      <c r="J163" s="119">
        <v>3</v>
      </c>
      <c r="K163" s="121" t="s">
        <v>791</v>
      </c>
    </row>
    <row r="164" spans="2:11" ht="15.75" customHeight="1" x14ac:dyDescent="0.3">
      <c r="B164" s="115">
        <v>6</v>
      </c>
      <c r="C164" s="116" t="s">
        <v>803</v>
      </c>
      <c r="D164" s="116">
        <v>6114</v>
      </c>
      <c r="E164" s="116" t="s">
        <v>352</v>
      </c>
      <c r="F164" s="116" t="s">
        <v>351</v>
      </c>
      <c r="G164" s="117" t="s">
        <v>36</v>
      </c>
      <c r="H164" s="118" t="s">
        <v>794</v>
      </c>
      <c r="I164" s="119">
        <v>3</v>
      </c>
      <c r="J164" s="119">
        <v>2</v>
      </c>
      <c r="K164" s="121" t="s">
        <v>791</v>
      </c>
    </row>
    <row r="165" spans="2:11" ht="15.75" customHeight="1" x14ac:dyDescent="0.3">
      <c r="B165" s="115">
        <v>6</v>
      </c>
      <c r="C165" s="116" t="s">
        <v>803</v>
      </c>
      <c r="D165" s="116">
        <v>6101</v>
      </c>
      <c r="E165" s="116" t="s">
        <v>36</v>
      </c>
      <c r="F165" s="116" t="s">
        <v>300</v>
      </c>
      <c r="G165" s="117" t="s">
        <v>36</v>
      </c>
      <c r="H165" s="118" t="s">
        <v>790</v>
      </c>
      <c r="I165" s="119">
        <v>2</v>
      </c>
      <c r="J165" s="119">
        <v>1</v>
      </c>
      <c r="K165" s="121" t="s">
        <v>791</v>
      </c>
    </row>
    <row r="166" spans="2:11" ht="15.75" customHeight="1" x14ac:dyDescent="0.3">
      <c r="B166" s="115">
        <v>6</v>
      </c>
      <c r="C166" s="116" t="s">
        <v>803</v>
      </c>
      <c r="D166" s="116">
        <v>6115</v>
      </c>
      <c r="E166" s="116" t="s">
        <v>356</v>
      </c>
      <c r="F166" s="116" t="s">
        <v>355</v>
      </c>
      <c r="G166" s="117" t="s">
        <v>36</v>
      </c>
      <c r="H166" s="118" t="s">
        <v>794</v>
      </c>
      <c r="I166" s="119">
        <v>3</v>
      </c>
      <c r="J166" s="119">
        <v>2</v>
      </c>
      <c r="K166" s="121" t="s">
        <v>791</v>
      </c>
    </row>
    <row r="167" spans="2:11" ht="15.75" customHeight="1" x14ac:dyDescent="0.3">
      <c r="B167" s="115">
        <v>6</v>
      </c>
      <c r="C167" s="116" t="s">
        <v>803</v>
      </c>
      <c r="D167" s="116">
        <v>6116</v>
      </c>
      <c r="E167" s="116" t="s">
        <v>354</v>
      </c>
      <c r="F167" s="116" t="s">
        <v>353</v>
      </c>
      <c r="G167" s="117" t="s">
        <v>36</v>
      </c>
      <c r="H167" s="118" t="s">
        <v>794</v>
      </c>
      <c r="I167" s="119">
        <v>3</v>
      </c>
      <c r="J167" s="119">
        <v>2</v>
      </c>
      <c r="K167" s="121" t="s">
        <v>791</v>
      </c>
    </row>
    <row r="168" spans="2:11" ht="15.75" customHeight="1" x14ac:dyDescent="0.3">
      <c r="B168" s="115">
        <v>6</v>
      </c>
      <c r="C168" s="116" t="s">
        <v>803</v>
      </c>
      <c r="D168" s="116">
        <v>6301</v>
      </c>
      <c r="E168" s="116" t="s">
        <v>358</v>
      </c>
      <c r="F168" s="116" t="s">
        <v>357</v>
      </c>
      <c r="G168" s="117" t="s">
        <v>36</v>
      </c>
      <c r="H168" s="118" t="s">
        <v>794</v>
      </c>
      <c r="I168" s="119">
        <v>3</v>
      </c>
      <c r="J168" s="119">
        <v>2</v>
      </c>
      <c r="K168" s="121" t="s">
        <v>791</v>
      </c>
    </row>
    <row r="169" spans="2:11" ht="15.75" customHeight="1" x14ac:dyDescent="0.3">
      <c r="B169" s="115">
        <v>6</v>
      </c>
      <c r="C169" s="116" t="s">
        <v>803</v>
      </c>
      <c r="D169" s="116">
        <v>6117</v>
      </c>
      <c r="E169" s="116" t="s">
        <v>360</v>
      </c>
      <c r="F169" s="116" t="s">
        <v>359</v>
      </c>
      <c r="G169" s="117" t="s">
        <v>36</v>
      </c>
      <c r="H169" s="118" t="s">
        <v>794</v>
      </c>
      <c r="I169" s="119">
        <v>3</v>
      </c>
      <c r="J169" s="119">
        <v>2</v>
      </c>
      <c r="K169" s="121" t="s">
        <v>791</v>
      </c>
    </row>
    <row r="170" spans="2:11" ht="15.75" customHeight="1" x14ac:dyDescent="0.3">
      <c r="B170" s="115">
        <v>6</v>
      </c>
      <c r="C170" s="116" t="s">
        <v>803</v>
      </c>
      <c r="D170" s="116">
        <v>6310</v>
      </c>
      <c r="E170" s="116" t="s">
        <v>362</v>
      </c>
      <c r="F170" s="116" t="s">
        <v>361</v>
      </c>
      <c r="G170" s="117" t="s">
        <v>36</v>
      </c>
      <c r="H170" s="118" t="s">
        <v>795</v>
      </c>
      <c r="I170" s="119">
        <v>4</v>
      </c>
      <c r="J170" s="119">
        <v>3</v>
      </c>
      <c r="K170" s="121" t="s">
        <v>791</v>
      </c>
    </row>
    <row r="171" spans="2:11" ht="15.75" customHeight="1" x14ac:dyDescent="0.3">
      <c r="B171" s="115">
        <v>7</v>
      </c>
      <c r="C171" s="116" t="s">
        <v>804</v>
      </c>
      <c r="D171" s="116">
        <v>7201</v>
      </c>
      <c r="E171" s="116" t="s">
        <v>369</v>
      </c>
      <c r="F171" s="116" t="s">
        <v>368</v>
      </c>
      <c r="G171" s="117" t="s">
        <v>40</v>
      </c>
      <c r="H171" s="118" t="s">
        <v>795</v>
      </c>
      <c r="I171" s="119">
        <v>4</v>
      </c>
      <c r="J171" s="119">
        <v>3</v>
      </c>
      <c r="K171" s="121" t="s">
        <v>791</v>
      </c>
    </row>
    <row r="172" spans="2:11" ht="15.75" customHeight="1" x14ac:dyDescent="0.3">
      <c r="B172" s="115">
        <v>7</v>
      </c>
      <c r="C172" s="116" t="s">
        <v>804</v>
      </c>
      <c r="D172" s="116">
        <v>7202</v>
      </c>
      <c r="E172" s="116" t="s">
        <v>371</v>
      </c>
      <c r="F172" s="116" t="s">
        <v>370</v>
      </c>
      <c r="G172" s="117" t="s">
        <v>40</v>
      </c>
      <c r="H172" s="118" t="s">
        <v>795</v>
      </c>
      <c r="I172" s="119">
        <v>4</v>
      </c>
      <c r="J172" s="119">
        <v>3</v>
      </c>
      <c r="K172" s="121" t="s">
        <v>791</v>
      </c>
    </row>
    <row r="173" spans="2:11" ht="15.75" customHeight="1" x14ac:dyDescent="0.3">
      <c r="B173" s="115">
        <v>7</v>
      </c>
      <c r="C173" s="116" t="s">
        <v>804</v>
      </c>
      <c r="D173" s="116">
        <v>7402</v>
      </c>
      <c r="E173" s="116" t="s">
        <v>373</v>
      </c>
      <c r="F173" s="116" t="s">
        <v>372</v>
      </c>
      <c r="G173" s="117" t="s">
        <v>40</v>
      </c>
      <c r="H173" s="118" t="s">
        <v>794</v>
      </c>
      <c r="I173" s="119">
        <v>3</v>
      </c>
      <c r="J173" s="119">
        <v>2</v>
      </c>
      <c r="K173" s="121" t="s">
        <v>791</v>
      </c>
    </row>
    <row r="174" spans="2:11" ht="15.75" customHeight="1" x14ac:dyDescent="0.3">
      <c r="B174" s="115">
        <v>7</v>
      </c>
      <c r="C174" s="116" t="s">
        <v>804</v>
      </c>
      <c r="D174" s="116">
        <v>7102</v>
      </c>
      <c r="E174" s="116" t="s">
        <v>375</v>
      </c>
      <c r="F174" s="116" t="s">
        <v>374</v>
      </c>
      <c r="G174" s="117" t="s">
        <v>40</v>
      </c>
      <c r="H174" s="118" t="s">
        <v>794</v>
      </c>
      <c r="I174" s="119">
        <v>3</v>
      </c>
      <c r="J174" s="119">
        <v>2</v>
      </c>
      <c r="K174" s="121" t="s">
        <v>791</v>
      </c>
    </row>
    <row r="175" spans="2:11" ht="15.75" customHeight="1" x14ac:dyDescent="0.3">
      <c r="B175" s="115">
        <v>7</v>
      </c>
      <c r="C175" s="116" t="s">
        <v>804</v>
      </c>
      <c r="D175" s="116">
        <v>7103</v>
      </c>
      <c r="E175" s="116" t="s">
        <v>377</v>
      </c>
      <c r="F175" s="116" t="s">
        <v>376</v>
      </c>
      <c r="G175" s="117" t="s">
        <v>38</v>
      </c>
      <c r="H175" s="118" t="s">
        <v>798</v>
      </c>
      <c r="I175" s="119">
        <v>5</v>
      </c>
      <c r="J175" s="119">
        <v>4</v>
      </c>
      <c r="K175" s="121" t="s">
        <v>791</v>
      </c>
    </row>
    <row r="176" spans="2:11" ht="15.75" customHeight="1" x14ac:dyDescent="0.3">
      <c r="B176" s="115">
        <v>7</v>
      </c>
      <c r="C176" s="116" t="s">
        <v>804</v>
      </c>
      <c r="D176" s="116">
        <v>7301</v>
      </c>
      <c r="E176" s="116" t="s">
        <v>38</v>
      </c>
      <c r="F176" s="116" t="s">
        <v>366</v>
      </c>
      <c r="G176" s="117" t="s">
        <v>38</v>
      </c>
      <c r="H176" s="118" t="s">
        <v>790</v>
      </c>
      <c r="I176" s="119">
        <v>2</v>
      </c>
      <c r="J176" s="119">
        <v>1</v>
      </c>
      <c r="K176" s="121" t="s">
        <v>791</v>
      </c>
    </row>
    <row r="177" spans="2:11" ht="15.75" customHeight="1" x14ac:dyDescent="0.3">
      <c r="B177" s="115">
        <v>7</v>
      </c>
      <c r="C177" s="116" t="s">
        <v>804</v>
      </c>
      <c r="D177" s="116">
        <v>7104</v>
      </c>
      <c r="E177" s="116" t="s">
        <v>379</v>
      </c>
      <c r="F177" s="116" t="s">
        <v>378</v>
      </c>
      <c r="G177" s="117" t="s">
        <v>40</v>
      </c>
      <c r="H177" s="118" t="s">
        <v>795</v>
      </c>
      <c r="I177" s="119">
        <v>4</v>
      </c>
      <c r="J177" s="119">
        <v>3</v>
      </c>
      <c r="K177" s="121" t="s">
        <v>791</v>
      </c>
    </row>
    <row r="178" spans="2:11" ht="15.75" customHeight="1" x14ac:dyDescent="0.3">
      <c r="B178" s="115">
        <v>7</v>
      </c>
      <c r="C178" s="116" t="s">
        <v>804</v>
      </c>
      <c r="D178" s="116">
        <v>7302</v>
      </c>
      <c r="E178" s="116" t="s">
        <v>381</v>
      </c>
      <c r="F178" s="116" t="s">
        <v>380</v>
      </c>
      <c r="G178" s="117" t="s">
        <v>38</v>
      </c>
      <c r="H178" s="118" t="s">
        <v>795</v>
      </c>
      <c r="I178" s="119">
        <v>4</v>
      </c>
      <c r="J178" s="119">
        <v>3</v>
      </c>
      <c r="K178" s="121" t="s">
        <v>791</v>
      </c>
    </row>
    <row r="179" spans="2:11" ht="15.75" customHeight="1" x14ac:dyDescent="0.3">
      <c r="B179" s="115">
        <v>7</v>
      </c>
      <c r="C179" s="116" t="s">
        <v>804</v>
      </c>
      <c r="D179" s="116">
        <v>7303</v>
      </c>
      <c r="E179" s="116" t="s">
        <v>383</v>
      </c>
      <c r="F179" s="116" t="s">
        <v>382</v>
      </c>
      <c r="G179" s="117" t="s">
        <v>38</v>
      </c>
      <c r="H179" s="118" t="s">
        <v>798</v>
      </c>
      <c r="I179" s="119">
        <v>5</v>
      </c>
      <c r="J179" s="119">
        <v>4</v>
      </c>
      <c r="K179" s="121" t="s">
        <v>791</v>
      </c>
    </row>
    <row r="180" spans="2:11" ht="15.75" customHeight="1" x14ac:dyDescent="0.3">
      <c r="B180" s="115">
        <v>7</v>
      </c>
      <c r="C180" s="116" t="s">
        <v>804</v>
      </c>
      <c r="D180" s="116">
        <v>7401</v>
      </c>
      <c r="E180" s="116" t="s">
        <v>385</v>
      </c>
      <c r="F180" s="116" t="s">
        <v>384</v>
      </c>
      <c r="G180" s="117" t="s">
        <v>40</v>
      </c>
      <c r="H180" s="118" t="s">
        <v>794</v>
      </c>
      <c r="I180" s="119">
        <v>3</v>
      </c>
      <c r="J180" s="119">
        <v>2</v>
      </c>
      <c r="K180" s="121" t="s">
        <v>791</v>
      </c>
    </row>
    <row r="181" spans="2:11" ht="15.75" customHeight="1" x14ac:dyDescent="0.3">
      <c r="B181" s="115">
        <v>7</v>
      </c>
      <c r="C181" s="116" t="s">
        <v>804</v>
      </c>
      <c r="D181" s="116">
        <v>7403</v>
      </c>
      <c r="E181" s="116" t="s">
        <v>387</v>
      </c>
      <c r="F181" s="116" t="s">
        <v>386</v>
      </c>
      <c r="G181" s="117" t="s">
        <v>40</v>
      </c>
      <c r="H181" s="118" t="s">
        <v>794</v>
      </c>
      <c r="I181" s="119">
        <v>3</v>
      </c>
      <c r="J181" s="119">
        <v>2</v>
      </c>
      <c r="K181" s="121" t="s">
        <v>791</v>
      </c>
    </row>
    <row r="182" spans="2:11" ht="15.75" customHeight="1" x14ac:dyDescent="0.3">
      <c r="B182" s="115">
        <v>7</v>
      </c>
      <c r="C182" s="116" t="s">
        <v>804</v>
      </c>
      <c r="D182" s="116">
        <v>7105</v>
      </c>
      <c r="E182" s="116" t="s">
        <v>389</v>
      </c>
      <c r="F182" s="116" t="s">
        <v>388</v>
      </c>
      <c r="G182" s="117" t="s">
        <v>40</v>
      </c>
      <c r="H182" s="118" t="s">
        <v>794</v>
      </c>
      <c r="I182" s="119">
        <v>3</v>
      </c>
      <c r="J182" s="119">
        <v>2</v>
      </c>
      <c r="K182" s="121" t="s">
        <v>791</v>
      </c>
    </row>
    <row r="183" spans="2:11" ht="15.75" customHeight="1" x14ac:dyDescent="0.3">
      <c r="B183" s="115">
        <v>7</v>
      </c>
      <c r="C183" s="116" t="s">
        <v>804</v>
      </c>
      <c r="D183" s="116">
        <v>7304</v>
      </c>
      <c r="E183" s="116" t="s">
        <v>391</v>
      </c>
      <c r="F183" s="116" t="s">
        <v>390</v>
      </c>
      <c r="G183" s="117" t="s">
        <v>38</v>
      </c>
      <c r="H183" s="118" t="s">
        <v>794</v>
      </c>
      <c r="I183" s="119">
        <v>3</v>
      </c>
      <c r="J183" s="119">
        <v>2</v>
      </c>
      <c r="K183" s="121" t="s">
        <v>791</v>
      </c>
    </row>
    <row r="184" spans="2:11" ht="15.75" customHeight="1" x14ac:dyDescent="0.3">
      <c r="B184" s="115">
        <v>7</v>
      </c>
      <c r="C184" s="116" t="s">
        <v>804</v>
      </c>
      <c r="D184" s="116">
        <v>7404</v>
      </c>
      <c r="E184" s="116" t="s">
        <v>393</v>
      </c>
      <c r="F184" s="116" t="s">
        <v>392</v>
      </c>
      <c r="G184" s="117" t="s">
        <v>40</v>
      </c>
      <c r="H184" s="118" t="s">
        <v>795</v>
      </c>
      <c r="I184" s="119">
        <v>4</v>
      </c>
      <c r="J184" s="119">
        <v>3</v>
      </c>
      <c r="K184" s="121" t="s">
        <v>791</v>
      </c>
    </row>
    <row r="185" spans="2:11" ht="15.75" customHeight="1" x14ac:dyDescent="0.3">
      <c r="B185" s="115">
        <v>7</v>
      </c>
      <c r="C185" s="116" t="s">
        <v>804</v>
      </c>
      <c r="D185" s="116">
        <v>7106</v>
      </c>
      <c r="E185" s="116" t="s">
        <v>395</v>
      </c>
      <c r="F185" s="116" t="s">
        <v>394</v>
      </c>
      <c r="G185" s="117" t="s">
        <v>40</v>
      </c>
      <c r="H185" s="118" t="s">
        <v>794</v>
      </c>
      <c r="I185" s="119">
        <v>3</v>
      </c>
      <c r="J185" s="119">
        <v>2</v>
      </c>
      <c r="K185" s="121" t="s">
        <v>791</v>
      </c>
    </row>
    <row r="186" spans="2:11" ht="15.75" customHeight="1" x14ac:dyDescent="0.3">
      <c r="B186" s="115">
        <v>7</v>
      </c>
      <c r="C186" s="116" t="s">
        <v>804</v>
      </c>
      <c r="D186" s="116">
        <v>7203</v>
      </c>
      <c r="E186" s="116" t="s">
        <v>397</v>
      </c>
      <c r="F186" s="116" t="s">
        <v>396</v>
      </c>
      <c r="G186" s="117" t="s">
        <v>40</v>
      </c>
      <c r="H186" s="118" t="s">
        <v>795</v>
      </c>
      <c r="I186" s="119">
        <v>4</v>
      </c>
      <c r="J186" s="119">
        <v>3</v>
      </c>
      <c r="K186" s="121" t="s">
        <v>791</v>
      </c>
    </row>
    <row r="187" spans="2:11" ht="15.75" customHeight="1" x14ac:dyDescent="0.3">
      <c r="B187" s="115">
        <v>7</v>
      </c>
      <c r="C187" s="116" t="s">
        <v>804</v>
      </c>
      <c r="D187" s="116">
        <v>7107</v>
      </c>
      <c r="E187" s="116" t="s">
        <v>399</v>
      </c>
      <c r="F187" s="116" t="s">
        <v>398</v>
      </c>
      <c r="G187" s="117" t="s">
        <v>40</v>
      </c>
      <c r="H187" s="118" t="s">
        <v>794</v>
      </c>
      <c r="I187" s="119">
        <v>3</v>
      </c>
      <c r="J187" s="119">
        <v>2</v>
      </c>
      <c r="K187" s="121" t="s">
        <v>791</v>
      </c>
    </row>
    <row r="188" spans="2:11" ht="15.75" customHeight="1" x14ac:dyDescent="0.3">
      <c r="B188" s="115">
        <v>7</v>
      </c>
      <c r="C188" s="116" t="s">
        <v>804</v>
      </c>
      <c r="D188" s="116">
        <v>7305</v>
      </c>
      <c r="E188" s="116" t="s">
        <v>401</v>
      </c>
      <c r="F188" s="116" t="s">
        <v>400</v>
      </c>
      <c r="G188" s="117" t="s">
        <v>38</v>
      </c>
      <c r="H188" s="118" t="s">
        <v>794</v>
      </c>
      <c r="I188" s="119">
        <v>3</v>
      </c>
      <c r="J188" s="119">
        <v>2</v>
      </c>
      <c r="K188" s="121" t="s">
        <v>791</v>
      </c>
    </row>
    <row r="189" spans="2:11" ht="15.75" customHeight="1" x14ac:dyDescent="0.3">
      <c r="B189" s="115">
        <v>7</v>
      </c>
      <c r="C189" s="116" t="s">
        <v>804</v>
      </c>
      <c r="D189" s="116">
        <v>7405</v>
      </c>
      <c r="E189" s="116" t="s">
        <v>405</v>
      </c>
      <c r="F189" s="116" t="s">
        <v>404</v>
      </c>
      <c r="G189" s="117" t="s">
        <v>40</v>
      </c>
      <c r="H189" s="118" t="s">
        <v>795</v>
      </c>
      <c r="I189" s="119">
        <v>4</v>
      </c>
      <c r="J189" s="119">
        <v>3</v>
      </c>
      <c r="K189" s="121" t="s">
        <v>791</v>
      </c>
    </row>
    <row r="190" spans="2:11" ht="15.75" customHeight="1" x14ac:dyDescent="0.3">
      <c r="B190" s="115">
        <v>7</v>
      </c>
      <c r="C190" s="116" t="s">
        <v>804</v>
      </c>
      <c r="D190" s="116">
        <v>7108</v>
      </c>
      <c r="E190" s="116" t="s">
        <v>403</v>
      </c>
      <c r="F190" s="116" t="s">
        <v>402</v>
      </c>
      <c r="G190" s="117" t="s">
        <v>40</v>
      </c>
      <c r="H190" s="118" t="s">
        <v>794</v>
      </c>
      <c r="I190" s="119">
        <v>3</v>
      </c>
      <c r="J190" s="119">
        <v>2</v>
      </c>
      <c r="K190" s="121" t="s">
        <v>791</v>
      </c>
    </row>
    <row r="191" spans="2:11" ht="15.75" customHeight="1" x14ac:dyDescent="0.3">
      <c r="B191" s="115">
        <v>7</v>
      </c>
      <c r="C191" s="116" t="s">
        <v>804</v>
      </c>
      <c r="D191" s="116">
        <v>7306</v>
      </c>
      <c r="E191" s="116" t="s">
        <v>407</v>
      </c>
      <c r="F191" s="116" t="s">
        <v>406</v>
      </c>
      <c r="G191" s="117" t="s">
        <v>38</v>
      </c>
      <c r="H191" s="118" t="s">
        <v>794</v>
      </c>
      <c r="I191" s="119">
        <v>3</v>
      </c>
      <c r="J191" s="119">
        <v>2</v>
      </c>
      <c r="K191" s="121" t="s">
        <v>791</v>
      </c>
    </row>
    <row r="192" spans="2:11" ht="15.75" customHeight="1" x14ac:dyDescent="0.3">
      <c r="B192" s="115">
        <v>7</v>
      </c>
      <c r="C192" s="116" t="s">
        <v>804</v>
      </c>
      <c r="D192" s="116">
        <v>7307</v>
      </c>
      <c r="E192" s="116" t="s">
        <v>409</v>
      </c>
      <c r="F192" s="116" t="s">
        <v>408</v>
      </c>
      <c r="G192" s="117" t="s">
        <v>38</v>
      </c>
      <c r="H192" s="118" t="s">
        <v>794</v>
      </c>
      <c r="I192" s="119">
        <v>3</v>
      </c>
      <c r="J192" s="119">
        <v>2</v>
      </c>
      <c r="K192" s="121" t="s">
        <v>791</v>
      </c>
    </row>
    <row r="193" spans="2:11" ht="15.75" customHeight="1" x14ac:dyDescent="0.3">
      <c r="B193" s="115">
        <v>7</v>
      </c>
      <c r="C193" s="116" t="s">
        <v>804</v>
      </c>
      <c r="D193" s="116">
        <v>7109</v>
      </c>
      <c r="E193" s="116" t="s">
        <v>411</v>
      </c>
      <c r="F193" s="116" t="s">
        <v>410</v>
      </c>
      <c r="G193" s="117" t="s">
        <v>40</v>
      </c>
      <c r="H193" s="118" t="s">
        <v>794</v>
      </c>
      <c r="I193" s="119">
        <v>3</v>
      </c>
      <c r="J193" s="119">
        <v>2</v>
      </c>
      <c r="K193" s="121" t="s">
        <v>791</v>
      </c>
    </row>
    <row r="194" spans="2:11" ht="15.75" customHeight="1" x14ac:dyDescent="0.3">
      <c r="B194" s="115">
        <v>7</v>
      </c>
      <c r="C194" s="116" t="s">
        <v>804</v>
      </c>
      <c r="D194" s="116">
        <v>7406</v>
      </c>
      <c r="E194" s="116" t="s">
        <v>413</v>
      </c>
      <c r="F194" s="116" t="s">
        <v>412</v>
      </c>
      <c r="G194" s="117" t="s">
        <v>40</v>
      </c>
      <c r="H194" s="118" t="s">
        <v>794</v>
      </c>
      <c r="I194" s="119">
        <v>3</v>
      </c>
      <c r="J194" s="119">
        <v>2</v>
      </c>
      <c r="K194" s="121" t="s">
        <v>791</v>
      </c>
    </row>
    <row r="195" spans="2:11" ht="15.75" customHeight="1" x14ac:dyDescent="0.3">
      <c r="B195" s="115">
        <v>7</v>
      </c>
      <c r="C195" s="116" t="s">
        <v>804</v>
      </c>
      <c r="D195" s="116">
        <v>7110</v>
      </c>
      <c r="E195" s="116" t="s">
        <v>415</v>
      </c>
      <c r="F195" s="116" t="s">
        <v>414</v>
      </c>
      <c r="G195" s="117" t="s">
        <v>40</v>
      </c>
      <c r="H195" s="118" t="s">
        <v>794</v>
      </c>
      <c r="I195" s="119">
        <v>3</v>
      </c>
      <c r="J195" s="119">
        <v>2</v>
      </c>
      <c r="K195" s="121" t="s">
        <v>791</v>
      </c>
    </row>
    <row r="196" spans="2:11" ht="15.75" customHeight="1" x14ac:dyDescent="0.3">
      <c r="B196" s="115">
        <v>7</v>
      </c>
      <c r="C196" s="116" t="s">
        <v>804</v>
      </c>
      <c r="D196" s="116">
        <v>7101</v>
      </c>
      <c r="E196" s="116" t="s">
        <v>40</v>
      </c>
      <c r="F196" s="116" t="s">
        <v>367</v>
      </c>
      <c r="G196" s="117" t="s">
        <v>40</v>
      </c>
      <c r="H196" s="118" t="s">
        <v>790</v>
      </c>
      <c r="I196" s="119">
        <v>2</v>
      </c>
      <c r="J196" s="119">
        <v>1</v>
      </c>
      <c r="K196" s="121" t="s">
        <v>791</v>
      </c>
    </row>
    <row r="197" spans="2:11" ht="15.75" customHeight="1" x14ac:dyDescent="0.3">
      <c r="B197" s="115">
        <v>7</v>
      </c>
      <c r="C197" s="116" t="s">
        <v>804</v>
      </c>
      <c r="D197" s="116">
        <v>7308</v>
      </c>
      <c r="E197" s="116" t="s">
        <v>417</v>
      </c>
      <c r="F197" s="116" t="s">
        <v>416</v>
      </c>
      <c r="G197" s="117" t="s">
        <v>38</v>
      </c>
      <c r="H197" s="118" t="s">
        <v>794</v>
      </c>
      <c r="I197" s="119">
        <v>3</v>
      </c>
      <c r="J197" s="119">
        <v>2</v>
      </c>
      <c r="K197" s="121" t="s">
        <v>791</v>
      </c>
    </row>
    <row r="198" spans="2:11" ht="15.75" customHeight="1" x14ac:dyDescent="0.3">
      <c r="B198" s="115">
        <v>7</v>
      </c>
      <c r="C198" s="116" t="s">
        <v>804</v>
      </c>
      <c r="D198" s="116">
        <v>7309</v>
      </c>
      <c r="E198" s="116" t="s">
        <v>419</v>
      </c>
      <c r="F198" s="116" t="s">
        <v>418</v>
      </c>
      <c r="G198" s="117" t="s">
        <v>38</v>
      </c>
      <c r="H198" s="118" t="s">
        <v>798</v>
      </c>
      <c r="I198" s="119">
        <v>5</v>
      </c>
      <c r="J198" s="119">
        <v>4</v>
      </c>
      <c r="K198" s="121" t="s">
        <v>791</v>
      </c>
    </row>
    <row r="199" spans="2:11" ht="15.75" customHeight="1" x14ac:dyDescent="0.3">
      <c r="B199" s="115">
        <v>7</v>
      </c>
      <c r="C199" s="116" t="s">
        <v>804</v>
      </c>
      <c r="D199" s="116">
        <v>7407</v>
      </c>
      <c r="E199" s="116" t="s">
        <v>421</v>
      </c>
      <c r="F199" s="116" t="s">
        <v>420</v>
      </c>
      <c r="G199" s="117" t="s">
        <v>40</v>
      </c>
      <c r="H199" s="118" t="s">
        <v>794</v>
      </c>
      <c r="I199" s="119">
        <v>3</v>
      </c>
      <c r="J199" s="119">
        <v>2</v>
      </c>
      <c r="K199" s="121" t="s">
        <v>791</v>
      </c>
    </row>
    <row r="200" spans="2:11" ht="15.75" customHeight="1" x14ac:dyDescent="0.3">
      <c r="B200" s="115">
        <v>7</v>
      </c>
      <c r="C200" s="116" t="s">
        <v>804</v>
      </c>
      <c r="D200" s="116">
        <v>7408</v>
      </c>
      <c r="E200" s="116" t="s">
        <v>423</v>
      </c>
      <c r="F200" s="116" t="s">
        <v>422</v>
      </c>
      <c r="G200" s="117" t="s">
        <v>40</v>
      </c>
      <c r="H200" s="118" t="s">
        <v>794</v>
      </c>
      <c r="I200" s="119">
        <v>3</v>
      </c>
      <c r="J200" s="119">
        <v>2</v>
      </c>
      <c r="K200" s="121" t="s">
        <v>791</v>
      </c>
    </row>
    <row r="201" spans="2:11" ht="15.75" customHeight="1" x14ac:dyDescent="0.3">
      <c r="B201" s="115">
        <v>16</v>
      </c>
      <c r="C201" s="116" t="s">
        <v>805</v>
      </c>
      <c r="D201" s="116">
        <v>16102</v>
      </c>
      <c r="E201" s="116" t="s">
        <v>429</v>
      </c>
      <c r="F201" s="116" t="s">
        <v>428</v>
      </c>
      <c r="G201" s="117" t="s">
        <v>41</v>
      </c>
      <c r="H201" s="118" t="s">
        <v>794</v>
      </c>
      <c r="I201" s="119">
        <v>3</v>
      </c>
      <c r="J201" s="119">
        <v>2</v>
      </c>
      <c r="K201" s="121" t="s">
        <v>791</v>
      </c>
    </row>
    <row r="202" spans="2:11" ht="15.75" customHeight="1" x14ac:dyDescent="0.3">
      <c r="B202" s="115">
        <v>16</v>
      </c>
      <c r="C202" s="116" t="s">
        <v>805</v>
      </c>
      <c r="D202" s="116">
        <v>16101</v>
      </c>
      <c r="E202" s="116" t="s">
        <v>41</v>
      </c>
      <c r="F202" s="116" t="s">
        <v>425</v>
      </c>
      <c r="G202" s="117" t="s">
        <v>41</v>
      </c>
      <c r="H202" s="118" t="s">
        <v>790</v>
      </c>
      <c r="I202" s="119">
        <v>2</v>
      </c>
      <c r="J202" s="119">
        <v>1</v>
      </c>
      <c r="K202" s="121" t="s">
        <v>791</v>
      </c>
    </row>
    <row r="203" spans="2:11" ht="15.75" customHeight="1" x14ac:dyDescent="0.3">
      <c r="B203" s="115">
        <v>16</v>
      </c>
      <c r="C203" s="116" t="s">
        <v>805</v>
      </c>
      <c r="D203" s="116">
        <v>16103</v>
      </c>
      <c r="E203" s="116" t="s">
        <v>427</v>
      </c>
      <c r="F203" s="116" t="s">
        <v>426</v>
      </c>
      <c r="G203" s="117" t="s">
        <v>41</v>
      </c>
      <c r="H203" s="118" t="s">
        <v>790</v>
      </c>
      <c r="I203" s="119">
        <v>2</v>
      </c>
      <c r="J203" s="119">
        <v>1</v>
      </c>
      <c r="K203" s="121" t="s">
        <v>791</v>
      </c>
    </row>
    <row r="204" spans="2:11" ht="15.75" customHeight="1" x14ac:dyDescent="0.3">
      <c r="B204" s="115">
        <v>16</v>
      </c>
      <c r="C204" s="116" t="s">
        <v>805</v>
      </c>
      <c r="D204" s="116">
        <v>16202</v>
      </c>
      <c r="E204" s="116" t="s">
        <v>431</v>
      </c>
      <c r="F204" s="116" t="s">
        <v>430</v>
      </c>
      <c r="G204" s="117" t="s">
        <v>41</v>
      </c>
      <c r="H204" s="118" t="s">
        <v>795</v>
      </c>
      <c r="I204" s="119">
        <v>4</v>
      </c>
      <c r="J204" s="119">
        <v>3</v>
      </c>
      <c r="K204" s="121" t="s">
        <v>791</v>
      </c>
    </row>
    <row r="205" spans="2:11" ht="15.75" customHeight="1" x14ac:dyDescent="0.3">
      <c r="B205" s="115">
        <v>16</v>
      </c>
      <c r="C205" s="116" t="s">
        <v>805</v>
      </c>
      <c r="D205" s="116">
        <v>16203</v>
      </c>
      <c r="E205" s="116" t="s">
        <v>433</v>
      </c>
      <c r="F205" s="116" t="s">
        <v>432</v>
      </c>
      <c r="G205" s="117" t="s">
        <v>43</v>
      </c>
      <c r="H205" s="118" t="s">
        <v>795</v>
      </c>
      <c r="I205" s="119">
        <v>4</v>
      </c>
      <c r="J205" s="119">
        <v>3</v>
      </c>
      <c r="K205" s="121" t="s">
        <v>791</v>
      </c>
    </row>
    <row r="206" spans="2:11" ht="15.75" customHeight="1" x14ac:dyDescent="0.3">
      <c r="B206" s="115">
        <v>16</v>
      </c>
      <c r="C206" s="116" t="s">
        <v>805</v>
      </c>
      <c r="D206" s="116">
        <v>16302</v>
      </c>
      <c r="E206" s="116" t="s">
        <v>435</v>
      </c>
      <c r="F206" s="116" t="s">
        <v>434</v>
      </c>
      <c r="G206" s="117" t="s">
        <v>41</v>
      </c>
      <c r="H206" s="118" t="s">
        <v>794</v>
      </c>
      <c r="I206" s="119">
        <v>3</v>
      </c>
      <c r="J206" s="119">
        <v>2</v>
      </c>
      <c r="K206" s="121" t="s">
        <v>791</v>
      </c>
    </row>
    <row r="207" spans="2:11" ht="15.75" customHeight="1" x14ac:dyDescent="0.3">
      <c r="B207" s="115">
        <v>16</v>
      </c>
      <c r="C207" s="116" t="s">
        <v>805</v>
      </c>
      <c r="D207" s="116">
        <v>16104</v>
      </c>
      <c r="E207" s="116" t="s">
        <v>437</v>
      </c>
      <c r="F207" s="116" t="s">
        <v>436</v>
      </c>
      <c r="G207" s="117" t="s">
        <v>41</v>
      </c>
      <c r="H207" s="118" t="s">
        <v>794</v>
      </c>
      <c r="I207" s="119">
        <v>3</v>
      </c>
      <c r="J207" s="119">
        <v>2</v>
      </c>
      <c r="K207" s="121" t="s">
        <v>791</v>
      </c>
    </row>
    <row r="208" spans="2:11" ht="15.75" customHeight="1" x14ac:dyDescent="0.3">
      <c r="B208" s="115">
        <v>16</v>
      </c>
      <c r="C208" s="116" t="s">
        <v>805</v>
      </c>
      <c r="D208" s="116">
        <v>16204</v>
      </c>
      <c r="E208" s="116" t="s">
        <v>439</v>
      </c>
      <c r="F208" s="116" t="s">
        <v>438</v>
      </c>
      <c r="G208" s="117" t="s">
        <v>41</v>
      </c>
      <c r="H208" s="118" t="s">
        <v>794</v>
      </c>
      <c r="I208" s="119">
        <v>3</v>
      </c>
      <c r="J208" s="119">
        <v>2</v>
      </c>
      <c r="K208" s="121" t="s">
        <v>791</v>
      </c>
    </row>
    <row r="209" spans="2:11" ht="15.75" customHeight="1" x14ac:dyDescent="0.3">
      <c r="B209" s="115">
        <v>16</v>
      </c>
      <c r="C209" s="116" t="s">
        <v>805</v>
      </c>
      <c r="D209" s="116">
        <v>16303</v>
      </c>
      <c r="E209" s="116" t="s">
        <v>441</v>
      </c>
      <c r="F209" s="116" t="s">
        <v>440</v>
      </c>
      <c r="G209" s="117" t="s">
        <v>41</v>
      </c>
      <c r="H209" s="118" t="s">
        <v>794</v>
      </c>
      <c r="I209" s="119">
        <v>3</v>
      </c>
      <c r="J209" s="119">
        <v>2</v>
      </c>
      <c r="K209" s="121" t="s">
        <v>791</v>
      </c>
    </row>
    <row r="210" spans="2:11" ht="15.75" customHeight="1" x14ac:dyDescent="0.3">
      <c r="B210" s="115">
        <v>16</v>
      </c>
      <c r="C210" s="116" t="s">
        <v>805</v>
      </c>
      <c r="D210" s="116">
        <v>16105</v>
      </c>
      <c r="E210" s="116" t="s">
        <v>443</v>
      </c>
      <c r="F210" s="116" t="s">
        <v>442</v>
      </c>
      <c r="G210" s="117" t="s">
        <v>41</v>
      </c>
      <c r="H210" s="118" t="s">
        <v>794</v>
      </c>
      <c r="I210" s="119">
        <v>3</v>
      </c>
      <c r="J210" s="119">
        <v>2</v>
      </c>
      <c r="K210" s="121" t="s">
        <v>791</v>
      </c>
    </row>
    <row r="211" spans="2:11" ht="15.75" customHeight="1" x14ac:dyDescent="0.3">
      <c r="B211" s="115">
        <v>16</v>
      </c>
      <c r="C211" s="116" t="s">
        <v>805</v>
      </c>
      <c r="D211" s="116">
        <v>16106</v>
      </c>
      <c r="E211" s="116" t="s">
        <v>445</v>
      </c>
      <c r="F211" s="116" t="s">
        <v>444</v>
      </c>
      <c r="G211" s="117" t="s">
        <v>41</v>
      </c>
      <c r="H211" s="118" t="s">
        <v>794</v>
      </c>
      <c r="I211" s="119">
        <v>3</v>
      </c>
      <c r="J211" s="119">
        <v>2</v>
      </c>
      <c r="K211" s="121" t="s">
        <v>791</v>
      </c>
    </row>
    <row r="212" spans="2:11" ht="15.75" customHeight="1" x14ac:dyDescent="0.3">
      <c r="B212" s="115">
        <v>16</v>
      </c>
      <c r="C212" s="116" t="s">
        <v>805</v>
      </c>
      <c r="D212" s="116">
        <v>16205</v>
      </c>
      <c r="E212" s="116" t="s">
        <v>447</v>
      </c>
      <c r="F212" s="116" t="s">
        <v>446</v>
      </c>
      <c r="G212" s="117" t="s">
        <v>41</v>
      </c>
      <c r="H212" s="118" t="s">
        <v>798</v>
      </c>
      <c r="I212" s="119">
        <v>5</v>
      </c>
      <c r="J212" s="119">
        <v>4</v>
      </c>
      <c r="K212" s="121" t="s">
        <v>791</v>
      </c>
    </row>
    <row r="213" spans="2:11" ht="15.75" customHeight="1" x14ac:dyDescent="0.3">
      <c r="B213" s="115">
        <v>16</v>
      </c>
      <c r="C213" s="116" t="s">
        <v>805</v>
      </c>
      <c r="D213" s="116">
        <v>16107</v>
      </c>
      <c r="E213" s="116" t="s">
        <v>449</v>
      </c>
      <c r="F213" s="116" t="s">
        <v>448</v>
      </c>
      <c r="G213" s="117" t="s">
        <v>41</v>
      </c>
      <c r="H213" s="118" t="s">
        <v>794</v>
      </c>
      <c r="I213" s="119">
        <v>3</v>
      </c>
      <c r="J213" s="119">
        <v>2</v>
      </c>
      <c r="K213" s="121" t="s">
        <v>791</v>
      </c>
    </row>
    <row r="214" spans="2:11" ht="15.75" customHeight="1" x14ac:dyDescent="0.3">
      <c r="B214" s="115">
        <v>16</v>
      </c>
      <c r="C214" s="116" t="s">
        <v>805</v>
      </c>
      <c r="D214" s="116">
        <v>16201</v>
      </c>
      <c r="E214" s="116" t="s">
        <v>451</v>
      </c>
      <c r="F214" s="116" t="s">
        <v>450</v>
      </c>
      <c r="G214" s="117" t="s">
        <v>41</v>
      </c>
      <c r="H214" s="118" t="s">
        <v>794</v>
      </c>
      <c r="I214" s="119">
        <v>3</v>
      </c>
      <c r="J214" s="119">
        <v>2</v>
      </c>
      <c r="K214" s="121" t="s">
        <v>791</v>
      </c>
    </row>
    <row r="215" spans="2:11" ht="15.75" customHeight="1" x14ac:dyDescent="0.3">
      <c r="B215" s="115">
        <v>16</v>
      </c>
      <c r="C215" s="116" t="s">
        <v>805</v>
      </c>
      <c r="D215" s="116">
        <v>16206</v>
      </c>
      <c r="E215" s="116" t="s">
        <v>453</v>
      </c>
      <c r="F215" s="116" t="s">
        <v>452</v>
      </c>
      <c r="G215" s="117" t="s">
        <v>41</v>
      </c>
      <c r="H215" s="118" t="s">
        <v>795</v>
      </c>
      <c r="I215" s="119">
        <v>4</v>
      </c>
      <c r="J215" s="119">
        <v>3</v>
      </c>
      <c r="K215" s="121" t="s">
        <v>791</v>
      </c>
    </row>
    <row r="216" spans="2:11" ht="15.75" customHeight="1" x14ac:dyDescent="0.3">
      <c r="B216" s="115">
        <v>16</v>
      </c>
      <c r="C216" s="116" t="s">
        <v>805</v>
      </c>
      <c r="D216" s="116">
        <v>16301</v>
      </c>
      <c r="E216" s="116" t="s">
        <v>455</v>
      </c>
      <c r="F216" s="116" t="s">
        <v>454</v>
      </c>
      <c r="G216" s="117" t="s">
        <v>41</v>
      </c>
      <c r="H216" s="118" t="s">
        <v>794</v>
      </c>
      <c r="I216" s="119">
        <v>3</v>
      </c>
      <c r="J216" s="119">
        <v>2</v>
      </c>
      <c r="K216" s="121" t="s">
        <v>791</v>
      </c>
    </row>
    <row r="217" spans="2:11" ht="15.75" customHeight="1" x14ac:dyDescent="0.3">
      <c r="B217" s="115">
        <v>16</v>
      </c>
      <c r="C217" s="116" t="s">
        <v>805</v>
      </c>
      <c r="D217" s="116">
        <v>16304</v>
      </c>
      <c r="E217" s="116" t="s">
        <v>457</v>
      </c>
      <c r="F217" s="116" t="s">
        <v>456</v>
      </c>
      <c r="G217" s="117" t="s">
        <v>41</v>
      </c>
      <c r="H217" s="118" t="s">
        <v>795</v>
      </c>
      <c r="I217" s="119">
        <v>4</v>
      </c>
      <c r="J217" s="119">
        <v>3</v>
      </c>
      <c r="K217" s="121" t="s">
        <v>791</v>
      </c>
    </row>
    <row r="218" spans="2:11" ht="15.75" customHeight="1" x14ac:dyDescent="0.3">
      <c r="B218" s="115">
        <v>16</v>
      </c>
      <c r="C218" s="116" t="s">
        <v>805</v>
      </c>
      <c r="D218" s="116">
        <v>16108</v>
      </c>
      <c r="E218" s="116" t="s">
        <v>459</v>
      </c>
      <c r="F218" s="116" t="s">
        <v>458</v>
      </c>
      <c r="G218" s="117" t="s">
        <v>41</v>
      </c>
      <c r="H218" s="118" t="s">
        <v>794</v>
      </c>
      <c r="I218" s="119">
        <v>3</v>
      </c>
      <c r="J218" s="119">
        <v>2</v>
      </c>
      <c r="K218" s="121" t="s">
        <v>791</v>
      </c>
    </row>
    <row r="219" spans="2:11" ht="15.75" customHeight="1" x14ac:dyDescent="0.3">
      <c r="B219" s="115">
        <v>16</v>
      </c>
      <c r="C219" s="116" t="s">
        <v>805</v>
      </c>
      <c r="D219" s="116">
        <v>16305</v>
      </c>
      <c r="E219" s="116" t="s">
        <v>461</v>
      </c>
      <c r="F219" s="116" t="s">
        <v>460</v>
      </c>
      <c r="G219" s="117" t="s">
        <v>41</v>
      </c>
      <c r="H219" s="118" t="s">
        <v>794</v>
      </c>
      <c r="I219" s="119">
        <v>3</v>
      </c>
      <c r="J219" s="119">
        <v>2</v>
      </c>
      <c r="K219" s="121" t="s">
        <v>791</v>
      </c>
    </row>
    <row r="220" spans="2:11" ht="15.75" customHeight="1" x14ac:dyDescent="0.3">
      <c r="B220" s="115">
        <v>16</v>
      </c>
      <c r="C220" s="116" t="s">
        <v>805</v>
      </c>
      <c r="D220" s="116">
        <v>16207</v>
      </c>
      <c r="E220" s="116" t="s">
        <v>463</v>
      </c>
      <c r="F220" s="116" t="s">
        <v>462</v>
      </c>
      <c r="G220" s="117" t="s">
        <v>43</v>
      </c>
      <c r="H220" s="118" t="s">
        <v>795</v>
      </c>
      <c r="I220" s="119">
        <v>4</v>
      </c>
      <c r="J220" s="119">
        <v>3</v>
      </c>
      <c r="K220" s="121" t="s">
        <v>791</v>
      </c>
    </row>
    <row r="221" spans="2:11" ht="15.75" customHeight="1" x14ac:dyDescent="0.3">
      <c r="B221" s="115">
        <v>16</v>
      </c>
      <c r="C221" s="116" t="s">
        <v>805</v>
      </c>
      <c r="D221" s="116">
        <v>16109</v>
      </c>
      <c r="E221" s="116" t="s">
        <v>465</v>
      </c>
      <c r="F221" s="116" t="s">
        <v>464</v>
      </c>
      <c r="G221" s="117" t="s">
        <v>41</v>
      </c>
      <c r="H221" s="118" t="s">
        <v>795</v>
      </c>
      <c r="I221" s="119">
        <v>4</v>
      </c>
      <c r="J221" s="119">
        <v>3</v>
      </c>
      <c r="K221" s="121" t="s">
        <v>791</v>
      </c>
    </row>
    <row r="222" spans="2:11" ht="15.75" customHeight="1" x14ac:dyDescent="0.3">
      <c r="B222" s="115">
        <v>8</v>
      </c>
      <c r="C222" s="116" t="s">
        <v>806</v>
      </c>
      <c r="D222" s="116">
        <v>8314</v>
      </c>
      <c r="E222" s="116" t="s">
        <v>469</v>
      </c>
      <c r="F222" s="116" t="s">
        <v>468</v>
      </c>
      <c r="G222" s="117" t="s">
        <v>44</v>
      </c>
      <c r="H222" s="118" t="s">
        <v>798</v>
      </c>
      <c r="I222" s="119">
        <v>5</v>
      </c>
      <c r="J222" s="119">
        <v>4</v>
      </c>
      <c r="K222" s="121" t="s">
        <v>791</v>
      </c>
    </row>
    <row r="223" spans="2:11" ht="15.75" customHeight="1" x14ac:dyDescent="0.3">
      <c r="B223" s="115">
        <v>8</v>
      </c>
      <c r="C223" s="116" t="s">
        <v>806</v>
      </c>
      <c r="D223" s="116">
        <v>8302</v>
      </c>
      <c r="E223" s="116" t="s">
        <v>471</v>
      </c>
      <c r="F223" s="116" t="s">
        <v>470</v>
      </c>
      <c r="G223" s="117" t="s">
        <v>44</v>
      </c>
      <c r="H223" s="118" t="s">
        <v>794</v>
      </c>
      <c r="I223" s="119">
        <v>3</v>
      </c>
      <c r="J223" s="119">
        <v>2</v>
      </c>
      <c r="K223" s="121" t="s">
        <v>791</v>
      </c>
    </row>
    <row r="224" spans="2:11" ht="15.75" customHeight="1" x14ac:dyDescent="0.3">
      <c r="B224" s="115">
        <v>8</v>
      </c>
      <c r="C224" s="116" t="s">
        <v>806</v>
      </c>
      <c r="D224" s="116">
        <v>8202</v>
      </c>
      <c r="E224" s="116" t="s">
        <v>473</v>
      </c>
      <c r="F224" s="116" t="s">
        <v>472</v>
      </c>
      <c r="G224" s="117" t="s">
        <v>43</v>
      </c>
      <c r="H224" s="118" t="s">
        <v>794</v>
      </c>
      <c r="I224" s="119">
        <v>3</v>
      </c>
      <c r="J224" s="119">
        <v>2</v>
      </c>
      <c r="K224" s="121" t="s">
        <v>791</v>
      </c>
    </row>
    <row r="225" spans="2:11" ht="15.75" customHeight="1" x14ac:dyDescent="0.3">
      <c r="B225" s="115">
        <v>8</v>
      </c>
      <c r="C225" s="116" t="s">
        <v>806</v>
      </c>
      <c r="D225" s="116">
        <v>8303</v>
      </c>
      <c r="E225" s="116" t="s">
        <v>475</v>
      </c>
      <c r="F225" s="116" t="s">
        <v>474</v>
      </c>
      <c r="G225" s="117" t="s">
        <v>44</v>
      </c>
      <c r="H225" s="118" t="s">
        <v>794</v>
      </c>
      <c r="I225" s="119">
        <v>3</v>
      </c>
      <c r="J225" s="119">
        <v>2</v>
      </c>
      <c r="K225" s="121" t="s">
        <v>791</v>
      </c>
    </row>
    <row r="226" spans="2:11" ht="15.75" customHeight="1" x14ac:dyDescent="0.3">
      <c r="B226" s="115">
        <v>8</v>
      </c>
      <c r="C226" s="116" t="s">
        <v>806</v>
      </c>
      <c r="D226" s="116">
        <v>8203</v>
      </c>
      <c r="E226" s="116" t="s">
        <v>477</v>
      </c>
      <c r="F226" s="116" t="s">
        <v>476</v>
      </c>
      <c r="G226" s="117" t="s">
        <v>43</v>
      </c>
      <c r="H226" s="118" t="s">
        <v>795</v>
      </c>
      <c r="I226" s="119">
        <v>4</v>
      </c>
      <c r="J226" s="119">
        <v>3</v>
      </c>
      <c r="K226" s="121" t="s">
        <v>791</v>
      </c>
    </row>
    <row r="227" spans="2:11" ht="15.75" customHeight="1" x14ac:dyDescent="0.3">
      <c r="B227" s="115">
        <v>8</v>
      </c>
      <c r="C227" s="116" t="s">
        <v>806</v>
      </c>
      <c r="D227" s="116">
        <v>8103</v>
      </c>
      <c r="E227" s="116" t="s">
        <v>479</v>
      </c>
      <c r="F227" s="116" t="s">
        <v>478</v>
      </c>
      <c r="G227" s="117" t="s">
        <v>43</v>
      </c>
      <c r="H227" s="118" t="s">
        <v>794</v>
      </c>
      <c r="I227" s="119">
        <v>3</v>
      </c>
      <c r="J227" s="119">
        <v>2</v>
      </c>
      <c r="K227" s="121" t="s">
        <v>791</v>
      </c>
    </row>
    <row r="228" spans="2:11" ht="15.75" customHeight="1" x14ac:dyDescent="0.3">
      <c r="B228" s="115">
        <v>8</v>
      </c>
      <c r="C228" s="116" t="s">
        <v>806</v>
      </c>
      <c r="D228" s="116">
        <v>8101</v>
      </c>
      <c r="E228" s="116" t="s">
        <v>43</v>
      </c>
      <c r="F228" s="116" t="s">
        <v>467</v>
      </c>
      <c r="G228" s="117" t="s">
        <v>43</v>
      </c>
      <c r="H228" s="118" t="s">
        <v>790</v>
      </c>
      <c r="I228" s="119">
        <v>2</v>
      </c>
      <c r="J228" s="119">
        <v>1</v>
      </c>
      <c r="K228" s="121" t="s">
        <v>791</v>
      </c>
    </row>
    <row r="229" spans="2:11" ht="15.75" customHeight="1" x14ac:dyDescent="0.3">
      <c r="B229" s="115">
        <v>8</v>
      </c>
      <c r="C229" s="116" t="s">
        <v>806</v>
      </c>
      <c r="D229" s="116">
        <v>8204</v>
      </c>
      <c r="E229" s="116" t="s">
        <v>481</v>
      </c>
      <c r="F229" s="116" t="s">
        <v>480</v>
      </c>
      <c r="G229" s="117" t="s">
        <v>43</v>
      </c>
      <c r="H229" s="118" t="s">
        <v>795</v>
      </c>
      <c r="I229" s="119">
        <v>4</v>
      </c>
      <c r="J229" s="119">
        <v>3</v>
      </c>
      <c r="K229" s="121" t="s">
        <v>791</v>
      </c>
    </row>
    <row r="230" spans="2:11" ht="15.75" customHeight="1" x14ac:dyDescent="0.3">
      <c r="B230" s="115">
        <v>8</v>
      </c>
      <c r="C230" s="116" t="s">
        <v>806</v>
      </c>
      <c r="D230" s="116">
        <v>8102</v>
      </c>
      <c r="E230" s="116" t="s">
        <v>483</v>
      </c>
      <c r="F230" s="116" t="s">
        <v>482</v>
      </c>
      <c r="G230" s="117" t="s">
        <v>43</v>
      </c>
      <c r="H230" s="118" t="s">
        <v>794</v>
      </c>
      <c r="I230" s="119">
        <v>3</v>
      </c>
      <c r="J230" s="119">
        <v>2</v>
      </c>
      <c r="K230" s="121" t="s">
        <v>791</v>
      </c>
    </row>
    <row r="231" spans="2:11" ht="15.75" customHeight="1" x14ac:dyDescent="0.3">
      <c r="B231" s="115">
        <v>8</v>
      </c>
      <c r="C231" s="116" t="s">
        <v>806</v>
      </c>
      <c r="D231" s="116">
        <v>8205</v>
      </c>
      <c r="E231" s="116" t="s">
        <v>485</v>
      </c>
      <c r="F231" s="116" t="s">
        <v>484</v>
      </c>
      <c r="G231" s="117" t="s">
        <v>43</v>
      </c>
      <c r="H231" s="118" t="s">
        <v>795</v>
      </c>
      <c r="I231" s="119">
        <v>4</v>
      </c>
      <c r="J231" s="119">
        <v>3</v>
      </c>
      <c r="K231" s="121" t="s">
        <v>791</v>
      </c>
    </row>
    <row r="232" spans="2:11" ht="15.75" customHeight="1" x14ac:dyDescent="0.3">
      <c r="B232" s="115">
        <v>8</v>
      </c>
      <c r="C232" s="116" t="s">
        <v>806</v>
      </c>
      <c r="D232" s="116">
        <v>8104</v>
      </c>
      <c r="E232" s="116" t="s">
        <v>487</v>
      </c>
      <c r="F232" s="116" t="s">
        <v>486</v>
      </c>
      <c r="G232" s="117" t="s">
        <v>43</v>
      </c>
      <c r="H232" s="118" t="s">
        <v>794</v>
      </c>
      <c r="I232" s="119">
        <v>3</v>
      </c>
      <c r="J232" s="119">
        <v>2</v>
      </c>
      <c r="K232" s="121" t="s">
        <v>791</v>
      </c>
    </row>
    <row r="233" spans="2:11" ht="15.75" customHeight="1" x14ac:dyDescent="0.3">
      <c r="B233" s="115">
        <v>8</v>
      </c>
      <c r="C233" s="116" t="s">
        <v>806</v>
      </c>
      <c r="D233" s="116">
        <v>8112</v>
      </c>
      <c r="E233" s="116" t="s">
        <v>489</v>
      </c>
      <c r="F233" s="116" t="s">
        <v>488</v>
      </c>
      <c r="G233" s="117" t="s">
        <v>43</v>
      </c>
      <c r="H233" s="118" t="s">
        <v>794</v>
      </c>
      <c r="I233" s="119">
        <v>3</v>
      </c>
      <c r="J233" s="119">
        <v>2</v>
      </c>
      <c r="K233" s="121" t="s">
        <v>791</v>
      </c>
    </row>
    <row r="234" spans="2:11" ht="15.75" customHeight="1" x14ac:dyDescent="0.3">
      <c r="B234" s="115">
        <v>8</v>
      </c>
      <c r="C234" s="116" t="s">
        <v>806</v>
      </c>
      <c r="D234" s="116">
        <v>8105</v>
      </c>
      <c r="E234" s="116" t="s">
        <v>491</v>
      </c>
      <c r="F234" s="116" t="s">
        <v>490</v>
      </c>
      <c r="G234" s="117" t="s">
        <v>43</v>
      </c>
      <c r="H234" s="118" t="s">
        <v>794</v>
      </c>
      <c r="I234" s="119">
        <v>3</v>
      </c>
      <c r="J234" s="119">
        <v>2</v>
      </c>
      <c r="K234" s="121" t="s">
        <v>791</v>
      </c>
    </row>
    <row r="235" spans="2:11" ht="15.75" customHeight="1" x14ac:dyDescent="0.3">
      <c r="B235" s="115">
        <v>8</v>
      </c>
      <c r="C235" s="116" t="s">
        <v>806</v>
      </c>
      <c r="D235" s="116">
        <v>8304</v>
      </c>
      <c r="E235" s="116" t="s">
        <v>493</v>
      </c>
      <c r="F235" s="116" t="s">
        <v>492</v>
      </c>
      <c r="G235" s="117" t="s">
        <v>44</v>
      </c>
      <c r="H235" s="118" t="s">
        <v>794</v>
      </c>
      <c r="I235" s="119">
        <v>3</v>
      </c>
      <c r="J235" s="119">
        <v>2</v>
      </c>
      <c r="K235" s="121" t="s">
        <v>791</v>
      </c>
    </row>
    <row r="236" spans="2:11" ht="15.75" customHeight="1" x14ac:dyDescent="0.3">
      <c r="B236" s="115">
        <v>8</v>
      </c>
      <c r="C236" s="116" t="s">
        <v>806</v>
      </c>
      <c r="D236" s="116">
        <v>8201</v>
      </c>
      <c r="E236" s="116" t="s">
        <v>495</v>
      </c>
      <c r="F236" s="116" t="s">
        <v>494</v>
      </c>
      <c r="G236" s="117" t="s">
        <v>43</v>
      </c>
      <c r="H236" s="118" t="s">
        <v>795</v>
      </c>
      <c r="I236" s="119">
        <v>4</v>
      </c>
      <c r="J236" s="119">
        <v>3</v>
      </c>
      <c r="K236" s="121" t="s">
        <v>791</v>
      </c>
    </row>
    <row r="237" spans="2:11" ht="15.75" customHeight="1" x14ac:dyDescent="0.3">
      <c r="B237" s="115">
        <v>8</v>
      </c>
      <c r="C237" s="116" t="s">
        <v>806</v>
      </c>
      <c r="D237" s="116">
        <v>8206</v>
      </c>
      <c r="E237" s="116" t="s">
        <v>497</v>
      </c>
      <c r="F237" s="116" t="s">
        <v>496</v>
      </c>
      <c r="G237" s="117" t="s">
        <v>43</v>
      </c>
      <c r="H237" s="118" t="s">
        <v>795</v>
      </c>
      <c r="I237" s="119">
        <v>4</v>
      </c>
      <c r="J237" s="119">
        <v>3</v>
      </c>
      <c r="K237" s="121" t="s">
        <v>791</v>
      </c>
    </row>
    <row r="238" spans="2:11" ht="15.75" customHeight="1" x14ac:dyDescent="0.3">
      <c r="B238" s="115">
        <v>8</v>
      </c>
      <c r="C238" s="116" t="s">
        <v>806</v>
      </c>
      <c r="D238" s="116">
        <v>8301</v>
      </c>
      <c r="E238" s="116" t="s">
        <v>44</v>
      </c>
      <c r="F238" s="116" t="s">
        <v>498</v>
      </c>
      <c r="G238" s="117" t="s">
        <v>44</v>
      </c>
      <c r="H238" s="118" t="s">
        <v>790</v>
      </c>
      <c r="I238" s="119">
        <v>2</v>
      </c>
      <c r="J238" s="119">
        <v>1</v>
      </c>
      <c r="K238" s="121" t="s">
        <v>791</v>
      </c>
    </row>
    <row r="239" spans="2:11" ht="15.75" customHeight="1" x14ac:dyDescent="0.3">
      <c r="B239" s="115">
        <v>8</v>
      </c>
      <c r="C239" s="116" t="s">
        <v>806</v>
      </c>
      <c r="D239" s="116">
        <v>8106</v>
      </c>
      <c r="E239" s="116" t="s">
        <v>500</v>
      </c>
      <c r="F239" s="116" t="s">
        <v>499</v>
      </c>
      <c r="G239" s="117" t="s">
        <v>43</v>
      </c>
      <c r="H239" s="118" t="s">
        <v>794</v>
      </c>
      <c r="I239" s="119">
        <v>3</v>
      </c>
      <c r="J239" s="119">
        <v>2</v>
      </c>
      <c r="K239" s="121" t="s">
        <v>791</v>
      </c>
    </row>
    <row r="240" spans="2:11" ht="15.75" customHeight="1" x14ac:dyDescent="0.3">
      <c r="B240" s="115">
        <v>8</v>
      </c>
      <c r="C240" s="116" t="s">
        <v>806</v>
      </c>
      <c r="D240" s="116">
        <v>8305</v>
      </c>
      <c r="E240" s="116" t="s">
        <v>502</v>
      </c>
      <c r="F240" s="116" t="s">
        <v>501</v>
      </c>
      <c r="G240" s="117" t="s">
        <v>44</v>
      </c>
      <c r="H240" s="118" t="s">
        <v>794</v>
      </c>
      <c r="I240" s="119">
        <v>3</v>
      </c>
      <c r="J240" s="119">
        <v>2</v>
      </c>
      <c r="K240" s="121" t="s">
        <v>791</v>
      </c>
    </row>
    <row r="241" spans="2:11" ht="15.75" customHeight="1" x14ac:dyDescent="0.3">
      <c r="B241" s="115">
        <v>8</v>
      </c>
      <c r="C241" s="116" t="s">
        <v>806</v>
      </c>
      <c r="D241" s="116">
        <v>8306</v>
      </c>
      <c r="E241" s="116" t="s">
        <v>504</v>
      </c>
      <c r="F241" s="116" t="s">
        <v>503</v>
      </c>
      <c r="G241" s="117" t="s">
        <v>44</v>
      </c>
      <c r="H241" s="118" t="s">
        <v>794</v>
      </c>
      <c r="I241" s="119">
        <v>3</v>
      </c>
      <c r="J241" s="119">
        <v>2</v>
      </c>
      <c r="K241" s="121" t="s">
        <v>791</v>
      </c>
    </row>
    <row r="242" spans="2:11" ht="15.75" customHeight="1" x14ac:dyDescent="0.3">
      <c r="B242" s="115">
        <v>8</v>
      </c>
      <c r="C242" s="116" t="s">
        <v>806</v>
      </c>
      <c r="D242" s="116">
        <v>8307</v>
      </c>
      <c r="E242" s="116" t="s">
        <v>506</v>
      </c>
      <c r="F242" s="116" t="s">
        <v>505</v>
      </c>
      <c r="G242" s="117" t="s">
        <v>44</v>
      </c>
      <c r="H242" s="118" t="s">
        <v>794</v>
      </c>
      <c r="I242" s="119">
        <v>3</v>
      </c>
      <c r="J242" s="119">
        <v>2</v>
      </c>
      <c r="K242" s="121" t="s">
        <v>791</v>
      </c>
    </row>
    <row r="243" spans="2:11" ht="15.75" customHeight="1" x14ac:dyDescent="0.3">
      <c r="B243" s="115">
        <v>8</v>
      </c>
      <c r="C243" s="116" t="s">
        <v>806</v>
      </c>
      <c r="D243" s="116">
        <v>8107</v>
      </c>
      <c r="E243" s="116" t="s">
        <v>508</v>
      </c>
      <c r="F243" s="116" t="s">
        <v>507</v>
      </c>
      <c r="G243" s="117" t="s">
        <v>43</v>
      </c>
      <c r="H243" s="118" t="s">
        <v>794</v>
      </c>
      <c r="I243" s="119">
        <v>3</v>
      </c>
      <c r="J243" s="119">
        <v>2</v>
      </c>
      <c r="K243" s="121" t="s">
        <v>791</v>
      </c>
    </row>
    <row r="244" spans="2:11" ht="15.75" customHeight="1" x14ac:dyDescent="0.3">
      <c r="B244" s="115">
        <v>8</v>
      </c>
      <c r="C244" s="116" t="s">
        <v>806</v>
      </c>
      <c r="D244" s="116">
        <v>8308</v>
      </c>
      <c r="E244" s="116" t="s">
        <v>510</v>
      </c>
      <c r="F244" s="116" t="s">
        <v>509</v>
      </c>
      <c r="G244" s="117" t="s">
        <v>44</v>
      </c>
      <c r="H244" s="118" t="s">
        <v>794</v>
      </c>
      <c r="I244" s="119">
        <v>3</v>
      </c>
      <c r="J244" s="119">
        <v>2</v>
      </c>
      <c r="K244" s="121" t="s">
        <v>791</v>
      </c>
    </row>
    <row r="245" spans="2:11" ht="15.75" customHeight="1" x14ac:dyDescent="0.3">
      <c r="B245" s="115">
        <v>8</v>
      </c>
      <c r="C245" s="116" t="s">
        <v>806</v>
      </c>
      <c r="D245" s="116">
        <v>8309</v>
      </c>
      <c r="E245" s="116" t="s">
        <v>512</v>
      </c>
      <c r="F245" s="116" t="s">
        <v>511</v>
      </c>
      <c r="G245" s="117" t="s">
        <v>44</v>
      </c>
      <c r="H245" s="118" t="s">
        <v>794</v>
      </c>
      <c r="I245" s="119">
        <v>3</v>
      </c>
      <c r="J245" s="119">
        <v>2</v>
      </c>
      <c r="K245" s="121" t="s">
        <v>791</v>
      </c>
    </row>
    <row r="246" spans="2:11" ht="15.75" customHeight="1" x14ac:dyDescent="0.3">
      <c r="B246" s="115">
        <v>8</v>
      </c>
      <c r="C246" s="116" t="s">
        <v>806</v>
      </c>
      <c r="D246" s="116">
        <v>8108</v>
      </c>
      <c r="E246" s="116" t="s">
        <v>514</v>
      </c>
      <c r="F246" s="116" t="s">
        <v>513</v>
      </c>
      <c r="G246" s="117" t="s">
        <v>43</v>
      </c>
      <c r="H246" s="118" t="s">
        <v>790</v>
      </c>
      <c r="I246" s="119">
        <v>2</v>
      </c>
      <c r="J246" s="119">
        <v>1</v>
      </c>
      <c r="K246" s="121" t="s">
        <v>791</v>
      </c>
    </row>
    <row r="247" spans="2:11" ht="15.75" customHeight="1" x14ac:dyDescent="0.3">
      <c r="B247" s="115">
        <v>8</v>
      </c>
      <c r="C247" s="116" t="s">
        <v>806</v>
      </c>
      <c r="D247" s="116">
        <v>8310</v>
      </c>
      <c r="E247" s="116" t="s">
        <v>516</v>
      </c>
      <c r="F247" s="116" t="s">
        <v>515</v>
      </c>
      <c r="G247" s="117" t="s">
        <v>44</v>
      </c>
      <c r="H247" s="118" t="s">
        <v>794</v>
      </c>
      <c r="I247" s="119">
        <v>3</v>
      </c>
      <c r="J247" s="119">
        <v>2</v>
      </c>
      <c r="K247" s="121" t="s">
        <v>791</v>
      </c>
    </row>
    <row r="248" spans="2:11" ht="15.75" customHeight="1" x14ac:dyDescent="0.3">
      <c r="B248" s="115">
        <v>8</v>
      </c>
      <c r="C248" s="116" t="s">
        <v>806</v>
      </c>
      <c r="D248" s="116">
        <v>8311</v>
      </c>
      <c r="E248" s="116" t="s">
        <v>518</v>
      </c>
      <c r="F248" s="116" t="s">
        <v>517</v>
      </c>
      <c r="G248" s="117" t="s">
        <v>44</v>
      </c>
      <c r="H248" s="118" t="s">
        <v>794</v>
      </c>
      <c r="I248" s="119">
        <v>3</v>
      </c>
      <c r="J248" s="119">
        <v>2</v>
      </c>
      <c r="K248" s="121" t="s">
        <v>791</v>
      </c>
    </row>
    <row r="249" spans="2:11" ht="15.75" customHeight="1" x14ac:dyDescent="0.3">
      <c r="B249" s="115">
        <v>8</v>
      </c>
      <c r="C249" s="116" t="s">
        <v>806</v>
      </c>
      <c r="D249" s="116">
        <v>8109</v>
      </c>
      <c r="E249" s="116" t="s">
        <v>520</v>
      </c>
      <c r="F249" s="116" t="s">
        <v>519</v>
      </c>
      <c r="G249" s="117" t="s">
        <v>43</v>
      </c>
      <c r="H249" s="118" t="s">
        <v>794</v>
      </c>
      <c r="I249" s="119">
        <v>3</v>
      </c>
      <c r="J249" s="119">
        <v>2</v>
      </c>
      <c r="K249" s="121" t="s">
        <v>791</v>
      </c>
    </row>
    <row r="250" spans="2:11" ht="15.75" customHeight="1" x14ac:dyDescent="0.3">
      <c r="B250" s="115">
        <v>8</v>
      </c>
      <c r="C250" s="116" t="s">
        <v>806</v>
      </c>
      <c r="D250" s="116">
        <v>8110</v>
      </c>
      <c r="E250" s="116" t="s">
        <v>522</v>
      </c>
      <c r="F250" s="116" t="s">
        <v>521</v>
      </c>
      <c r="G250" s="117" t="s">
        <v>43</v>
      </c>
      <c r="H250" s="118" t="s">
        <v>790</v>
      </c>
      <c r="I250" s="119">
        <v>2</v>
      </c>
      <c r="J250" s="119">
        <v>1</v>
      </c>
      <c r="K250" s="121" t="s">
        <v>791</v>
      </c>
    </row>
    <row r="251" spans="2:11" ht="15.75" customHeight="1" x14ac:dyDescent="0.3">
      <c r="B251" s="115">
        <v>8</v>
      </c>
      <c r="C251" s="116" t="s">
        <v>806</v>
      </c>
      <c r="D251" s="116">
        <v>8207</v>
      </c>
      <c r="E251" s="116" t="s">
        <v>524</v>
      </c>
      <c r="F251" s="116" t="s">
        <v>523</v>
      </c>
      <c r="G251" s="117" t="s">
        <v>47</v>
      </c>
      <c r="H251" s="118" t="s">
        <v>795</v>
      </c>
      <c r="I251" s="119">
        <v>4</v>
      </c>
      <c r="J251" s="119">
        <v>3</v>
      </c>
      <c r="K251" s="121" t="s">
        <v>791</v>
      </c>
    </row>
    <row r="252" spans="2:11" ht="15.75" customHeight="1" x14ac:dyDescent="0.3">
      <c r="B252" s="115">
        <v>8</v>
      </c>
      <c r="C252" s="116" t="s">
        <v>806</v>
      </c>
      <c r="D252" s="116">
        <v>8111</v>
      </c>
      <c r="E252" s="116" t="s">
        <v>526</v>
      </c>
      <c r="F252" s="116" t="s">
        <v>525</v>
      </c>
      <c r="G252" s="117" t="s">
        <v>43</v>
      </c>
      <c r="H252" s="118" t="s">
        <v>794</v>
      </c>
      <c r="I252" s="119">
        <v>3</v>
      </c>
      <c r="J252" s="119">
        <v>2</v>
      </c>
      <c r="K252" s="121" t="s">
        <v>791</v>
      </c>
    </row>
    <row r="253" spans="2:11" ht="15.75" customHeight="1" x14ac:dyDescent="0.3">
      <c r="B253" s="115">
        <v>8</v>
      </c>
      <c r="C253" s="116" t="s">
        <v>806</v>
      </c>
      <c r="D253" s="116">
        <v>8312</v>
      </c>
      <c r="E253" s="116" t="s">
        <v>528</v>
      </c>
      <c r="F253" s="116" t="s">
        <v>527</v>
      </c>
      <c r="G253" s="117" t="s">
        <v>44</v>
      </c>
      <c r="H253" s="118" t="s">
        <v>794</v>
      </c>
      <c r="I253" s="119">
        <v>3</v>
      </c>
      <c r="J253" s="119">
        <v>2</v>
      </c>
      <c r="K253" s="121" t="s">
        <v>791</v>
      </c>
    </row>
    <row r="254" spans="2:11" ht="15.75" customHeight="1" x14ac:dyDescent="0.3">
      <c r="B254" s="115">
        <v>8</v>
      </c>
      <c r="C254" s="116" t="s">
        <v>806</v>
      </c>
      <c r="D254" s="116">
        <v>8313</v>
      </c>
      <c r="E254" s="116" t="s">
        <v>530</v>
      </c>
      <c r="F254" s="116" t="s">
        <v>529</v>
      </c>
      <c r="G254" s="117" t="s">
        <v>44</v>
      </c>
      <c r="H254" s="118" t="s">
        <v>794</v>
      </c>
      <c r="I254" s="119">
        <v>3</v>
      </c>
      <c r="J254" s="119">
        <v>2</v>
      </c>
      <c r="K254" s="121" t="s">
        <v>791</v>
      </c>
    </row>
    <row r="255" spans="2:11" ht="15.75" customHeight="1" x14ac:dyDescent="0.3">
      <c r="B255" s="115">
        <v>9</v>
      </c>
      <c r="C255" s="116" t="s">
        <v>807</v>
      </c>
      <c r="D255" s="116">
        <v>9201</v>
      </c>
      <c r="E255" s="116" t="s">
        <v>534</v>
      </c>
      <c r="F255" s="116" t="s">
        <v>533</v>
      </c>
      <c r="G255" s="117" t="s">
        <v>44</v>
      </c>
      <c r="H255" s="118" t="s">
        <v>794</v>
      </c>
      <c r="I255" s="119">
        <v>3</v>
      </c>
      <c r="J255" s="119">
        <v>2</v>
      </c>
      <c r="K255" s="121" t="s">
        <v>791</v>
      </c>
    </row>
    <row r="256" spans="2:11" ht="15.75" customHeight="1" x14ac:dyDescent="0.3">
      <c r="B256" s="115">
        <v>9</v>
      </c>
      <c r="C256" s="116" t="s">
        <v>807</v>
      </c>
      <c r="D256" s="116">
        <v>9102</v>
      </c>
      <c r="E256" s="116" t="s">
        <v>536</v>
      </c>
      <c r="F256" s="116" t="s">
        <v>535</v>
      </c>
      <c r="G256" s="117" t="s">
        <v>47</v>
      </c>
      <c r="H256" s="118" t="s">
        <v>794</v>
      </c>
      <c r="I256" s="119">
        <v>3</v>
      </c>
      <c r="J256" s="119">
        <v>2</v>
      </c>
      <c r="K256" s="121" t="s">
        <v>791</v>
      </c>
    </row>
    <row r="257" spans="2:11" ht="15.75" customHeight="1" x14ac:dyDescent="0.3">
      <c r="B257" s="115">
        <v>9</v>
      </c>
      <c r="C257" s="116" t="s">
        <v>807</v>
      </c>
      <c r="D257" s="116">
        <v>9121</v>
      </c>
      <c r="E257" s="116" t="s">
        <v>538</v>
      </c>
      <c r="F257" s="116" t="s">
        <v>537</v>
      </c>
      <c r="G257" s="117" t="s">
        <v>47</v>
      </c>
      <c r="H257" s="118" t="s">
        <v>795</v>
      </c>
      <c r="I257" s="119">
        <v>4</v>
      </c>
      <c r="J257" s="119">
        <v>3</v>
      </c>
      <c r="K257" s="121" t="s">
        <v>791</v>
      </c>
    </row>
    <row r="258" spans="2:11" ht="15.75" customHeight="1" x14ac:dyDescent="0.3">
      <c r="B258" s="115">
        <v>9</v>
      </c>
      <c r="C258" s="116" t="s">
        <v>807</v>
      </c>
      <c r="D258" s="116">
        <v>9202</v>
      </c>
      <c r="E258" s="116" t="s">
        <v>542</v>
      </c>
      <c r="F258" s="116" t="s">
        <v>541</v>
      </c>
      <c r="G258" s="117" t="s">
        <v>44</v>
      </c>
      <c r="H258" s="118" t="s">
        <v>794</v>
      </c>
      <c r="I258" s="119">
        <v>3</v>
      </c>
      <c r="J258" s="119">
        <v>2</v>
      </c>
      <c r="K258" s="121" t="s">
        <v>791</v>
      </c>
    </row>
    <row r="259" spans="2:11" ht="15.75" customHeight="1" x14ac:dyDescent="0.3">
      <c r="B259" s="115">
        <v>9</v>
      </c>
      <c r="C259" s="116" t="s">
        <v>807</v>
      </c>
      <c r="D259" s="116">
        <v>9103</v>
      </c>
      <c r="E259" s="116" t="s">
        <v>544</v>
      </c>
      <c r="F259" s="116" t="s">
        <v>543</v>
      </c>
      <c r="G259" s="117" t="s">
        <v>47</v>
      </c>
      <c r="H259" s="118" t="s">
        <v>794</v>
      </c>
      <c r="I259" s="119">
        <v>3</v>
      </c>
      <c r="J259" s="119">
        <v>2</v>
      </c>
      <c r="K259" s="121" t="s">
        <v>791</v>
      </c>
    </row>
    <row r="260" spans="2:11" ht="15.75" customHeight="1" x14ac:dyDescent="0.3">
      <c r="B260" s="115">
        <v>9</v>
      </c>
      <c r="C260" s="116" t="s">
        <v>807</v>
      </c>
      <c r="D260" s="116">
        <v>9203</v>
      </c>
      <c r="E260" s="116" t="s">
        <v>546</v>
      </c>
      <c r="F260" s="116" t="s">
        <v>545</v>
      </c>
      <c r="G260" s="117" t="s">
        <v>47</v>
      </c>
      <c r="H260" s="118" t="s">
        <v>795</v>
      </c>
      <c r="I260" s="119">
        <v>4</v>
      </c>
      <c r="J260" s="119">
        <v>3</v>
      </c>
      <c r="K260" s="121" t="s">
        <v>791</v>
      </c>
    </row>
    <row r="261" spans="2:11" ht="15.75" customHeight="1" x14ac:dyDescent="0.3">
      <c r="B261" s="115">
        <v>9</v>
      </c>
      <c r="C261" s="116" t="s">
        <v>807</v>
      </c>
      <c r="D261" s="116">
        <v>9104</v>
      </c>
      <c r="E261" s="116" t="s">
        <v>548</v>
      </c>
      <c r="F261" s="116" t="s">
        <v>547</v>
      </c>
      <c r="G261" s="117" t="s">
        <v>47</v>
      </c>
      <c r="H261" s="118" t="s">
        <v>798</v>
      </c>
      <c r="I261" s="119">
        <v>5</v>
      </c>
      <c r="J261" s="119">
        <v>3</v>
      </c>
      <c r="K261" s="121" t="s">
        <v>791</v>
      </c>
    </row>
    <row r="262" spans="2:11" ht="15.75" customHeight="1" x14ac:dyDescent="0.3">
      <c r="B262" s="115">
        <v>9</v>
      </c>
      <c r="C262" s="116" t="s">
        <v>807</v>
      </c>
      <c r="D262" s="116">
        <v>9204</v>
      </c>
      <c r="E262" s="116" t="s">
        <v>550</v>
      </c>
      <c r="F262" s="116" t="s">
        <v>549</v>
      </c>
      <c r="G262" s="117" t="s">
        <v>47</v>
      </c>
      <c r="H262" s="118" t="s">
        <v>794</v>
      </c>
      <c r="I262" s="119">
        <v>3</v>
      </c>
      <c r="J262" s="119">
        <v>2</v>
      </c>
      <c r="K262" s="121" t="s">
        <v>791</v>
      </c>
    </row>
    <row r="263" spans="2:11" ht="15.75" customHeight="1" x14ac:dyDescent="0.3">
      <c r="B263" s="115">
        <v>9</v>
      </c>
      <c r="C263" s="116" t="s">
        <v>807</v>
      </c>
      <c r="D263" s="116">
        <v>9105</v>
      </c>
      <c r="E263" s="116" t="s">
        <v>552</v>
      </c>
      <c r="F263" s="116" t="s">
        <v>551</v>
      </c>
      <c r="G263" s="117" t="s">
        <v>47</v>
      </c>
      <c r="H263" s="118" t="s">
        <v>794</v>
      </c>
      <c r="I263" s="119">
        <v>3</v>
      </c>
      <c r="J263" s="119">
        <v>2</v>
      </c>
      <c r="K263" s="121" t="s">
        <v>791</v>
      </c>
    </row>
    <row r="264" spans="2:11" ht="15.75" customHeight="1" x14ac:dyDescent="0.3">
      <c r="B264" s="115">
        <v>9</v>
      </c>
      <c r="C264" s="116" t="s">
        <v>807</v>
      </c>
      <c r="D264" s="116">
        <v>9106</v>
      </c>
      <c r="E264" s="116" t="s">
        <v>554</v>
      </c>
      <c r="F264" s="116" t="s">
        <v>553</v>
      </c>
      <c r="G264" s="117" t="s">
        <v>47</v>
      </c>
      <c r="H264" s="118" t="s">
        <v>794</v>
      </c>
      <c r="I264" s="119">
        <v>3</v>
      </c>
      <c r="J264" s="119">
        <v>2</v>
      </c>
      <c r="K264" s="121" t="s">
        <v>791</v>
      </c>
    </row>
    <row r="265" spans="2:11" ht="15.75" customHeight="1" x14ac:dyDescent="0.3">
      <c r="B265" s="115">
        <v>9</v>
      </c>
      <c r="C265" s="116" t="s">
        <v>807</v>
      </c>
      <c r="D265" s="116">
        <v>9107</v>
      </c>
      <c r="E265" s="116" t="s">
        <v>556</v>
      </c>
      <c r="F265" s="116" t="s">
        <v>555</v>
      </c>
      <c r="G265" s="117" t="s">
        <v>47</v>
      </c>
      <c r="H265" s="118" t="s">
        <v>794</v>
      </c>
      <c r="I265" s="119">
        <v>3</v>
      </c>
      <c r="J265" s="119">
        <v>2</v>
      </c>
      <c r="K265" s="121" t="s">
        <v>791</v>
      </c>
    </row>
    <row r="266" spans="2:11" ht="15.75" customHeight="1" x14ac:dyDescent="0.3">
      <c r="B266" s="115">
        <v>9</v>
      </c>
      <c r="C266" s="116" t="s">
        <v>807</v>
      </c>
      <c r="D266" s="116">
        <v>9108</v>
      </c>
      <c r="E266" s="116" t="s">
        <v>558</v>
      </c>
      <c r="F266" s="116" t="s">
        <v>557</v>
      </c>
      <c r="G266" s="117" t="s">
        <v>47</v>
      </c>
      <c r="H266" s="118" t="s">
        <v>794</v>
      </c>
      <c r="I266" s="119">
        <v>3</v>
      </c>
      <c r="J266" s="119">
        <v>2</v>
      </c>
      <c r="K266" s="121" t="s">
        <v>791</v>
      </c>
    </row>
    <row r="267" spans="2:11" ht="15.75" customHeight="1" x14ac:dyDescent="0.3">
      <c r="B267" s="115">
        <v>9</v>
      </c>
      <c r="C267" s="116" t="s">
        <v>807</v>
      </c>
      <c r="D267" s="116">
        <v>9109</v>
      </c>
      <c r="E267" s="116" t="s">
        <v>560</v>
      </c>
      <c r="F267" s="116" t="s">
        <v>559</v>
      </c>
      <c r="G267" s="117" t="s">
        <v>47</v>
      </c>
      <c r="H267" s="118" t="s">
        <v>794</v>
      </c>
      <c r="I267" s="119">
        <v>3</v>
      </c>
      <c r="J267" s="119">
        <v>2</v>
      </c>
      <c r="K267" s="121" t="s">
        <v>791</v>
      </c>
    </row>
    <row r="268" spans="2:11" ht="15.75" customHeight="1" x14ac:dyDescent="0.3">
      <c r="B268" s="115">
        <v>9</v>
      </c>
      <c r="C268" s="116" t="s">
        <v>807</v>
      </c>
      <c r="D268" s="116">
        <v>9205</v>
      </c>
      <c r="E268" s="116" t="s">
        <v>562</v>
      </c>
      <c r="F268" s="116" t="s">
        <v>561</v>
      </c>
      <c r="G268" s="117" t="s">
        <v>47</v>
      </c>
      <c r="H268" s="118" t="s">
        <v>798</v>
      </c>
      <c r="I268" s="119">
        <v>5</v>
      </c>
      <c r="J268" s="119">
        <v>3</v>
      </c>
      <c r="K268" s="121" t="s">
        <v>791</v>
      </c>
    </row>
    <row r="269" spans="2:11" ht="15.75" customHeight="1" x14ac:dyDescent="0.3">
      <c r="B269" s="115">
        <v>9</v>
      </c>
      <c r="C269" s="116" t="s">
        <v>807</v>
      </c>
      <c r="D269" s="116">
        <v>9206</v>
      </c>
      <c r="E269" s="116" t="s">
        <v>564</v>
      </c>
      <c r="F269" s="116" t="s">
        <v>563</v>
      </c>
      <c r="G269" s="117" t="s">
        <v>47</v>
      </c>
      <c r="H269" s="118" t="s">
        <v>795</v>
      </c>
      <c r="I269" s="119">
        <v>4</v>
      </c>
      <c r="J269" s="119">
        <v>3</v>
      </c>
      <c r="K269" s="121" t="s">
        <v>791</v>
      </c>
    </row>
    <row r="270" spans="2:11" ht="15.75" customHeight="1" x14ac:dyDescent="0.3">
      <c r="B270" s="115">
        <v>9</v>
      </c>
      <c r="C270" s="116" t="s">
        <v>807</v>
      </c>
      <c r="D270" s="116">
        <v>9207</v>
      </c>
      <c r="E270" s="116" t="s">
        <v>590</v>
      </c>
      <c r="F270" s="116" t="s">
        <v>589</v>
      </c>
      <c r="G270" s="117" t="s">
        <v>47</v>
      </c>
      <c r="H270" s="118" t="s">
        <v>795</v>
      </c>
      <c r="I270" s="119">
        <v>4</v>
      </c>
      <c r="J270" s="119">
        <v>3</v>
      </c>
      <c r="K270" s="121" t="s">
        <v>791</v>
      </c>
    </row>
    <row r="271" spans="2:11" ht="15.75" customHeight="1" x14ac:dyDescent="0.3">
      <c r="B271" s="115">
        <v>9</v>
      </c>
      <c r="C271" s="116" t="s">
        <v>807</v>
      </c>
      <c r="D271" s="116">
        <v>9110</v>
      </c>
      <c r="E271" s="116" t="s">
        <v>566</v>
      </c>
      <c r="F271" s="116" t="s">
        <v>565</v>
      </c>
      <c r="G271" s="117" t="s">
        <v>47</v>
      </c>
      <c r="H271" s="118" t="s">
        <v>795</v>
      </c>
      <c r="I271" s="119">
        <v>4</v>
      </c>
      <c r="J271" s="119">
        <v>3</v>
      </c>
      <c r="K271" s="121" t="s">
        <v>791</v>
      </c>
    </row>
    <row r="272" spans="2:11" ht="15.75" customHeight="1" x14ac:dyDescent="0.3">
      <c r="B272" s="115">
        <v>9</v>
      </c>
      <c r="C272" s="116" t="s">
        <v>807</v>
      </c>
      <c r="D272" s="116">
        <v>9111</v>
      </c>
      <c r="E272" s="116" t="s">
        <v>568</v>
      </c>
      <c r="F272" s="116" t="s">
        <v>567</v>
      </c>
      <c r="G272" s="117" t="s">
        <v>47</v>
      </c>
      <c r="H272" s="118" t="s">
        <v>794</v>
      </c>
      <c r="I272" s="119">
        <v>3</v>
      </c>
      <c r="J272" s="119">
        <v>2</v>
      </c>
      <c r="K272" s="121" t="s">
        <v>791</v>
      </c>
    </row>
    <row r="273" spans="2:11" ht="15.75" customHeight="1" x14ac:dyDescent="0.3">
      <c r="B273" s="115">
        <v>9</v>
      </c>
      <c r="C273" s="116" t="s">
        <v>807</v>
      </c>
      <c r="D273" s="116">
        <v>9112</v>
      </c>
      <c r="E273" s="116" t="s">
        <v>570</v>
      </c>
      <c r="F273" s="116" t="s">
        <v>569</v>
      </c>
      <c r="G273" s="117" t="s">
        <v>47</v>
      </c>
      <c r="H273" s="118" t="s">
        <v>794</v>
      </c>
      <c r="I273" s="119">
        <v>3</v>
      </c>
      <c r="J273" s="119">
        <v>2</v>
      </c>
      <c r="K273" s="121" t="s">
        <v>791</v>
      </c>
    </row>
    <row r="274" spans="2:11" ht="15.75" customHeight="1" x14ac:dyDescent="0.3">
      <c r="B274" s="115">
        <v>9</v>
      </c>
      <c r="C274" s="116" t="s">
        <v>807</v>
      </c>
      <c r="D274" s="116">
        <v>9113</v>
      </c>
      <c r="E274" s="116" t="s">
        <v>572</v>
      </c>
      <c r="F274" s="116" t="s">
        <v>571</v>
      </c>
      <c r="G274" s="117" t="s">
        <v>47</v>
      </c>
      <c r="H274" s="118" t="s">
        <v>794</v>
      </c>
      <c r="I274" s="119">
        <v>3</v>
      </c>
      <c r="J274" s="119">
        <v>2</v>
      </c>
      <c r="K274" s="121" t="s">
        <v>791</v>
      </c>
    </row>
    <row r="275" spans="2:11" ht="15.75" customHeight="1" x14ac:dyDescent="0.3">
      <c r="B275" s="115">
        <v>9</v>
      </c>
      <c r="C275" s="116" t="s">
        <v>807</v>
      </c>
      <c r="D275" s="116">
        <v>9114</v>
      </c>
      <c r="E275" s="116" t="s">
        <v>574</v>
      </c>
      <c r="F275" s="116" t="s">
        <v>573</v>
      </c>
      <c r="G275" s="117" t="s">
        <v>47</v>
      </c>
      <c r="H275" s="118" t="s">
        <v>794</v>
      </c>
      <c r="I275" s="119">
        <v>3</v>
      </c>
      <c r="J275" s="119">
        <v>2</v>
      </c>
      <c r="K275" s="121" t="s">
        <v>791</v>
      </c>
    </row>
    <row r="276" spans="2:11" ht="15.75" customHeight="1" x14ac:dyDescent="0.3">
      <c r="B276" s="115">
        <v>9</v>
      </c>
      <c r="C276" s="116" t="s">
        <v>807</v>
      </c>
      <c r="D276" s="116">
        <v>9115</v>
      </c>
      <c r="E276" s="116" t="s">
        <v>576</v>
      </c>
      <c r="F276" s="116" t="s">
        <v>575</v>
      </c>
      <c r="G276" s="117" t="s">
        <v>47</v>
      </c>
      <c r="H276" s="118" t="s">
        <v>794</v>
      </c>
      <c r="I276" s="119">
        <v>3</v>
      </c>
      <c r="J276" s="119">
        <v>2</v>
      </c>
      <c r="K276" s="121" t="s">
        <v>791</v>
      </c>
    </row>
    <row r="277" spans="2:11" ht="15.75" customHeight="1" x14ac:dyDescent="0.3">
      <c r="B277" s="115">
        <v>9</v>
      </c>
      <c r="C277" s="116" t="s">
        <v>807</v>
      </c>
      <c r="D277" s="116">
        <v>9208</v>
      </c>
      <c r="E277" s="116" t="s">
        <v>580</v>
      </c>
      <c r="F277" s="116" t="s">
        <v>579</v>
      </c>
      <c r="G277" s="117" t="s">
        <v>47</v>
      </c>
      <c r="H277" s="118" t="s">
        <v>795</v>
      </c>
      <c r="I277" s="119">
        <v>4</v>
      </c>
      <c r="J277" s="119">
        <v>3</v>
      </c>
      <c r="K277" s="121" t="s">
        <v>791</v>
      </c>
    </row>
    <row r="278" spans="2:11" ht="15.75" customHeight="1" x14ac:dyDescent="0.3">
      <c r="B278" s="115">
        <v>9</v>
      </c>
      <c r="C278" s="116" t="s">
        <v>807</v>
      </c>
      <c r="D278" s="116">
        <v>9209</v>
      </c>
      <c r="E278" s="116" t="s">
        <v>582</v>
      </c>
      <c r="F278" s="116" t="s">
        <v>581</v>
      </c>
      <c r="G278" s="117" t="s">
        <v>44</v>
      </c>
      <c r="H278" s="118" t="s">
        <v>794</v>
      </c>
      <c r="I278" s="119">
        <v>3</v>
      </c>
      <c r="J278" s="119">
        <v>2</v>
      </c>
      <c r="K278" s="121" t="s">
        <v>791</v>
      </c>
    </row>
    <row r="279" spans="2:11" ht="15.75" customHeight="1" x14ac:dyDescent="0.3">
      <c r="B279" s="115">
        <v>9</v>
      </c>
      <c r="C279" s="116" t="s">
        <v>807</v>
      </c>
      <c r="D279" s="116">
        <v>9116</v>
      </c>
      <c r="E279" s="116" t="s">
        <v>578</v>
      </c>
      <c r="F279" s="116" t="s">
        <v>577</v>
      </c>
      <c r="G279" s="117" t="s">
        <v>47</v>
      </c>
      <c r="H279" s="118" t="s">
        <v>794</v>
      </c>
      <c r="I279" s="119">
        <v>3</v>
      </c>
      <c r="J279" s="119">
        <v>2</v>
      </c>
      <c r="K279" s="121" t="s">
        <v>791</v>
      </c>
    </row>
    <row r="280" spans="2:11" ht="15.75" customHeight="1" x14ac:dyDescent="0.3">
      <c r="B280" s="115">
        <v>9</v>
      </c>
      <c r="C280" s="116" t="s">
        <v>807</v>
      </c>
      <c r="D280" s="116">
        <v>9101</v>
      </c>
      <c r="E280" s="116" t="s">
        <v>47</v>
      </c>
      <c r="F280" s="116" t="s">
        <v>532</v>
      </c>
      <c r="G280" s="117" t="s">
        <v>47</v>
      </c>
      <c r="H280" s="118" t="s">
        <v>790</v>
      </c>
      <c r="I280" s="119">
        <v>2</v>
      </c>
      <c r="J280" s="119">
        <v>1</v>
      </c>
      <c r="K280" s="121" t="s">
        <v>791</v>
      </c>
    </row>
    <row r="281" spans="2:11" ht="15.75" customHeight="1" x14ac:dyDescent="0.3">
      <c r="B281" s="115">
        <v>9</v>
      </c>
      <c r="C281" s="116" t="s">
        <v>807</v>
      </c>
      <c r="D281" s="116">
        <v>9117</v>
      </c>
      <c r="E281" s="116" t="s">
        <v>584</v>
      </c>
      <c r="F281" s="116" t="s">
        <v>583</v>
      </c>
      <c r="G281" s="117" t="s">
        <v>47</v>
      </c>
      <c r="H281" s="118" t="s">
        <v>794</v>
      </c>
      <c r="I281" s="119">
        <v>3</v>
      </c>
      <c r="J281" s="119">
        <v>2</v>
      </c>
      <c r="K281" s="121" t="s">
        <v>791</v>
      </c>
    </row>
    <row r="282" spans="2:11" ht="15.75" customHeight="1" x14ac:dyDescent="0.3">
      <c r="B282" s="115">
        <v>9</v>
      </c>
      <c r="C282" s="116" t="s">
        <v>807</v>
      </c>
      <c r="D282" s="116">
        <v>9118</v>
      </c>
      <c r="E282" s="116" t="s">
        <v>586</v>
      </c>
      <c r="F282" s="116" t="s">
        <v>585</v>
      </c>
      <c r="G282" s="117" t="s">
        <v>47</v>
      </c>
      <c r="H282" s="118" t="s">
        <v>794</v>
      </c>
      <c r="I282" s="119">
        <v>3</v>
      </c>
      <c r="J282" s="119">
        <v>2</v>
      </c>
      <c r="K282" s="121" t="s">
        <v>791</v>
      </c>
    </row>
    <row r="283" spans="2:11" ht="15.75" customHeight="1" x14ac:dyDescent="0.3">
      <c r="B283" s="115">
        <v>9</v>
      </c>
      <c r="C283" s="116" t="s">
        <v>807</v>
      </c>
      <c r="D283" s="116">
        <v>9210</v>
      </c>
      <c r="E283" s="116" t="s">
        <v>588</v>
      </c>
      <c r="F283" s="116" t="s">
        <v>587</v>
      </c>
      <c r="G283" s="117" t="s">
        <v>47</v>
      </c>
      <c r="H283" s="118" t="s">
        <v>794</v>
      </c>
      <c r="I283" s="119">
        <v>3</v>
      </c>
      <c r="J283" s="119">
        <v>2</v>
      </c>
      <c r="K283" s="121" t="s">
        <v>791</v>
      </c>
    </row>
    <row r="284" spans="2:11" ht="15.75" customHeight="1" x14ac:dyDescent="0.3">
      <c r="B284" s="115">
        <v>9</v>
      </c>
      <c r="C284" s="116" t="s">
        <v>807</v>
      </c>
      <c r="D284" s="116">
        <v>9211</v>
      </c>
      <c r="E284" s="116" t="s">
        <v>592</v>
      </c>
      <c r="F284" s="116" t="s">
        <v>591</v>
      </c>
      <c r="G284" s="117" t="s">
        <v>47</v>
      </c>
      <c r="H284" s="118" t="s">
        <v>794</v>
      </c>
      <c r="I284" s="119">
        <v>3</v>
      </c>
      <c r="J284" s="119">
        <v>2</v>
      </c>
      <c r="K284" s="121" t="s">
        <v>791</v>
      </c>
    </row>
    <row r="285" spans="2:11" ht="15.75" customHeight="1" x14ac:dyDescent="0.3">
      <c r="B285" s="115">
        <v>9</v>
      </c>
      <c r="C285" s="116" t="s">
        <v>807</v>
      </c>
      <c r="D285" s="116">
        <v>9119</v>
      </c>
      <c r="E285" s="116" t="s">
        <v>594</v>
      </c>
      <c r="F285" s="116" t="s">
        <v>593</v>
      </c>
      <c r="G285" s="117" t="s">
        <v>47</v>
      </c>
      <c r="H285" s="118" t="s">
        <v>794</v>
      </c>
      <c r="I285" s="119">
        <v>3</v>
      </c>
      <c r="J285" s="119">
        <v>2</v>
      </c>
      <c r="K285" s="121" t="s">
        <v>791</v>
      </c>
    </row>
    <row r="286" spans="2:11" ht="15.75" customHeight="1" x14ac:dyDescent="0.3">
      <c r="B286" s="115">
        <v>9</v>
      </c>
      <c r="C286" s="116" t="s">
        <v>807</v>
      </c>
      <c r="D286" s="116">
        <v>9120</v>
      </c>
      <c r="E286" s="116" t="s">
        <v>596</v>
      </c>
      <c r="F286" s="116" t="s">
        <v>595</v>
      </c>
      <c r="G286" s="117" t="s">
        <v>47</v>
      </c>
      <c r="H286" s="118" t="s">
        <v>794</v>
      </c>
      <c r="I286" s="119">
        <v>3</v>
      </c>
      <c r="J286" s="119">
        <v>2</v>
      </c>
      <c r="K286" s="121" t="s">
        <v>791</v>
      </c>
    </row>
    <row r="287" spans="2:11" ht="15.75" customHeight="1" x14ac:dyDescent="0.3">
      <c r="B287" s="115">
        <v>14</v>
      </c>
      <c r="C287" s="116" t="s">
        <v>808</v>
      </c>
      <c r="D287" s="116">
        <v>14102</v>
      </c>
      <c r="E287" s="116" t="s">
        <v>600</v>
      </c>
      <c r="F287" s="116" t="s">
        <v>599</v>
      </c>
      <c r="G287" s="117" t="s">
        <v>48</v>
      </c>
      <c r="H287" s="118" t="s">
        <v>795</v>
      </c>
      <c r="I287" s="119">
        <v>4</v>
      </c>
      <c r="J287" s="119">
        <v>3</v>
      </c>
      <c r="K287" s="121" t="s">
        <v>791</v>
      </c>
    </row>
    <row r="288" spans="2:11" ht="15.75" customHeight="1" x14ac:dyDescent="0.3">
      <c r="B288" s="115">
        <v>14</v>
      </c>
      <c r="C288" s="116" t="s">
        <v>808</v>
      </c>
      <c r="D288" s="116">
        <v>14202</v>
      </c>
      <c r="E288" s="116" t="s">
        <v>602</v>
      </c>
      <c r="F288" s="116" t="s">
        <v>601</v>
      </c>
      <c r="G288" s="117" t="s">
        <v>48</v>
      </c>
      <c r="H288" s="118" t="s">
        <v>795</v>
      </c>
      <c r="I288" s="119">
        <v>4</v>
      </c>
      <c r="J288" s="119">
        <v>3</v>
      </c>
      <c r="K288" s="121" t="s">
        <v>791</v>
      </c>
    </row>
    <row r="289" spans="2:11" ht="15.75" customHeight="1" x14ac:dyDescent="0.3">
      <c r="B289" s="115">
        <v>14</v>
      </c>
      <c r="C289" s="116" t="s">
        <v>808</v>
      </c>
      <c r="D289" s="116">
        <v>14201</v>
      </c>
      <c r="E289" s="116" t="s">
        <v>604</v>
      </c>
      <c r="F289" s="116" t="s">
        <v>603</v>
      </c>
      <c r="G289" s="117" t="s">
        <v>49</v>
      </c>
      <c r="H289" s="118" t="s">
        <v>794</v>
      </c>
      <c r="I289" s="119">
        <v>3</v>
      </c>
      <c r="J289" s="119">
        <v>2</v>
      </c>
      <c r="K289" s="121" t="s">
        <v>791</v>
      </c>
    </row>
    <row r="290" spans="2:11" ht="15.75" customHeight="1" x14ac:dyDescent="0.3">
      <c r="B290" s="115">
        <v>14</v>
      </c>
      <c r="C290" s="116" t="s">
        <v>808</v>
      </c>
      <c r="D290" s="116">
        <v>14203</v>
      </c>
      <c r="E290" s="116" t="s">
        <v>606</v>
      </c>
      <c r="F290" s="116" t="s">
        <v>605</v>
      </c>
      <c r="G290" s="117" t="s">
        <v>49</v>
      </c>
      <c r="H290" s="118" t="s">
        <v>795</v>
      </c>
      <c r="I290" s="119">
        <v>4</v>
      </c>
      <c r="J290" s="119">
        <v>3</v>
      </c>
      <c r="K290" s="121" t="s">
        <v>791</v>
      </c>
    </row>
    <row r="291" spans="2:11" ht="15.75" customHeight="1" x14ac:dyDescent="0.3">
      <c r="B291" s="115">
        <v>14</v>
      </c>
      <c r="C291" s="116" t="s">
        <v>808</v>
      </c>
      <c r="D291" s="116">
        <v>14103</v>
      </c>
      <c r="E291" s="116" t="s">
        <v>608</v>
      </c>
      <c r="F291" s="116" t="s">
        <v>607</v>
      </c>
      <c r="G291" s="117" t="s">
        <v>47</v>
      </c>
      <c r="H291" s="118" t="s">
        <v>794</v>
      </c>
      <c r="I291" s="119">
        <v>3</v>
      </c>
      <c r="J291" s="119">
        <v>2</v>
      </c>
      <c r="K291" s="121" t="s">
        <v>791</v>
      </c>
    </row>
    <row r="292" spans="2:11" ht="15.75" customHeight="1" x14ac:dyDescent="0.3">
      <c r="B292" s="115">
        <v>14</v>
      </c>
      <c r="C292" s="116" t="s">
        <v>808</v>
      </c>
      <c r="D292" s="116">
        <v>14104</v>
      </c>
      <c r="E292" s="116" t="s">
        <v>610</v>
      </c>
      <c r="F292" s="116" t="s">
        <v>609</v>
      </c>
      <c r="G292" s="117" t="s">
        <v>48</v>
      </c>
      <c r="H292" s="118" t="s">
        <v>794</v>
      </c>
      <c r="I292" s="119">
        <v>3</v>
      </c>
      <c r="J292" s="119">
        <v>2</v>
      </c>
      <c r="K292" s="121" t="s">
        <v>791</v>
      </c>
    </row>
    <row r="293" spans="2:11" ht="15.75" customHeight="1" x14ac:dyDescent="0.3">
      <c r="B293" s="115">
        <v>14</v>
      </c>
      <c r="C293" s="116" t="s">
        <v>808</v>
      </c>
      <c r="D293" s="116">
        <v>14105</v>
      </c>
      <c r="E293" s="116" t="s">
        <v>612</v>
      </c>
      <c r="F293" s="116" t="s">
        <v>611</v>
      </c>
      <c r="G293" s="117" t="s">
        <v>48</v>
      </c>
      <c r="H293" s="118" t="s">
        <v>794</v>
      </c>
      <c r="I293" s="119">
        <v>3</v>
      </c>
      <c r="J293" s="119">
        <v>2</v>
      </c>
      <c r="K293" s="121" t="s">
        <v>791</v>
      </c>
    </row>
    <row r="294" spans="2:11" ht="15.75" customHeight="1" x14ac:dyDescent="0.3">
      <c r="B294" s="115">
        <v>14</v>
      </c>
      <c r="C294" s="116" t="s">
        <v>808</v>
      </c>
      <c r="D294" s="116">
        <v>14106</v>
      </c>
      <c r="E294" s="116" t="s">
        <v>620</v>
      </c>
      <c r="F294" s="116" t="s">
        <v>619</v>
      </c>
      <c r="G294" s="117" t="s">
        <v>48</v>
      </c>
      <c r="H294" s="118" t="s">
        <v>794</v>
      </c>
      <c r="I294" s="119">
        <v>3</v>
      </c>
      <c r="J294" s="119">
        <v>2</v>
      </c>
      <c r="K294" s="121" t="s">
        <v>791</v>
      </c>
    </row>
    <row r="295" spans="2:11" ht="15.75" customHeight="1" x14ac:dyDescent="0.3">
      <c r="B295" s="115">
        <v>14</v>
      </c>
      <c r="C295" s="116" t="s">
        <v>808</v>
      </c>
      <c r="D295" s="116">
        <v>14107</v>
      </c>
      <c r="E295" s="116" t="s">
        <v>614</v>
      </c>
      <c r="F295" s="116" t="s">
        <v>613</v>
      </c>
      <c r="G295" s="117" t="s">
        <v>48</v>
      </c>
      <c r="H295" s="118" t="s">
        <v>794</v>
      </c>
      <c r="I295" s="119">
        <v>3</v>
      </c>
      <c r="J295" s="119">
        <v>2</v>
      </c>
      <c r="K295" s="121" t="s">
        <v>791</v>
      </c>
    </row>
    <row r="296" spans="2:11" ht="15.75" customHeight="1" x14ac:dyDescent="0.3">
      <c r="B296" s="115">
        <v>14</v>
      </c>
      <c r="C296" s="116" t="s">
        <v>808</v>
      </c>
      <c r="D296" s="116">
        <v>14108</v>
      </c>
      <c r="E296" s="116" t="s">
        <v>616</v>
      </c>
      <c r="F296" s="116" t="s">
        <v>615</v>
      </c>
      <c r="G296" s="117" t="s">
        <v>47</v>
      </c>
      <c r="H296" s="118" t="s">
        <v>795</v>
      </c>
      <c r="I296" s="119">
        <v>5</v>
      </c>
      <c r="J296" s="119">
        <v>4</v>
      </c>
      <c r="K296" s="121" t="s">
        <v>791</v>
      </c>
    </row>
    <row r="297" spans="2:11" ht="15.75" customHeight="1" x14ac:dyDescent="0.3">
      <c r="B297" s="115">
        <v>14</v>
      </c>
      <c r="C297" s="116" t="s">
        <v>808</v>
      </c>
      <c r="D297" s="116">
        <v>14204</v>
      </c>
      <c r="E297" s="116" t="s">
        <v>618</v>
      </c>
      <c r="F297" s="116" t="s">
        <v>617</v>
      </c>
      <c r="G297" s="117" t="s">
        <v>49</v>
      </c>
      <c r="H297" s="118" t="s">
        <v>794</v>
      </c>
      <c r="I297" s="119">
        <v>3</v>
      </c>
      <c r="J297" s="119">
        <v>2</v>
      </c>
      <c r="K297" s="121" t="s">
        <v>791</v>
      </c>
    </row>
    <row r="298" spans="2:11" ht="15.75" customHeight="1" x14ac:dyDescent="0.3">
      <c r="B298" s="115">
        <v>14</v>
      </c>
      <c r="C298" s="116" t="s">
        <v>808</v>
      </c>
      <c r="D298" s="116">
        <v>14101</v>
      </c>
      <c r="E298" s="116" t="s">
        <v>48</v>
      </c>
      <c r="F298" s="116" t="s">
        <v>598</v>
      </c>
      <c r="G298" s="117" t="s">
        <v>48</v>
      </c>
      <c r="H298" s="118" t="s">
        <v>790</v>
      </c>
      <c r="I298" s="119">
        <v>2</v>
      </c>
      <c r="J298" s="119">
        <v>1</v>
      </c>
      <c r="K298" s="121" t="s">
        <v>791</v>
      </c>
    </row>
    <row r="299" spans="2:11" ht="15.75" customHeight="1" x14ac:dyDescent="0.3">
      <c r="B299" s="115">
        <v>10</v>
      </c>
      <c r="C299" s="116" t="s">
        <v>809</v>
      </c>
      <c r="D299" s="116">
        <v>10202</v>
      </c>
      <c r="E299" s="116" t="s">
        <v>637</v>
      </c>
      <c r="F299" s="116" t="s">
        <v>636</v>
      </c>
      <c r="G299" s="117" t="s">
        <v>53</v>
      </c>
      <c r="H299" s="118" t="s">
        <v>794</v>
      </c>
      <c r="I299" s="119">
        <v>5</v>
      </c>
      <c r="J299" s="119">
        <v>4</v>
      </c>
      <c r="K299" s="121" t="s">
        <v>791</v>
      </c>
    </row>
    <row r="300" spans="2:11" ht="15.75" customHeight="1" x14ac:dyDescent="0.3">
      <c r="B300" s="115">
        <v>10</v>
      </c>
      <c r="C300" s="116" t="s">
        <v>809</v>
      </c>
      <c r="D300" s="116">
        <v>10102</v>
      </c>
      <c r="E300" s="116" t="s">
        <v>639</v>
      </c>
      <c r="F300" s="116" t="s">
        <v>638</v>
      </c>
      <c r="G300" s="117" t="s">
        <v>50</v>
      </c>
      <c r="H300" s="118" t="s">
        <v>794</v>
      </c>
      <c r="I300" s="119">
        <v>3</v>
      </c>
      <c r="J300" s="119">
        <v>2</v>
      </c>
      <c r="K300" s="121" t="s">
        <v>791</v>
      </c>
    </row>
    <row r="301" spans="2:11" ht="15.75" customHeight="1" x14ac:dyDescent="0.3">
      <c r="B301" s="115">
        <v>10</v>
      </c>
      <c r="C301" s="116" t="s">
        <v>809</v>
      </c>
      <c r="D301" s="116">
        <v>10201</v>
      </c>
      <c r="E301" s="116" t="s">
        <v>53</v>
      </c>
      <c r="F301" s="116" t="s">
        <v>640</v>
      </c>
      <c r="G301" s="117" t="s">
        <v>53</v>
      </c>
      <c r="H301" s="118" t="s">
        <v>790</v>
      </c>
      <c r="I301" s="119">
        <v>4</v>
      </c>
      <c r="J301" s="119">
        <v>3</v>
      </c>
      <c r="K301" s="121" t="s">
        <v>791</v>
      </c>
    </row>
    <row r="302" spans="2:11" ht="15.75" customHeight="1" x14ac:dyDescent="0.3">
      <c r="B302" s="115">
        <v>10</v>
      </c>
      <c r="C302" s="116" t="s">
        <v>809</v>
      </c>
      <c r="D302" s="116">
        <v>10401</v>
      </c>
      <c r="E302" s="116" t="s">
        <v>625</v>
      </c>
      <c r="F302" s="116" t="s">
        <v>624</v>
      </c>
      <c r="G302" s="117" t="s">
        <v>50</v>
      </c>
      <c r="H302" s="118" t="s">
        <v>798</v>
      </c>
      <c r="I302" s="119">
        <v>5</v>
      </c>
      <c r="J302" s="119">
        <v>4</v>
      </c>
      <c r="K302" s="121" t="s">
        <v>791</v>
      </c>
    </row>
    <row r="303" spans="2:11" ht="15.75" customHeight="1" x14ac:dyDescent="0.3">
      <c r="B303" s="115">
        <v>10</v>
      </c>
      <c r="C303" s="116" t="s">
        <v>809</v>
      </c>
      <c r="D303" s="116">
        <v>10203</v>
      </c>
      <c r="E303" s="116" t="s">
        <v>652</v>
      </c>
      <c r="F303" s="116" t="s">
        <v>651</v>
      </c>
      <c r="G303" s="117" t="s">
        <v>53</v>
      </c>
      <c r="H303" s="118" t="s">
        <v>794</v>
      </c>
      <c r="I303" s="119">
        <v>6</v>
      </c>
      <c r="J303" s="119">
        <v>5</v>
      </c>
      <c r="K303" s="121" t="s">
        <v>791</v>
      </c>
    </row>
    <row r="304" spans="2:11" ht="15.75" customHeight="1" x14ac:dyDescent="0.3">
      <c r="B304" s="115">
        <v>10</v>
      </c>
      <c r="C304" s="116" t="s">
        <v>809</v>
      </c>
      <c r="D304" s="116">
        <v>10103</v>
      </c>
      <c r="E304" s="116" t="s">
        <v>627</v>
      </c>
      <c r="F304" s="116" t="s">
        <v>626</v>
      </c>
      <c r="G304" s="117" t="s">
        <v>50</v>
      </c>
      <c r="H304" s="118" t="s">
        <v>795</v>
      </c>
      <c r="I304" s="119">
        <v>5</v>
      </c>
      <c r="J304" s="119">
        <v>4</v>
      </c>
      <c r="K304" s="121" t="s">
        <v>791</v>
      </c>
    </row>
    <row r="305" spans="2:11" ht="15.75" customHeight="1" x14ac:dyDescent="0.3">
      <c r="B305" s="115">
        <v>10</v>
      </c>
      <c r="C305" s="116" t="s">
        <v>809</v>
      </c>
      <c r="D305" s="116">
        <v>10204</v>
      </c>
      <c r="E305" s="116" t="s">
        <v>646</v>
      </c>
      <c r="F305" s="116" t="s">
        <v>645</v>
      </c>
      <c r="G305" s="117" t="s">
        <v>53</v>
      </c>
      <c r="H305" s="118" t="s">
        <v>795</v>
      </c>
      <c r="I305" s="119">
        <v>6</v>
      </c>
      <c r="J305" s="119">
        <v>5</v>
      </c>
      <c r="K305" s="121" t="s">
        <v>791</v>
      </c>
    </row>
    <row r="306" spans="2:11" ht="15.75" customHeight="1" x14ac:dyDescent="0.3">
      <c r="B306" s="115">
        <v>10</v>
      </c>
      <c r="C306" s="116" t="s">
        <v>809</v>
      </c>
      <c r="D306" s="116">
        <v>10205</v>
      </c>
      <c r="E306" s="116" t="s">
        <v>654</v>
      </c>
      <c r="F306" s="116" t="s">
        <v>653</v>
      </c>
      <c r="G306" s="117" t="s">
        <v>53</v>
      </c>
      <c r="H306" s="118" t="s">
        <v>794</v>
      </c>
      <c r="I306" s="119">
        <v>5</v>
      </c>
      <c r="J306" s="119">
        <v>4</v>
      </c>
      <c r="K306" s="121" t="s">
        <v>791</v>
      </c>
    </row>
    <row r="307" spans="2:11" ht="15.75" customHeight="1" x14ac:dyDescent="0.3">
      <c r="B307" s="115">
        <v>10</v>
      </c>
      <c r="C307" s="116" t="s">
        <v>809</v>
      </c>
      <c r="D307" s="116">
        <v>10104</v>
      </c>
      <c r="E307" s="116" t="s">
        <v>656</v>
      </c>
      <c r="F307" s="116" t="s">
        <v>655</v>
      </c>
      <c r="G307" s="117" t="s">
        <v>50</v>
      </c>
      <c r="H307" s="118" t="s">
        <v>794</v>
      </c>
      <c r="I307" s="119">
        <v>3</v>
      </c>
      <c r="J307" s="119">
        <v>2</v>
      </c>
      <c r="K307" s="121" t="s">
        <v>791</v>
      </c>
    </row>
    <row r="308" spans="2:11" ht="15.75" customHeight="1" x14ac:dyDescent="0.3">
      <c r="B308" s="115">
        <v>10</v>
      </c>
      <c r="C308" s="116" t="s">
        <v>809</v>
      </c>
      <c r="D308" s="116">
        <v>10105</v>
      </c>
      <c r="E308" s="116" t="s">
        <v>658</v>
      </c>
      <c r="F308" s="116" t="s">
        <v>657</v>
      </c>
      <c r="G308" s="117" t="s">
        <v>49</v>
      </c>
      <c r="H308" s="118" t="s">
        <v>794</v>
      </c>
      <c r="I308" s="119">
        <v>3</v>
      </c>
      <c r="J308" s="119">
        <v>2</v>
      </c>
      <c r="K308" s="121" t="s">
        <v>791</v>
      </c>
    </row>
    <row r="309" spans="2:11" ht="15.75" customHeight="1" x14ac:dyDescent="0.3">
      <c r="B309" s="115">
        <v>10</v>
      </c>
      <c r="C309" s="116" t="s">
        <v>809</v>
      </c>
      <c r="D309" s="116">
        <v>10402</v>
      </c>
      <c r="E309" s="116" t="s">
        <v>629</v>
      </c>
      <c r="F309" s="116" t="s">
        <v>628</v>
      </c>
      <c r="G309" s="117" t="s">
        <v>50</v>
      </c>
      <c r="H309" s="118" t="s">
        <v>798</v>
      </c>
      <c r="I309" s="119">
        <v>5</v>
      </c>
      <c r="J309" s="119">
        <v>4</v>
      </c>
      <c r="K309" s="121" t="s">
        <v>791</v>
      </c>
    </row>
    <row r="310" spans="2:11" ht="15.75" customHeight="1" x14ac:dyDescent="0.3">
      <c r="B310" s="115">
        <v>10</v>
      </c>
      <c r="C310" s="116" t="s">
        <v>809</v>
      </c>
      <c r="D310" s="116">
        <v>10403</v>
      </c>
      <c r="E310" s="116" t="s">
        <v>631</v>
      </c>
      <c r="F310" s="116" t="s">
        <v>630</v>
      </c>
      <c r="G310" s="117" t="s">
        <v>50</v>
      </c>
      <c r="H310" s="118" t="s">
        <v>798</v>
      </c>
      <c r="I310" s="119">
        <v>5</v>
      </c>
      <c r="J310" s="119">
        <v>4</v>
      </c>
      <c r="K310" s="121" t="s">
        <v>791</v>
      </c>
    </row>
    <row r="311" spans="2:11" ht="15.75" customHeight="1" x14ac:dyDescent="0.3">
      <c r="B311" s="115">
        <v>10</v>
      </c>
      <c r="C311" s="116" t="s">
        <v>809</v>
      </c>
      <c r="D311" s="116">
        <v>10107</v>
      </c>
      <c r="E311" s="116" t="s">
        <v>660</v>
      </c>
      <c r="F311" s="116" t="s">
        <v>659</v>
      </c>
      <c r="G311" s="117" t="s">
        <v>50</v>
      </c>
      <c r="H311" s="118" t="s">
        <v>794</v>
      </c>
      <c r="I311" s="119">
        <v>3</v>
      </c>
      <c r="J311" s="119">
        <v>2</v>
      </c>
      <c r="K311" s="121" t="s">
        <v>791</v>
      </c>
    </row>
    <row r="312" spans="2:11" ht="15.75" customHeight="1" x14ac:dyDescent="0.3">
      <c r="B312" s="115">
        <v>10</v>
      </c>
      <c r="C312" s="116" t="s">
        <v>809</v>
      </c>
      <c r="D312" s="116">
        <v>10106</v>
      </c>
      <c r="E312" s="116" t="s">
        <v>662</v>
      </c>
      <c r="F312" s="116" t="s">
        <v>661</v>
      </c>
      <c r="G312" s="117" t="s">
        <v>50</v>
      </c>
      <c r="H312" s="118" t="s">
        <v>794</v>
      </c>
      <c r="I312" s="119">
        <v>3</v>
      </c>
      <c r="J312" s="119">
        <v>2</v>
      </c>
      <c r="K312" s="121" t="s">
        <v>791</v>
      </c>
    </row>
    <row r="313" spans="2:11" ht="15.75" customHeight="1" x14ac:dyDescent="0.3">
      <c r="B313" s="115">
        <v>10</v>
      </c>
      <c r="C313" s="116" t="s">
        <v>809</v>
      </c>
      <c r="D313" s="116">
        <v>10108</v>
      </c>
      <c r="E313" s="116" t="s">
        <v>664</v>
      </c>
      <c r="F313" s="116" t="s">
        <v>663</v>
      </c>
      <c r="G313" s="117" t="s">
        <v>50</v>
      </c>
      <c r="H313" s="118" t="s">
        <v>794</v>
      </c>
      <c r="I313" s="119">
        <v>3</v>
      </c>
      <c r="J313" s="119">
        <v>2</v>
      </c>
      <c r="K313" s="121" t="s">
        <v>791</v>
      </c>
    </row>
    <row r="314" spans="2:11" ht="15.75" customHeight="1" x14ac:dyDescent="0.3">
      <c r="B314" s="115">
        <v>10</v>
      </c>
      <c r="C314" s="116" t="s">
        <v>809</v>
      </c>
      <c r="D314" s="116">
        <v>10301</v>
      </c>
      <c r="E314" s="116" t="s">
        <v>49</v>
      </c>
      <c r="F314" s="116" t="s">
        <v>622</v>
      </c>
      <c r="G314" s="117" t="s">
        <v>49</v>
      </c>
      <c r="H314" s="118" t="s">
        <v>790</v>
      </c>
      <c r="I314" s="119">
        <v>2</v>
      </c>
      <c r="J314" s="119">
        <v>1</v>
      </c>
      <c r="K314" s="121" t="s">
        <v>791</v>
      </c>
    </row>
    <row r="315" spans="2:11" ht="15.75" customHeight="1" x14ac:dyDescent="0.3">
      <c r="B315" s="115">
        <v>10</v>
      </c>
      <c r="C315" s="116" t="s">
        <v>809</v>
      </c>
      <c r="D315" s="116">
        <v>10404</v>
      </c>
      <c r="E315" s="116" t="s">
        <v>633</v>
      </c>
      <c r="F315" s="116" t="s">
        <v>632</v>
      </c>
      <c r="G315" s="117" t="s">
        <v>50</v>
      </c>
      <c r="H315" s="118" t="s">
        <v>798</v>
      </c>
      <c r="I315" s="119">
        <v>5</v>
      </c>
      <c r="J315" s="119">
        <v>4</v>
      </c>
      <c r="K315" s="121" t="s">
        <v>791</v>
      </c>
    </row>
    <row r="316" spans="2:11" ht="15.75" customHeight="1" x14ac:dyDescent="0.3">
      <c r="B316" s="115">
        <v>10</v>
      </c>
      <c r="C316" s="116" t="s">
        <v>809</v>
      </c>
      <c r="D316" s="116">
        <v>10101</v>
      </c>
      <c r="E316" s="116" t="s">
        <v>50</v>
      </c>
      <c r="F316" s="116" t="s">
        <v>623</v>
      </c>
      <c r="G316" s="117" t="s">
        <v>50</v>
      </c>
      <c r="H316" s="118" t="s">
        <v>790</v>
      </c>
      <c r="I316" s="119">
        <v>2</v>
      </c>
      <c r="J316" s="119">
        <v>1</v>
      </c>
      <c r="K316" s="121" t="s">
        <v>791</v>
      </c>
    </row>
    <row r="317" spans="2:11" ht="15.75" customHeight="1" x14ac:dyDescent="0.3">
      <c r="B317" s="115">
        <v>10</v>
      </c>
      <c r="C317" s="116" t="s">
        <v>809</v>
      </c>
      <c r="D317" s="116">
        <v>10302</v>
      </c>
      <c r="E317" s="116" t="s">
        <v>666</v>
      </c>
      <c r="F317" s="116" t="s">
        <v>665</v>
      </c>
      <c r="G317" s="117" t="s">
        <v>49</v>
      </c>
      <c r="H317" s="118" t="s">
        <v>795</v>
      </c>
      <c r="I317" s="119">
        <v>4</v>
      </c>
      <c r="J317" s="119">
        <v>3</v>
      </c>
      <c r="K317" s="121" t="s">
        <v>791</v>
      </c>
    </row>
    <row r="318" spans="2:11" ht="15.75" customHeight="1" x14ac:dyDescent="0.3">
      <c r="B318" s="115">
        <v>10</v>
      </c>
      <c r="C318" s="116" t="s">
        <v>809</v>
      </c>
      <c r="D318" s="116">
        <v>10109</v>
      </c>
      <c r="E318" s="116" t="s">
        <v>670</v>
      </c>
      <c r="F318" s="116" t="s">
        <v>669</v>
      </c>
      <c r="G318" s="117" t="s">
        <v>50</v>
      </c>
      <c r="H318" s="118" t="s">
        <v>794</v>
      </c>
      <c r="I318" s="119">
        <v>3</v>
      </c>
      <c r="J318" s="119">
        <v>2</v>
      </c>
      <c r="K318" s="121" t="s">
        <v>791</v>
      </c>
    </row>
    <row r="319" spans="2:11" ht="15.75" customHeight="1" x14ac:dyDescent="0.3">
      <c r="B319" s="115">
        <v>10</v>
      </c>
      <c r="C319" s="116" t="s">
        <v>809</v>
      </c>
      <c r="D319" s="116">
        <v>10206</v>
      </c>
      <c r="E319" s="116" t="s">
        <v>644</v>
      </c>
      <c r="F319" s="116" t="s">
        <v>643</v>
      </c>
      <c r="G319" s="117" t="s">
        <v>53</v>
      </c>
      <c r="H319" s="118" t="s">
        <v>795</v>
      </c>
      <c r="I319" s="119">
        <v>7</v>
      </c>
      <c r="J319" s="119">
        <v>6</v>
      </c>
      <c r="K319" s="121" t="s">
        <v>791</v>
      </c>
    </row>
    <row r="320" spans="2:11" ht="15.75" customHeight="1" x14ac:dyDescent="0.3">
      <c r="B320" s="115">
        <v>10</v>
      </c>
      <c r="C320" s="116" t="s">
        <v>809</v>
      </c>
      <c r="D320" s="116">
        <v>10303</v>
      </c>
      <c r="E320" s="116" t="s">
        <v>672</v>
      </c>
      <c r="F320" s="116" t="s">
        <v>671</v>
      </c>
      <c r="G320" s="117" t="s">
        <v>49</v>
      </c>
      <c r="H320" s="118" t="s">
        <v>794</v>
      </c>
      <c r="I320" s="119">
        <v>3</v>
      </c>
      <c r="J320" s="119">
        <v>2</v>
      </c>
      <c r="K320" s="121" t="s">
        <v>791</v>
      </c>
    </row>
    <row r="321" spans="2:11" ht="15.75" customHeight="1" x14ac:dyDescent="0.3">
      <c r="B321" s="115">
        <v>10</v>
      </c>
      <c r="C321" s="116" t="s">
        <v>809</v>
      </c>
      <c r="D321" s="116">
        <v>10304</v>
      </c>
      <c r="E321" s="116" t="s">
        <v>668</v>
      </c>
      <c r="F321" s="116" t="s">
        <v>667</v>
      </c>
      <c r="G321" s="117" t="s">
        <v>49</v>
      </c>
      <c r="H321" s="118" t="s">
        <v>794</v>
      </c>
      <c r="I321" s="119">
        <v>3</v>
      </c>
      <c r="J321" s="119">
        <v>2</v>
      </c>
      <c r="K321" s="121" t="s">
        <v>791</v>
      </c>
    </row>
    <row r="322" spans="2:11" ht="15.75" customHeight="1" x14ac:dyDescent="0.3">
      <c r="B322" s="115">
        <v>10</v>
      </c>
      <c r="C322" s="116" t="s">
        <v>809</v>
      </c>
      <c r="D322" s="116">
        <v>10207</v>
      </c>
      <c r="E322" s="116" t="s">
        <v>642</v>
      </c>
      <c r="F322" s="116" t="s">
        <v>641</v>
      </c>
      <c r="G322" s="117" t="s">
        <v>53</v>
      </c>
      <c r="H322" s="118" t="s">
        <v>795</v>
      </c>
      <c r="I322" s="119">
        <v>7</v>
      </c>
      <c r="J322" s="119">
        <v>6</v>
      </c>
      <c r="K322" s="121" t="s">
        <v>791</v>
      </c>
    </row>
    <row r="323" spans="2:11" ht="15.75" customHeight="1" x14ac:dyDescent="0.3">
      <c r="B323" s="115">
        <v>10</v>
      </c>
      <c r="C323" s="116" t="s">
        <v>809</v>
      </c>
      <c r="D323" s="116">
        <v>10208</v>
      </c>
      <c r="E323" s="116" t="s">
        <v>674</v>
      </c>
      <c r="F323" s="116" t="s">
        <v>673</v>
      </c>
      <c r="G323" s="117" t="s">
        <v>53</v>
      </c>
      <c r="H323" s="118" t="s">
        <v>795</v>
      </c>
      <c r="I323" s="119">
        <v>6</v>
      </c>
      <c r="J323" s="119">
        <v>5</v>
      </c>
      <c r="K323" s="121" t="s">
        <v>791</v>
      </c>
    </row>
    <row r="324" spans="2:11" ht="15.75" customHeight="1" x14ac:dyDescent="0.3">
      <c r="B324" s="115">
        <v>10</v>
      </c>
      <c r="C324" s="116" t="s">
        <v>809</v>
      </c>
      <c r="D324" s="116">
        <v>10209</v>
      </c>
      <c r="E324" s="116" t="s">
        <v>648</v>
      </c>
      <c r="F324" s="116" t="s">
        <v>647</v>
      </c>
      <c r="G324" s="117" t="s">
        <v>53</v>
      </c>
      <c r="H324" s="118" t="s">
        <v>794</v>
      </c>
      <c r="I324" s="119">
        <v>5</v>
      </c>
      <c r="J324" s="119">
        <v>4</v>
      </c>
      <c r="K324" s="121" t="s">
        <v>791</v>
      </c>
    </row>
    <row r="325" spans="2:11" ht="15.75" customHeight="1" x14ac:dyDescent="0.3">
      <c r="B325" s="115">
        <v>10</v>
      </c>
      <c r="C325" s="116" t="s">
        <v>809</v>
      </c>
      <c r="D325" s="116">
        <v>10210</v>
      </c>
      <c r="E325" s="116" t="s">
        <v>650</v>
      </c>
      <c r="F325" s="116" t="s">
        <v>649</v>
      </c>
      <c r="G325" s="117" t="s">
        <v>53</v>
      </c>
      <c r="H325" s="118" t="s">
        <v>795</v>
      </c>
      <c r="I325" s="119">
        <v>6</v>
      </c>
      <c r="J325" s="119">
        <v>5</v>
      </c>
      <c r="K325" s="121" t="s">
        <v>791</v>
      </c>
    </row>
    <row r="326" spans="2:11" ht="15.75" customHeight="1" x14ac:dyDescent="0.3">
      <c r="B326" s="115">
        <v>10</v>
      </c>
      <c r="C326" s="116" t="s">
        <v>809</v>
      </c>
      <c r="D326" s="116">
        <v>10305</v>
      </c>
      <c r="E326" s="116" t="s">
        <v>676</v>
      </c>
      <c r="F326" s="116" t="s">
        <v>675</v>
      </c>
      <c r="G326" s="117" t="s">
        <v>49</v>
      </c>
      <c r="H326" s="118" t="s">
        <v>794</v>
      </c>
      <c r="I326" s="119">
        <v>3</v>
      </c>
      <c r="J326" s="119">
        <v>2</v>
      </c>
      <c r="K326" s="121" t="s">
        <v>791</v>
      </c>
    </row>
    <row r="327" spans="2:11" ht="15.75" customHeight="1" x14ac:dyDescent="0.3">
      <c r="B327" s="115">
        <v>10</v>
      </c>
      <c r="C327" s="116" t="s">
        <v>809</v>
      </c>
      <c r="D327" s="116">
        <v>10306</v>
      </c>
      <c r="E327" s="116" t="s">
        <v>635</v>
      </c>
      <c r="F327" s="116" t="s">
        <v>634</v>
      </c>
      <c r="G327" s="117" t="s">
        <v>49</v>
      </c>
      <c r="H327" s="118" t="s">
        <v>794</v>
      </c>
      <c r="I327" s="119">
        <v>3</v>
      </c>
      <c r="J327" s="119">
        <v>2</v>
      </c>
      <c r="K327" s="121" t="s">
        <v>791</v>
      </c>
    </row>
    <row r="328" spans="2:11" ht="15.75" customHeight="1" x14ac:dyDescent="0.3">
      <c r="B328" s="115">
        <v>10</v>
      </c>
      <c r="C328" s="116" t="s">
        <v>809</v>
      </c>
      <c r="D328" s="116">
        <v>10307</v>
      </c>
      <c r="E328" s="116" t="s">
        <v>678</v>
      </c>
      <c r="F328" s="116" t="s">
        <v>677</v>
      </c>
      <c r="G328" s="117" t="s">
        <v>49</v>
      </c>
      <c r="H328" s="118" t="s">
        <v>794</v>
      </c>
      <c r="I328" s="119">
        <v>3</v>
      </c>
      <c r="J328" s="119">
        <v>2</v>
      </c>
      <c r="K328" s="121" t="s">
        <v>791</v>
      </c>
    </row>
    <row r="329" spans="2:11" ht="15.75" customHeight="1" x14ac:dyDescent="0.3">
      <c r="B329" s="115">
        <v>11</v>
      </c>
      <c r="C329" s="116" t="s">
        <v>810</v>
      </c>
      <c r="D329" s="116">
        <v>11201</v>
      </c>
      <c r="E329" s="116" t="s">
        <v>735</v>
      </c>
      <c r="F329" s="116" t="s">
        <v>734</v>
      </c>
      <c r="G329" s="117" t="s">
        <v>62</v>
      </c>
      <c r="H329" s="118" t="s">
        <v>795</v>
      </c>
      <c r="I329" s="119">
        <v>12</v>
      </c>
      <c r="J329" s="119">
        <v>5</v>
      </c>
      <c r="K329" s="121" t="s">
        <v>791</v>
      </c>
    </row>
    <row r="330" spans="2:11" ht="15.75" customHeight="1" x14ac:dyDescent="0.3">
      <c r="B330" s="115">
        <v>11</v>
      </c>
      <c r="C330" s="116" t="s">
        <v>810</v>
      </c>
      <c r="D330" s="116">
        <v>11401</v>
      </c>
      <c r="E330" s="116" t="s">
        <v>721</v>
      </c>
      <c r="F330" s="116" t="s">
        <v>720</v>
      </c>
      <c r="G330" s="117" t="s">
        <v>62</v>
      </c>
      <c r="H330" s="118" t="s">
        <v>798</v>
      </c>
      <c r="I330" s="119">
        <v>12</v>
      </c>
      <c r="J330" s="119">
        <v>5</v>
      </c>
      <c r="K330" s="121" t="s">
        <v>791</v>
      </c>
    </row>
    <row r="331" spans="2:11" ht="15.75" customHeight="1" x14ac:dyDescent="0.3">
      <c r="B331" s="115">
        <v>11</v>
      </c>
      <c r="C331" s="116" t="s">
        <v>810</v>
      </c>
      <c r="D331" s="116">
        <v>11202</v>
      </c>
      <c r="E331" s="116" t="s">
        <v>723</v>
      </c>
      <c r="F331" s="116" t="s">
        <v>722</v>
      </c>
      <c r="G331" s="117" t="s">
        <v>62</v>
      </c>
      <c r="H331" s="118" t="s">
        <v>798</v>
      </c>
      <c r="I331" s="119">
        <v>12</v>
      </c>
      <c r="J331" s="119">
        <v>5</v>
      </c>
      <c r="K331" s="121" t="s">
        <v>791</v>
      </c>
    </row>
    <row r="332" spans="2:11" ht="15.75" customHeight="1" x14ac:dyDescent="0.3">
      <c r="B332" s="115">
        <v>11</v>
      </c>
      <c r="C332" s="116" t="s">
        <v>810</v>
      </c>
      <c r="D332" s="116">
        <v>11301</v>
      </c>
      <c r="E332" s="116" t="s">
        <v>733</v>
      </c>
      <c r="F332" s="116" t="s">
        <v>732</v>
      </c>
      <c r="G332" s="117" t="s">
        <v>62</v>
      </c>
      <c r="H332" s="118" t="s">
        <v>798</v>
      </c>
      <c r="I332" s="119">
        <v>12</v>
      </c>
      <c r="J332" s="119">
        <v>5</v>
      </c>
      <c r="K332" s="121" t="s">
        <v>791</v>
      </c>
    </row>
    <row r="333" spans="2:11" ht="15.75" customHeight="1" x14ac:dyDescent="0.3">
      <c r="B333" s="115">
        <v>11</v>
      </c>
      <c r="C333" s="116" t="s">
        <v>810</v>
      </c>
      <c r="D333" s="116">
        <v>11101</v>
      </c>
      <c r="E333" s="116" t="s">
        <v>62</v>
      </c>
      <c r="F333" s="116" t="s">
        <v>719</v>
      </c>
      <c r="G333" s="117" t="s">
        <v>62</v>
      </c>
      <c r="H333" s="118" t="s">
        <v>790</v>
      </c>
      <c r="I333" s="119">
        <v>9</v>
      </c>
      <c r="J333" s="119">
        <v>2</v>
      </c>
      <c r="K333" s="121" t="s">
        <v>791</v>
      </c>
    </row>
    <row r="334" spans="2:11" ht="15.75" customHeight="1" x14ac:dyDescent="0.3">
      <c r="B334" s="115">
        <v>11</v>
      </c>
      <c r="C334" s="116" t="s">
        <v>810</v>
      </c>
      <c r="D334" s="116">
        <v>11203</v>
      </c>
      <c r="E334" s="116" t="s">
        <v>727</v>
      </c>
      <c r="F334" s="116" t="s">
        <v>726</v>
      </c>
      <c r="G334" s="117" t="s">
        <v>62</v>
      </c>
      <c r="H334" s="118" t="s">
        <v>792</v>
      </c>
      <c r="I334" s="119">
        <v>12</v>
      </c>
      <c r="J334" s="119">
        <v>5</v>
      </c>
      <c r="K334" s="121" t="s">
        <v>791</v>
      </c>
    </row>
    <row r="335" spans="2:11" ht="15.75" customHeight="1" x14ac:dyDescent="0.3">
      <c r="B335" s="115">
        <v>11</v>
      </c>
      <c r="C335" s="116" t="s">
        <v>810</v>
      </c>
      <c r="D335" s="116">
        <v>11102</v>
      </c>
      <c r="E335" s="116" t="s">
        <v>725</v>
      </c>
      <c r="F335" s="116" t="s">
        <v>724</v>
      </c>
      <c r="G335" s="117" t="s">
        <v>62</v>
      </c>
      <c r="H335" s="118" t="s">
        <v>798</v>
      </c>
      <c r="I335" s="119">
        <v>12</v>
      </c>
      <c r="J335" s="119">
        <v>5</v>
      </c>
      <c r="K335" s="121" t="s">
        <v>791</v>
      </c>
    </row>
    <row r="336" spans="2:11" ht="15.75" customHeight="1" x14ac:dyDescent="0.3">
      <c r="B336" s="115">
        <v>11</v>
      </c>
      <c r="C336" s="116" t="s">
        <v>810</v>
      </c>
      <c r="D336" s="116">
        <v>11302</v>
      </c>
      <c r="E336" s="116" t="s">
        <v>729</v>
      </c>
      <c r="F336" s="116" t="s">
        <v>728</v>
      </c>
      <c r="G336" s="117" t="s">
        <v>62</v>
      </c>
      <c r="H336" s="118" t="s">
        <v>792</v>
      </c>
      <c r="I336" s="119">
        <v>12</v>
      </c>
      <c r="J336" s="119">
        <v>5</v>
      </c>
      <c r="K336" s="121" t="s">
        <v>791</v>
      </c>
    </row>
    <row r="337" spans="2:11" ht="15.75" customHeight="1" x14ac:dyDescent="0.3">
      <c r="B337" s="115">
        <v>11</v>
      </c>
      <c r="C337" s="116" t="s">
        <v>810</v>
      </c>
      <c r="D337" s="116">
        <v>11402</v>
      </c>
      <c r="E337" s="116" t="s">
        <v>737</v>
      </c>
      <c r="F337" s="116" t="s">
        <v>736</v>
      </c>
      <c r="G337" s="117" t="s">
        <v>62</v>
      </c>
      <c r="H337" s="118" t="s">
        <v>795</v>
      </c>
      <c r="I337" s="119">
        <v>11</v>
      </c>
      <c r="J337" s="119">
        <v>4</v>
      </c>
      <c r="K337" s="121" t="s">
        <v>791</v>
      </c>
    </row>
    <row r="338" spans="2:11" ht="15.75" customHeight="1" x14ac:dyDescent="0.3">
      <c r="B338" s="115">
        <v>11</v>
      </c>
      <c r="C338" s="116" t="s">
        <v>810</v>
      </c>
      <c r="D338" s="116">
        <v>11303</v>
      </c>
      <c r="E338" s="116" t="s">
        <v>731</v>
      </c>
      <c r="F338" s="116" t="s">
        <v>730</v>
      </c>
      <c r="G338" s="117" t="s">
        <v>62</v>
      </c>
      <c r="H338" s="118" t="s">
        <v>792</v>
      </c>
      <c r="I338" s="119">
        <v>12</v>
      </c>
      <c r="J338" s="119">
        <v>5</v>
      </c>
      <c r="K338" s="121" t="s">
        <v>791</v>
      </c>
    </row>
    <row r="339" spans="2:11" ht="15.75" customHeight="1" x14ac:dyDescent="0.3">
      <c r="B339" s="115">
        <v>12</v>
      </c>
      <c r="C339" s="116" t="s">
        <v>811</v>
      </c>
      <c r="D339" s="116">
        <v>12202</v>
      </c>
      <c r="E339" s="116" t="s">
        <v>759</v>
      </c>
      <c r="F339" s="116" t="s">
        <v>758</v>
      </c>
      <c r="G339" s="117" t="s">
        <v>64</v>
      </c>
      <c r="H339" s="118" t="s">
        <v>792</v>
      </c>
      <c r="I339" s="119">
        <v>15</v>
      </c>
      <c r="J339" s="119">
        <v>5</v>
      </c>
      <c r="K339" s="121" t="s">
        <v>791</v>
      </c>
    </row>
    <row r="340" spans="2:11" ht="15.75" customHeight="1" x14ac:dyDescent="0.3">
      <c r="B340" s="115">
        <v>12</v>
      </c>
      <c r="C340" s="116" t="s">
        <v>811</v>
      </c>
      <c r="D340" s="116">
        <v>12201</v>
      </c>
      <c r="E340" s="116" t="s">
        <v>753</v>
      </c>
      <c r="F340" s="116" t="s">
        <v>752</v>
      </c>
      <c r="G340" s="117" t="s">
        <v>64</v>
      </c>
      <c r="H340" s="118" t="s">
        <v>798</v>
      </c>
      <c r="I340" s="119">
        <v>15</v>
      </c>
      <c r="J340" s="119">
        <v>5</v>
      </c>
      <c r="K340" s="121" t="s">
        <v>791</v>
      </c>
    </row>
    <row r="341" spans="2:11" ht="15.75" customHeight="1" x14ac:dyDescent="0.3">
      <c r="B341" s="115">
        <v>12</v>
      </c>
      <c r="C341" s="116" t="s">
        <v>811</v>
      </c>
      <c r="D341" s="116">
        <v>12102</v>
      </c>
      <c r="E341" s="116" t="s">
        <v>741</v>
      </c>
      <c r="F341" s="116" t="s">
        <v>740</v>
      </c>
      <c r="G341" s="117" t="s">
        <v>64</v>
      </c>
      <c r="H341" s="118" t="s">
        <v>792</v>
      </c>
      <c r="I341" s="119">
        <v>15</v>
      </c>
      <c r="J341" s="119">
        <v>5</v>
      </c>
      <c r="K341" s="121" t="s">
        <v>791</v>
      </c>
    </row>
    <row r="342" spans="2:11" ht="15.75" customHeight="1" x14ac:dyDescent="0.3">
      <c r="B342" s="115">
        <v>12</v>
      </c>
      <c r="C342" s="116" t="s">
        <v>811</v>
      </c>
      <c r="D342" s="116">
        <v>12401</v>
      </c>
      <c r="E342" s="116" t="s">
        <v>757</v>
      </c>
      <c r="F342" s="116" t="s">
        <v>756</v>
      </c>
      <c r="G342" s="117" t="s">
        <v>64</v>
      </c>
      <c r="H342" s="118" t="s">
        <v>798</v>
      </c>
      <c r="I342" s="119">
        <v>15</v>
      </c>
      <c r="J342" s="119">
        <v>5</v>
      </c>
      <c r="K342" s="121" t="s">
        <v>791</v>
      </c>
    </row>
    <row r="343" spans="2:11" ht="15.75" customHeight="1" x14ac:dyDescent="0.3">
      <c r="B343" s="115">
        <v>12</v>
      </c>
      <c r="C343" s="116" t="s">
        <v>811</v>
      </c>
      <c r="D343" s="116">
        <v>12301</v>
      </c>
      <c r="E343" s="116" t="s">
        <v>743</v>
      </c>
      <c r="F343" s="116" t="s">
        <v>742</v>
      </c>
      <c r="G343" s="117" t="s">
        <v>64</v>
      </c>
      <c r="H343" s="118" t="s">
        <v>798</v>
      </c>
      <c r="I343" s="119">
        <v>15</v>
      </c>
      <c r="J343" s="119">
        <v>5</v>
      </c>
      <c r="K343" s="121" t="s">
        <v>791</v>
      </c>
    </row>
    <row r="344" spans="2:11" ht="15.75" customHeight="1" x14ac:dyDescent="0.3">
      <c r="B344" s="115">
        <v>12</v>
      </c>
      <c r="C344" s="116" t="s">
        <v>811</v>
      </c>
      <c r="D344" s="116">
        <v>12302</v>
      </c>
      <c r="E344" s="116" t="s">
        <v>745</v>
      </c>
      <c r="F344" s="116" t="s">
        <v>744</v>
      </c>
      <c r="G344" s="117" t="s">
        <v>64</v>
      </c>
      <c r="H344" s="118" t="s">
        <v>792</v>
      </c>
      <c r="I344" s="119">
        <v>15</v>
      </c>
      <c r="J344" s="119">
        <v>5</v>
      </c>
      <c r="K344" s="121" t="s">
        <v>791</v>
      </c>
    </row>
    <row r="345" spans="2:11" ht="15.75" customHeight="1" x14ac:dyDescent="0.3">
      <c r="B345" s="115">
        <v>12</v>
      </c>
      <c r="C345" s="116" t="s">
        <v>811</v>
      </c>
      <c r="D345" s="116">
        <v>12101</v>
      </c>
      <c r="E345" s="116" t="s">
        <v>64</v>
      </c>
      <c r="F345" s="116" t="s">
        <v>739</v>
      </c>
      <c r="G345" s="117" t="s">
        <v>64</v>
      </c>
      <c r="H345" s="118" t="s">
        <v>790</v>
      </c>
      <c r="I345" s="119">
        <v>12</v>
      </c>
      <c r="J345" s="119">
        <v>2</v>
      </c>
      <c r="K345" s="121" t="s">
        <v>791</v>
      </c>
    </row>
    <row r="346" spans="2:11" ht="15.75" customHeight="1" x14ac:dyDescent="0.3">
      <c r="B346" s="115">
        <v>12</v>
      </c>
      <c r="C346" s="116" t="s">
        <v>811</v>
      </c>
      <c r="D346" s="116">
        <v>12103</v>
      </c>
      <c r="E346" s="116" t="s">
        <v>747</v>
      </c>
      <c r="F346" s="116" t="s">
        <v>746</v>
      </c>
      <c r="G346" s="117" t="s">
        <v>64</v>
      </c>
      <c r="H346" s="118" t="s">
        <v>792</v>
      </c>
      <c r="I346" s="119">
        <v>15</v>
      </c>
      <c r="J346" s="119">
        <v>5</v>
      </c>
      <c r="K346" s="121" t="s">
        <v>791</v>
      </c>
    </row>
    <row r="347" spans="2:11" ht="15.75" customHeight="1" x14ac:dyDescent="0.3">
      <c r="B347" s="115">
        <v>12</v>
      </c>
      <c r="C347" s="116" t="s">
        <v>811</v>
      </c>
      <c r="D347" s="116">
        <v>12104</v>
      </c>
      <c r="E347" s="116" t="s">
        <v>749</v>
      </c>
      <c r="F347" s="116" t="s">
        <v>748</v>
      </c>
      <c r="G347" s="117" t="s">
        <v>64</v>
      </c>
      <c r="H347" s="118" t="s">
        <v>792</v>
      </c>
      <c r="I347" s="119">
        <v>15</v>
      </c>
      <c r="J347" s="119">
        <v>5</v>
      </c>
      <c r="K347" s="121" t="s">
        <v>791</v>
      </c>
    </row>
    <row r="348" spans="2:11" ht="15.75" customHeight="1" x14ac:dyDescent="0.3">
      <c r="B348" s="115">
        <v>12</v>
      </c>
      <c r="C348" s="116" t="s">
        <v>811</v>
      </c>
      <c r="D348" s="116">
        <v>12303</v>
      </c>
      <c r="E348" s="116" t="s">
        <v>751</v>
      </c>
      <c r="F348" s="116" t="s">
        <v>750</v>
      </c>
      <c r="G348" s="117" t="s">
        <v>64</v>
      </c>
      <c r="H348" s="118" t="s">
        <v>792</v>
      </c>
      <c r="I348" s="119">
        <v>15</v>
      </c>
      <c r="J348" s="119">
        <v>5</v>
      </c>
      <c r="K348" s="121" t="s">
        <v>791</v>
      </c>
    </row>
    <row r="349" spans="2:11" ht="15.75" customHeight="1" x14ac:dyDescent="0.3">
      <c r="B349" s="122">
        <v>12</v>
      </c>
      <c r="C349" s="123" t="s">
        <v>811</v>
      </c>
      <c r="D349" s="123">
        <v>12402</v>
      </c>
      <c r="E349" s="123" t="s">
        <v>755</v>
      </c>
      <c r="F349" s="123" t="s">
        <v>754</v>
      </c>
      <c r="G349" s="124" t="s">
        <v>64</v>
      </c>
      <c r="H349" s="125" t="s">
        <v>792</v>
      </c>
      <c r="I349" s="126">
        <v>15</v>
      </c>
      <c r="J349" s="126">
        <v>5</v>
      </c>
      <c r="K349" s="127" t="s">
        <v>791</v>
      </c>
    </row>
    <row r="350" spans="2:11" ht="15.75" customHeight="1" x14ac:dyDescent="0.3"/>
    <row r="351" spans="2:11" ht="15.75" customHeight="1" x14ac:dyDescent="0.3"/>
    <row r="352" spans="2:11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">
    <mergeCell ref="I1:J1"/>
    <mergeCell ref="I2:J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TARIFAS Home Delivery</vt:lpstr>
      <vt:lpstr>COMUNAS - HOME DELIVERY 2026</vt:lpstr>
      <vt:lpstr>COMUNAS - HOME DELIVERY 2026(2)</vt:lpstr>
      <vt:lpstr>CALCULADORA TELONES</vt:lpstr>
      <vt:lpstr>CALCULADORA GRAL</vt:lpstr>
      <vt:lpstr>TARIFAS PickUpPoint Delivery</vt:lpstr>
      <vt:lpstr>COMUNAS - HOME DELIVERY 2025</vt:lpstr>
      <vt:lpstr>COMUNAS - PickUpPoint Delivery</vt:lpstr>
      <vt:lpstr>DICCIONARIO COMUNAS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Cristóbal Preuss Uribe</dc:creator>
  <cp:lastModifiedBy>ANDRES . DIAZ ARAVENA</cp:lastModifiedBy>
  <dcterms:created xsi:type="dcterms:W3CDTF">2025-06-23T18:37:40Z</dcterms:created>
  <dcterms:modified xsi:type="dcterms:W3CDTF">2026-05-11T13:18:38Z</dcterms:modified>
</cp:coreProperties>
</file>